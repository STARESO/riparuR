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work\stareso\etudes\marevivu\riparu\riparuR\data\raw\"/>
    </mc:Choice>
  </mc:AlternateContent>
  <xr:revisionPtr revIDLastSave="0" documentId="13_ncr:1_{308D06D2-EBCC-4260-9980-17C767E8F5C2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Modèle" sheetId="1" r:id="rId1"/>
    <sheet name="DATA" sheetId="2" r:id="rId2"/>
    <sheet name="Ferringule" sheetId="3" r:id="rId3"/>
    <sheet name="Ostriconi" sheetId="4" r:id="rId4"/>
    <sheet name="Saleccia" sheetId="5" r:id="rId5"/>
    <sheet name="La Roya" sheetId="6" r:id="rId6"/>
    <sheet name="Petracurbara" sheetId="7" r:id="rId7"/>
    <sheet name="Macinaghju" sheetId="8" r:id="rId8"/>
    <sheet name="Lozari" sheetId="9" r:id="rId9"/>
    <sheet name="Barcaghju" sheetId="10" r:id="rId10"/>
    <sheet name="TOTAL" sheetId="11" r:id="rId1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3" i="7" l="1"/>
  <c r="C61" i="11"/>
  <c r="C60" i="11"/>
  <c r="C59" i="11"/>
  <c r="C58" i="11"/>
  <c r="C57" i="11"/>
  <c r="C56" i="11"/>
  <c r="C55" i="11"/>
  <c r="D9" i="11"/>
  <c r="P52" i="10"/>
  <c r="O52" i="10"/>
  <c r="N52" i="10"/>
  <c r="M52" i="10"/>
  <c r="L52" i="10"/>
  <c r="K52" i="10"/>
  <c r="F52" i="10"/>
  <c r="O51" i="10"/>
  <c r="N51" i="10"/>
  <c r="M51" i="10"/>
  <c r="L51" i="10"/>
  <c r="K51" i="10"/>
  <c r="J51" i="10"/>
  <c r="E51" i="10"/>
  <c r="Q50" i="10"/>
  <c r="P50" i="10"/>
  <c r="N50" i="10"/>
  <c r="M50" i="10"/>
  <c r="L50" i="10"/>
  <c r="K50" i="10"/>
  <c r="J50" i="10"/>
  <c r="I50" i="10"/>
  <c r="D50" i="10"/>
  <c r="P49" i="10"/>
  <c r="O49" i="10"/>
  <c r="M49" i="10"/>
  <c r="L49" i="10"/>
  <c r="K49" i="10"/>
  <c r="J49" i="10"/>
  <c r="I49" i="10"/>
  <c r="H49" i="10"/>
  <c r="R48" i="10"/>
  <c r="P48" i="10"/>
  <c r="L48" i="10"/>
  <c r="K48" i="10"/>
  <c r="J48" i="10"/>
  <c r="I48" i="10"/>
  <c r="H48" i="10"/>
  <c r="G48" i="10"/>
  <c r="Q47" i="10"/>
  <c r="K47" i="10"/>
  <c r="J47" i="10"/>
  <c r="I47" i="10"/>
  <c r="H47" i="10"/>
  <c r="G47" i="10"/>
  <c r="F47" i="10"/>
  <c r="P46" i="10"/>
  <c r="M46" i="10"/>
  <c r="L46" i="10"/>
  <c r="J46" i="10"/>
  <c r="I46" i="10"/>
  <c r="H46" i="10"/>
  <c r="G46" i="10"/>
  <c r="F46" i="10"/>
  <c r="E46" i="10"/>
  <c r="O45" i="10"/>
  <c r="M45" i="10"/>
  <c r="L45" i="10"/>
  <c r="K45" i="10"/>
  <c r="I45" i="10"/>
  <c r="H45" i="10"/>
  <c r="G45" i="10"/>
  <c r="F45" i="10"/>
  <c r="E45" i="10"/>
  <c r="D45" i="10"/>
  <c r="N44" i="10"/>
  <c r="L44" i="10"/>
  <c r="K44" i="10"/>
  <c r="H44" i="10"/>
  <c r="G44" i="10"/>
  <c r="F44" i="10"/>
  <c r="E44" i="10"/>
  <c r="D44" i="10"/>
  <c r="H32" i="10"/>
  <c r="H33" i="10" s="1"/>
  <c r="R31" i="10"/>
  <c r="R52" i="10" s="1"/>
  <c r="Q31" i="10"/>
  <c r="Q52" i="10" s="1"/>
  <c r="P31" i="10"/>
  <c r="O31" i="10"/>
  <c r="N31" i="10"/>
  <c r="M31" i="10"/>
  <c r="L31" i="10"/>
  <c r="K31" i="10"/>
  <c r="J31" i="10"/>
  <c r="J52" i="10" s="1"/>
  <c r="I31" i="10"/>
  <c r="I52" i="10" s="1"/>
  <c r="H31" i="10"/>
  <c r="H52" i="10" s="1"/>
  <c r="G31" i="10"/>
  <c r="G52" i="10" s="1"/>
  <c r="F31" i="10"/>
  <c r="E31" i="10"/>
  <c r="E52" i="10" s="1"/>
  <c r="D31" i="10"/>
  <c r="D52" i="10" s="1"/>
  <c r="R30" i="10"/>
  <c r="R51" i="10" s="1"/>
  <c r="Q30" i="10"/>
  <c r="Q51" i="10" s="1"/>
  <c r="P30" i="10"/>
  <c r="P51" i="10" s="1"/>
  <c r="O30" i="10"/>
  <c r="N30" i="10"/>
  <c r="M30" i="10"/>
  <c r="L30" i="10"/>
  <c r="K30" i="10"/>
  <c r="J30" i="10"/>
  <c r="I30" i="10"/>
  <c r="I51" i="10" s="1"/>
  <c r="H30" i="10"/>
  <c r="H51" i="10" s="1"/>
  <c r="G30" i="10"/>
  <c r="G51" i="10" s="1"/>
  <c r="F30" i="10"/>
  <c r="F51" i="10" s="1"/>
  <c r="E30" i="10"/>
  <c r="D30" i="10"/>
  <c r="D51" i="10" s="1"/>
  <c r="R29" i="10"/>
  <c r="R50" i="10" s="1"/>
  <c r="Q29" i="10"/>
  <c r="P29" i="10"/>
  <c r="O29" i="10"/>
  <c r="O50" i="10" s="1"/>
  <c r="N29" i="10"/>
  <c r="M29" i="10"/>
  <c r="L29" i="10"/>
  <c r="K29" i="10"/>
  <c r="J29" i="10"/>
  <c r="I29" i="10"/>
  <c r="H29" i="10"/>
  <c r="H50" i="10" s="1"/>
  <c r="G29" i="10"/>
  <c r="G50" i="10" s="1"/>
  <c r="F29" i="10"/>
  <c r="F50" i="10" s="1"/>
  <c r="E29" i="10"/>
  <c r="E50" i="10" s="1"/>
  <c r="D29" i="10"/>
  <c r="R28" i="10"/>
  <c r="R49" i="10" s="1"/>
  <c r="Q28" i="10"/>
  <c r="Q49" i="10" s="1"/>
  <c r="P28" i="10"/>
  <c r="O28" i="10"/>
  <c r="N28" i="10"/>
  <c r="N49" i="10" s="1"/>
  <c r="M28" i="10"/>
  <c r="L28" i="10"/>
  <c r="K28" i="10"/>
  <c r="J28" i="10"/>
  <c r="I28" i="10"/>
  <c r="H28" i="10"/>
  <c r="G28" i="10"/>
  <c r="G49" i="10" s="1"/>
  <c r="F28" i="10"/>
  <c r="E28" i="10"/>
  <c r="E49" i="10" s="1"/>
  <c r="D28" i="10"/>
  <c r="D49" i="10" s="1"/>
  <c r="R27" i="10"/>
  <c r="Q27" i="10"/>
  <c r="Q48" i="10" s="1"/>
  <c r="P27" i="10"/>
  <c r="O27" i="10"/>
  <c r="O48" i="10" s="1"/>
  <c r="N27" i="10"/>
  <c r="N48" i="10" s="1"/>
  <c r="M27" i="10"/>
  <c r="M48" i="10" s="1"/>
  <c r="L27" i="10"/>
  <c r="K27" i="10"/>
  <c r="J27" i="10"/>
  <c r="I27" i="10"/>
  <c r="H27" i="10"/>
  <c r="G27" i="10"/>
  <c r="F27" i="10"/>
  <c r="F48" i="10" s="1"/>
  <c r="E27" i="10"/>
  <c r="E48" i="10" s="1"/>
  <c r="D27" i="10"/>
  <c r="D48" i="10" s="1"/>
  <c r="R26" i="10"/>
  <c r="R47" i="10" s="1"/>
  <c r="Q26" i="10"/>
  <c r="P26" i="10"/>
  <c r="P47" i="10" s="1"/>
  <c r="O26" i="10"/>
  <c r="O47" i="10" s="1"/>
  <c r="N26" i="10"/>
  <c r="N47" i="10" s="1"/>
  <c r="M26" i="10"/>
  <c r="M47" i="10" s="1"/>
  <c r="L26" i="10"/>
  <c r="L47" i="10" s="1"/>
  <c r="K26" i="10"/>
  <c r="J26" i="10"/>
  <c r="I26" i="10"/>
  <c r="H26" i="10"/>
  <c r="G26" i="10"/>
  <c r="F26" i="10"/>
  <c r="E26" i="10"/>
  <c r="E47" i="10" s="1"/>
  <c r="D26" i="10"/>
  <c r="D47" i="10" s="1"/>
  <c r="R25" i="10"/>
  <c r="R46" i="10" s="1"/>
  <c r="Q25" i="10"/>
  <c r="Q46" i="10" s="1"/>
  <c r="P25" i="10"/>
  <c r="O25" i="10"/>
  <c r="O46" i="10" s="1"/>
  <c r="N25" i="10"/>
  <c r="N46" i="10" s="1"/>
  <c r="M25" i="10"/>
  <c r="L25" i="10"/>
  <c r="K25" i="10"/>
  <c r="K46" i="10" s="1"/>
  <c r="K54" i="10" s="1"/>
  <c r="J25" i="10"/>
  <c r="I25" i="10"/>
  <c r="H25" i="10"/>
  <c r="G25" i="10"/>
  <c r="F25" i="10"/>
  <c r="E25" i="10"/>
  <c r="D25" i="10"/>
  <c r="D46" i="10" s="1"/>
  <c r="R24" i="10"/>
  <c r="R45" i="10" s="1"/>
  <c r="Q24" i="10"/>
  <c r="Q45" i="10" s="1"/>
  <c r="P24" i="10"/>
  <c r="P45" i="10" s="1"/>
  <c r="O24" i="10"/>
  <c r="N24" i="10"/>
  <c r="N45" i="10" s="1"/>
  <c r="M24" i="10"/>
  <c r="L24" i="10"/>
  <c r="K24" i="10"/>
  <c r="J24" i="10"/>
  <c r="J45" i="10" s="1"/>
  <c r="I24" i="10"/>
  <c r="H24" i="10"/>
  <c r="G24" i="10"/>
  <c r="F24" i="10"/>
  <c r="E24" i="10"/>
  <c r="D24" i="10"/>
  <c r="R23" i="10"/>
  <c r="R44" i="10" s="1"/>
  <c r="Q23" i="10"/>
  <c r="P23" i="10"/>
  <c r="O23" i="10"/>
  <c r="N23" i="10"/>
  <c r="M23" i="10"/>
  <c r="L23" i="10"/>
  <c r="K23" i="10"/>
  <c r="J23" i="10"/>
  <c r="J32" i="10" s="1"/>
  <c r="J33" i="10" s="1"/>
  <c r="I23" i="10"/>
  <c r="I44" i="10" s="1"/>
  <c r="H23" i="10"/>
  <c r="G23" i="10"/>
  <c r="G32" i="10" s="1"/>
  <c r="G33" i="10" s="1"/>
  <c r="F23" i="10"/>
  <c r="E23" i="10"/>
  <c r="D23" i="10"/>
  <c r="Q52" i="9"/>
  <c r="K52" i="9"/>
  <c r="J52" i="9"/>
  <c r="I52" i="9"/>
  <c r="H52" i="9"/>
  <c r="G52" i="9"/>
  <c r="F52" i="9"/>
  <c r="P51" i="9"/>
  <c r="O51" i="9"/>
  <c r="N51" i="9"/>
  <c r="J51" i="9"/>
  <c r="I51" i="9"/>
  <c r="H51" i="9"/>
  <c r="G51" i="9"/>
  <c r="F51" i="9"/>
  <c r="E51" i="9"/>
  <c r="O50" i="9"/>
  <c r="N50" i="9"/>
  <c r="I50" i="9"/>
  <c r="H50" i="9"/>
  <c r="G50" i="9"/>
  <c r="F50" i="9"/>
  <c r="E50" i="9"/>
  <c r="D50" i="9"/>
  <c r="N49" i="9"/>
  <c r="I49" i="9"/>
  <c r="H49" i="9"/>
  <c r="G49" i="9"/>
  <c r="F49" i="9"/>
  <c r="E49" i="9"/>
  <c r="D49" i="9"/>
  <c r="R48" i="9"/>
  <c r="M48" i="9"/>
  <c r="L48" i="9"/>
  <c r="K48" i="9"/>
  <c r="G48" i="9"/>
  <c r="F48" i="9"/>
  <c r="E48" i="9"/>
  <c r="D48" i="9"/>
  <c r="R47" i="9"/>
  <c r="Q47" i="9"/>
  <c r="L47" i="9"/>
  <c r="F47" i="9"/>
  <c r="E47" i="9"/>
  <c r="D47" i="9"/>
  <c r="R46" i="9"/>
  <c r="Q46" i="9"/>
  <c r="P46" i="9"/>
  <c r="K46" i="9"/>
  <c r="J46" i="9"/>
  <c r="I46" i="9"/>
  <c r="H46" i="9"/>
  <c r="E46" i="9"/>
  <c r="D46" i="9"/>
  <c r="R45" i="9"/>
  <c r="Q45" i="9"/>
  <c r="P45" i="9"/>
  <c r="O45" i="9"/>
  <c r="J45" i="9"/>
  <c r="I45" i="9"/>
  <c r="H45" i="9"/>
  <c r="D45" i="9"/>
  <c r="R31" i="9"/>
  <c r="R52" i="9" s="1"/>
  <c r="Q31" i="9"/>
  <c r="P31" i="9"/>
  <c r="P52" i="9" s="1"/>
  <c r="O31" i="9"/>
  <c r="O52" i="9" s="1"/>
  <c r="N31" i="9"/>
  <c r="N52" i="9" s="1"/>
  <c r="M31" i="9"/>
  <c r="M52" i="9" s="1"/>
  <c r="L31" i="9"/>
  <c r="L52" i="9" s="1"/>
  <c r="K31" i="9"/>
  <c r="J31" i="9"/>
  <c r="I31" i="9"/>
  <c r="H31" i="9"/>
  <c r="G31" i="9"/>
  <c r="F31" i="9"/>
  <c r="E31" i="9"/>
  <c r="E52" i="9" s="1"/>
  <c r="D31" i="9"/>
  <c r="D52" i="9" s="1"/>
  <c r="R30" i="9"/>
  <c r="R51" i="9" s="1"/>
  <c r="Q30" i="9"/>
  <c r="Q51" i="9" s="1"/>
  <c r="P30" i="9"/>
  <c r="O30" i="9"/>
  <c r="N30" i="9"/>
  <c r="M30" i="9"/>
  <c r="M51" i="9" s="1"/>
  <c r="L30" i="9"/>
  <c r="L51" i="9" s="1"/>
  <c r="K30" i="9"/>
  <c r="K51" i="9" s="1"/>
  <c r="J30" i="9"/>
  <c r="I30" i="9"/>
  <c r="H30" i="9"/>
  <c r="G30" i="9"/>
  <c r="F30" i="9"/>
  <c r="E30" i="9"/>
  <c r="D30" i="9"/>
  <c r="D51" i="9" s="1"/>
  <c r="R29" i="9"/>
  <c r="R50" i="9" s="1"/>
  <c r="Q29" i="9"/>
  <c r="Q50" i="9" s="1"/>
  <c r="P29" i="9"/>
  <c r="P50" i="9" s="1"/>
  <c r="O29" i="9"/>
  <c r="N29" i="9"/>
  <c r="M29" i="9"/>
  <c r="M50" i="9" s="1"/>
  <c r="L29" i="9"/>
  <c r="L50" i="9" s="1"/>
  <c r="K29" i="9"/>
  <c r="K50" i="9" s="1"/>
  <c r="J29" i="9"/>
  <c r="J50" i="9" s="1"/>
  <c r="I29" i="9"/>
  <c r="H29" i="9"/>
  <c r="G29" i="9"/>
  <c r="F29" i="9"/>
  <c r="E29" i="9"/>
  <c r="D29" i="9"/>
  <c r="R28" i="9"/>
  <c r="R49" i="9" s="1"/>
  <c r="Q28" i="9"/>
  <c r="Q49" i="9" s="1"/>
  <c r="P28" i="9"/>
  <c r="P49" i="9" s="1"/>
  <c r="O28" i="9"/>
  <c r="O49" i="9" s="1"/>
  <c r="N28" i="9"/>
  <c r="M28" i="9"/>
  <c r="M49" i="9" s="1"/>
  <c r="L28" i="9"/>
  <c r="L49" i="9" s="1"/>
  <c r="K28" i="9"/>
  <c r="K49" i="9" s="1"/>
  <c r="J28" i="9"/>
  <c r="J49" i="9" s="1"/>
  <c r="I28" i="9"/>
  <c r="H28" i="9"/>
  <c r="G28" i="9"/>
  <c r="F28" i="9"/>
  <c r="E28" i="9"/>
  <c r="D28" i="9"/>
  <c r="R27" i="9"/>
  <c r="Q27" i="9"/>
  <c r="Q48" i="9" s="1"/>
  <c r="P27" i="9"/>
  <c r="P48" i="9" s="1"/>
  <c r="O27" i="9"/>
  <c r="O48" i="9" s="1"/>
  <c r="N27" i="9"/>
  <c r="N48" i="9" s="1"/>
  <c r="M27" i="9"/>
  <c r="L27" i="9"/>
  <c r="K27" i="9"/>
  <c r="J27" i="9"/>
  <c r="J48" i="9" s="1"/>
  <c r="I27" i="9"/>
  <c r="I48" i="9" s="1"/>
  <c r="H27" i="9"/>
  <c r="H48" i="9" s="1"/>
  <c r="G27" i="9"/>
  <c r="F27" i="9"/>
  <c r="E27" i="9"/>
  <c r="D27" i="9"/>
  <c r="R26" i="9"/>
  <c r="Q26" i="9"/>
  <c r="P26" i="9"/>
  <c r="P47" i="9" s="1"/>
  <c r="O26" i="9"/>
  <c r="O47" i="9" s="1"/>
  <c r="N26" i="9"/>
  <c r="N47" i="9" s="1"/>
  <c r="M26" i="9"/>
  <c r="M47" i="9" s="1"/>
  <c r="L26" i="9"/>
  <c r="K26" i="9"/>
  <c r="K47" i="9" s="1"/>
  <c r="K56" i="9" s="1"/>
  <c r="J26" i="9"/>
  <c r="J47" i="9" s="1"/>
  <c r="I26" i="9"/>
  <c r="I47" i="9" s="1"/>
  <c r="H26" i="9"/>
  <c r="H47" i="9" s="1"/>
  <c r="G26" i="9"/>
  <c r="G47" i="9" s="1"/>
  <c r="F26" i="9"/>
  <c r="E26" i="9"/>
  <c r="D26" i="9"/>
  <c r="R25" i="9"/>
  <c r="Q25" i="9"/>
  <c r="P25" i="9"/>
  <c r="O25" i="9"/>
  <c r="O46" i="9" s="1"/>
  <c r="N25" i="9"/>
  <c r="N46" i="9" s="1"/>
  <c r="M25" i="9"/>
  <c r="M46" i="9" s="1"/>
  <c r="L25" i="9"/>
  <c r="L46" i="9" s="1"/>
  <c r="K25" i="9"/>
  <c r="J25" i="9"/>
  <c r="I25" i="9"/>
  <c r="H25" i="9"/>
  <c r="G25" i="9"/>
  <c r="G46" i="9" s="1"/>
  <c r="F25" i="9"/>
  <c r="F46" i="9" s="1"/>
  <c r="E25" i="9"/>
  <c r="D25" i="9"/>
  <c r="R24" i="9"/>
  <c r="Q24" i="9"/>
  <c r="P24" i="9"/>
  <c r="O24" i="9"/>
  <c r="N24" i="9"/>
  <c r="N45" i="9" s="1"/>
  <c r="M24" i="9"/>
  <c r="M45" i="9" s="1"/>
  <c r="L24" i="9"/>
  <c r="L45" i="9" s="1"/>
  <c r="K24" i="9"/>
  <c r="K45" i="9" s="1"/>
  <c r="J24" i="9"/>
  <c r="I24" i="9"/>
  <c r="H24" i="9"/>
  <c r="G24" i="9"/>
  <c r="G45" i="9" s="1"/>
  <c r="F24" i="9"/>
  <c r="F45" i="9" s="1"/>
  <c r="E24" i="9"/>
  <c r="E45" i="9" s="1"/>
  <c r="D24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E32" i="9" s="1"/>
  <c r="E53" i="9" s="1"/>
  <c r="D23" i="9"/>
  <c r="D32" i="9" s="1"/>
  <c r="D53" i="9" s="1"/>
  <c r="J52" i="8"/>
  <c r="I52" i="8"/>
  <c r="H52" i="8"/>
  <c r="F52" i="8"/>
  <c r="O51" i="8"/>
  <c r="M51" i="8"/>
  <c r="L51" i="8"/>
  <c r="I51" i="8"/>
  <c r="F51" i="8"/>
  <c r="N50" i="8"/>
  <c r="L50" i="8"/>
  <c r="J50" i="8"/>
  <c r="I50" i="8"/>
  <c r="H50" i="8"/>
  <c r="G50" i="8"/>
  <c r="F50" i="8"/>
  <c r="M49" i="8"/>
  <c r="G49" i="8"/>
  <c r="F49" i="8"/>
  <c r="L48" i="8"/>
  <c r="J48" i="8"/>
  <c r="K47" i="8"/>
  <c r="H47" i="8"/>
  <c r="G47" i="8"/>
  <c r="F47" i="8"/>
  <c r="O46" i="8"/>
  <c r="N46" i="8"/>
  <c r="O45" i="8"/>
  <c r="N45" i="8"/>
  <c r="L45" i="8"/>
  <c r="I45" i="8"/>
  <c r="O44" i="8"/>
  <c r="H44" i="8"/>
  <c r="F44" i="8"/>
  <c r="R31" i="8"/>
  <c r="R32" i="8" s="1"/>
  <c r="R33" i="8" s="1"/>
  <c r="Q31" i="8"/>
  <c r="P31" i="8"/>
  <c r="O31" i="8"/>
  <c r="O52" i="8" s="1"/>
  <c r="N31" i="8"/>
  <c r="N52" i="8" s="1"/>
  <c r="M31" i="8"/>
  <c r="M52" i="8" s="1"/>
  <c r="L31" i="8"/>
  <c r="L52" i="8" s="1"/>
  <c r="K31" i="8"/>
  <c r="K52" i="8" s="1"/>
  <c r="J31" i="8"/>
  <c r="I31" i="8"/>
  <c r="H31" i="8"/>
  <c r="G31" i="8"/>
  <c r="G52" i="8" s="1"/>
  <c r="F31" i="8"/>
  <c r="E31" i="8"/>
  <c r="D31" i="8"/>
  <c r="R30" i="8"/>
  <c r="Q30" i="8"/>
  <c r="P30" i="8"/>
  <c r="O30" i="8"/>
  <c r="N30" i="8"/>
  <c r="N51" i="8" s="1"/>
  <c r="M30" i="8"/>
  <c r="L30" i="8"/>
  <c r="K30" i="8"/>
  <c r="K51" i="8" s="1"/>
  <c r="J30" i="8"/>
  <c r="J51" i="8" s="1"/>
  <c r="I30" i="8"/>
  <c r="H30" i="8"/>
  <c r="H51" i="8" s="1"/>
  <c r="G30" i="8"/>
  <c r="G51" i="8" s="1"/>
  <c r="F30" i="8"/>
  <c r="E30" i="8"/>
  <c r="D30" i="8"/>
  <c r="R29" i="8"/>
  <c r="Q29" i="8"/>
  <c r="P29" i="8"/>
  <c r="P32" i="8" s="1"/>
  <c r="P33" i="8" s="1"/>
  <c r="O29" i="8"/>
  <c r="O50" i="8" s="1"/>
  <c r="N29" i="8"/>
  <c r="M29" i="8"/>
  <c r="M50" i="8" s="1"/>
  <c r="L29" i="8"/>
  <c r="K29" i="8"/>
  <c r="K50" i="8" s="1"/>
  <c r="J29" i="8"/>
  <c r="I29" i="8"/>
  <c r="H29" i="8"/>
  <c r="G29" i="8"/>
  <c r="F29" i="8"/>
  <c r="E29" i="8"/>
  <c r="D29" i="8"/>
  <c r="R28" i="8"/>
  <c r="Q28" i="8"/>
  <c r="P28" i="8"/>
  <c r="O28" i="8"/>
  <c r="O49" i="8" s="1"/>
  <c r="N28" i="8"/>
  <c r="N49" i="8" s="1"/>
  <c r="M28" i="8"/>
  <c r="L28" i="8"/>
  <c r="L49" i="8" s="1"/>
  <c r="K28" i="8"/>
  <c r="K49" i="8" s="1"/>
  <c r="J28" i="8"/>
  <c r="J49" i="8" s="1"/>
  <c r="I28" i="8"/>
  <c r="I49" i="8" s="1"/>
  <c r="H28" i="8"/>
  <c r="H49" i="8" s="1"/>
  <c r="G28" i="8"/>
  <c r="F28" i="8"/>
  <c r="E28" i="8"/>
  <c r="D28" i="8"/>
  <c r="R27" i="8"/>
  <c r="Q27" i="8"/>
  <c r="P27" i="8"/>
  <c r="O27" i="8"/>
  <c r="O48" i="8" s="1"/>
  <c r="N27" i="8"/>
  <c r="N48" i="8" s="1"/>
  <c r="M27" i="8"/>
  <c r="M48" i="8" s="1"/>
  <c r="L27" i="8"/>
  <c r="K27" i="8"/>
  <c r="K48" i="8" s="1"/>
  <c r="J27" i="8"/>
  <c r="I27" i="8"/>
  <c r="I48" i="8" s="1"/>
  <c r="H27" i="8"/>
  <c r="H48" i="8" s="1"/>
  <c r="G27" i="8"/>
  <c r="G48" i="8" s="1"/>
  <c r="F27" i="8"/>
  <c r="F48" i="8" s="1"/>
  <c r="E27" i="8"/>
  <c r="D27" i="8"/>
  <c r="R26" i="8"/>
  <c r="Q26" i="8"/>
  <c r="P26" i="8"/>
  <c r="O26" i="8"/>
  <c r="O47" i="8" s="1"/>
  <c r="N26" i="8"/>
  <c r="N47" i="8" s="1"/>
  <c r="M26" i="8"/>
  <c r="M47" i="8" s="1"/>
  <c r="L26" i="8"/>
  <c r="L47" i="8" s="1"/>
  <c r="K26" i="8"/>
  <c r="J26" i="8"/>
  <c r="J47" i="8" s="1"/>
  <c r="I26" i="8"/>
  <c r="I47" i="8" s="1"/>
  <c r="H26" i="8"/>
  <c r="G26" i="8"/>
  <c r="F26" i="8"/>
  <c r="E26" i="8"/>
  <c r="D26" i="8"/>
  <c r="R25" i="8"/>
  <c r="Q25" i="8"/>
  <c r="P25" i="8"/>
  <c r="O25" i="8"/>
  <c r="N25" i="8"/>
  <c r="M25" i="8"/>
  <c r="M46" i="8" s="1"/>
  <c r="L25" i="8"/>
  <c r="L46" i="8" s="1"/>
  <c r="K25" i="8"/>
  <c r="K46" i="8" s="1"/>
  <c r="K55" i="8" s="1"/>
  <c r="J25" i="8"/>
  <c r="J46" i="8" s="1"/>
  <c r="I25" i="8"/>
  <c r="I46" i="8" s="1"/>
  <c r="H25" i="8"/>
  <c r="H46" i="8" s="1"/>
  <c r="G25" i="8"/>
  <c r="G46" i="8" s="1"/>
  <c r="F25" i="8"/>
  <c r="F46" i="8" s="1"/>
  <c r="E25" i="8"/>
  <c r="D25" i="8"/>
  <c r="R24" i="8"/>
  <c r="Q24" i="8"/>
  <c r="P24" i="8"/>
  <c r="O24" i="8"/>
  <c r="N24" i="8"/>
  <c r="M24" i="8"/>
  <c r="M45" i="8" s="1"/>
  <c r="L24" i="8"/>
  <c r="L32" i="8" s="1"/>
  <c r="L33" i="8" s="1"/>
  <c r="K24" i="8"/>
  <c r="K45" i="8" s="1"/>
  <c r="J24" i="8"/>
  <c r="J45" i="8" s="1"/>
  <c r="I24" i="8"/>
  <c r="H24" i="8"/>
  <c r="H45" i="8" s="1"/>
  <c r="G24" i="8"/>
  <c r="G45" i="8" s="1"/>
  <c r="F24" i="8"/>
  <c r="F45" i="8" s="1"/>
  <c r="E24" i="8"/>
  <c r="D24" i="8"/>
  <c r="D32" i="8" s="1"/>
  <c r="R23" i="8"/>
  <c r="Q23" i="8"/>
  <c r="P23" i="8"/>
  <c r="O23" i="8"/>
  <c r="N23" i="8"/>
  <c r="N44" i="8" s="1"/>
  <c r="M23" i="8"/>
  <c r="M44" i="8" s="1"/>
  <c r="L23" i="8"/>
  <c r="L44" i="8" s="1"/>
  <c r="K23" i="8"/>
  <c r="J23" i="8"/>
  <c r="I23" i="8"/>
  <c r="H23" i="8"/>
  <c r="G23" i="8"/>
  <c r="F23" i="8"/>
  <c r="E23" i="8"/>
  <c r="D23" i="8"/>
  <c r="R51" i="7"/>
  <c r="Q51" i="7"/>
  <c r="P51" i="7"/>
  <c r="O51" i="7"/>
  <c r="N51" i="7"/>
  <c r="I51" i="7"/>
  <c r="H51" i="7"/>
  <c r="Q50" i="7"/>
  <c r="P50" i="7"/>
  <c r="O50" i="7"/>
  <c r="N50" i="7"/>
  <c r="M50" i="7"/>
  <c r="H50" i="7"/>
  <c r="Q49" i="7"/>
  <c r="P49" i="7"/>
  <c r="N49" i="7"/>
  <c r="M49" i="7"/>
  <c r="L49" i="7"/>
  <c r="K49" i="7"/>
  <c r="J49" i="7"/>
  <c r="G49" i="7"/>
  <c r="P48" i="7"/>
  <c r="O48" i="7"/>
  <c r="N48" i="7"/>
  <c r="M48" i="7"/>
  <c r="K48" i="7"/>
  <c r="J48" i="7"/>
  <c r="G48" i="7"/>
  <c r="F48" i="7"/>
  <c r="M47" i="7"/>
  <c r="L47" i="7"/>
  <c r="K47" i="7"/>
  <c r="J47" i="7"/>
  <c r="H47" i="7"/>
  <c r="N46" i="7"/>
  <c r="J46" i="7"/>
  <c r="I46" i="7"/>
  <c r="H46" i="7"/>
  <c r="R45" i="7"/>
  <c r="O45" i="7"/>
  <c r="N45" i="7"/>
  <c r="R44" i="7"/>
  <c r="Q44" i="7"/>
  <c r="L44" i="7"/>
  <c r="K44" i="7"/>
  <c r="I44" i="7"/>
  <c r="H44" i="7"/>
  <c r="R31" i="7"/>
  <c r="Q31" i="7"/>
  <c r="P31" i="7"/>
  <c r="O31" i="7"/>
  <c r="N31" i="7"/>
  <c r="M31" i="7"/>
  <c r="M51" i="7" s="1"/>
  <c r="L31" i="7"/>
  <c r="L51" i="7" s="1"/>
  <c r="K31" i="7"/>
  <c r="K51" i="7" s="1"/>
  <c r="J31" i="7"/>
  <c r="J51" i="7" s="1"/>
  <c r="I31" i="7"/>
  <c r="H31" i="7"/>
  <c r="G31" i="7"/>
  <c r="G51" i="7" s="1"/>
  <c r="F31" i="7"/>
  <c r="F51" i="7" s="1"/>
  <c r="E31" i="7"/>
  <c r="D31" i="7"/>
  <c r="R30" i="7"/>
  <c r="R50" i="7" s="1"/>
  <c r="Q30" i="7"/>
  <c r="P30" i="7"/>
  <c r="O30" i="7"/>
  <c r="N30" i="7"/>
  <c r="M30" i="7"/>
  <c r="L30" i="7"/>
  <c r="L50" i="7" s="1"/>
  <c r="K30" i="7"/>
  <c r="K50" i="7" s="1"/>
  <c r="J30" i="7"/>
  <c r="J50" i="7" s="1"/>
  <c r="I30" i="7"/>
  <c r="I50" i="7" s="1"/>
  <c r="H30" i="7"/>
  <c r="G30" i="7"/>
  <c r="G50" i="7" s="1"/>
  <c r="F30" i="7"/>
  <c r="F50" i="7" s="1"/>
  <c r="E30" i="7"/>
  <c r="D30" i="7"/>
  <c r="R29" i="7"/>
  <c r="R49" i="7" s="1"/>
  <c r="Q29" i="7"/>
  <c r="P29" i="7"/>
  <c r="O29" i="7"/>
  <c r="O49" i="7" s="1"/>
  <c r="N29" i="7"/>
  <c r="M29" i="7"/>
  <c r="L29" i="7"/>
  <c r="K29" i="7"/>
  <c r="J29" i="7"/>
  <c r="I29" i="7"/>
  <c r="I49" i="7" s="1"/>
  <c r="H29" i="7"/>
  <c r="H49" i="7" s="1"/>
  <c r="G29" i="7"/>
  <c r="F29" i="7"/>
  <c r="F49" i="7" s="1"/>
  <c r="E29" i="7"/>
  <c r="D29" i="7"/>
  <c r="R28" i="7"/>
  <c r="R48" i="7" s="1"/>
  <c r="Q28" i="7"/>
  <c r="Q48" i="7" s="1"/>
  <c r="P28" i="7"/>
  <c r="O28" i="7"/>
  <c r="N28" i="7"/>
  <c r="M28" i="7"/>
  <c r="L28" i="7"/>
  <c r="L48" i="7" s="1"/>
  <c r="K28" i="7"/>
  <c r="J28" i="7"/>
  <c r="I28" i="7"/>
  <c r="I32" i="7" s="1"/>
  <c r="H28" i="7"/>
  <c r="H48" i="7" s="1"/>
  <c r="G28" i="7"/>
  <c r="F28" i="7"/>
  <c r="E28" i="7"/>
  <c r="D28" i="7"/>
  <c r="R27" i="7"/>
  <c r="R47" i="7" s="1"/>
  <c r="Q27" i="7"/>
  <c r="Q47" i="7" s="1"/>
  <c r="P27" i="7"/>
  <c r="P47" i="7" s="1"/>
  <c r="O27" i="7"/>
  <c r="O47" i="7" s="1"/>
  <c r="N27" i="7"/>
  <c r="N47" i="7" s="1"/>
  <c r="M27" i="7"/>
  <c r="L27" i="7"/>
  <c r="K27" i="7"/>
  <c r="J27" i="7"/>
  <c r="I27" i="7"/>
  <c r="I47" i="7" s="1"/>
  <c r="H27" i="7"/>
  <c r="H32" i="7" s="1"/>
  <c r="G27" i="7"/>
  <c r="G47" i="7" s="1"/>
  <c r="F27" i="7"/>
  <c r="F47" i="7" s="1"/>
  <c r="E27" i="7"/>
  <c r="D27" i="7"/>
  <c r="R26" i="7"/>
  <c r="R46" i="7" s="1"/>
  <c r="Q26" i="7"/>
  <c r="Q46" i="7" s="1"/>
  <c r="P26" i="7"/>
  <c r="P46" i="7" s="1"/>
  <c r="O26" i="7"/>
  <c r="O46" i="7" s="1"/>
  <c r="N26" i="7"/>
  <c r="M26" i="7"/>
  <c r="M46" i="7" s="1"/>
  <c r="K55" i="7" s="1"/>
  <c r="L26" i="7"/>
  <c r="L46" i="7" s="1"/>
  <c r="K26" i="7"/>
  <c r="K46" i="7" s="1"/>
  <c r="J26" i="7"/>
  <c r="I26" i="7"/>
  <c r="H26" i="7"/>
  <c r="G26" i="7"/>
  <c r="G46" i="7" s="1"/>
  <c r="F26" i="7"/>
  <c r="F46" i="7" s="1"/>
  <c r="E26" i="7"/>
  <c r="D26" i="7"/>
  <c r="R25" i="7"/>
  <c r="Q25" i="7"/>
  <c r="Q45" i="7" s="1"/>
  <c r="P25" i="7"/>
  <c r="P45" i="7" s="1"/>
  <c r="O25" i="7"/>
  <c r="N25" i="7"/>
  <c r="M25" i="7"/>
  <c r="M45" i="7" s="1"/>
  <c r="L25" i="7"/>
  <c r="L45" i="7" s="1"/>
  <c r="K25" i="7"/>
  <c r="K45" i="7" s="1"/>
  <c r="J25" i="7"/>
  <c r="J45" i="7" s="1"/>
  <c r="I25" i="7"/>
  <c r="I45" i="7" s="1"/>
  <c r="H25" i="7"/>
  <c r="H45" i="7" s="1"/>
  <c r="G25" i="7"/>
  <c r="G45" i="7" s="1"/>
  <c r="F25" i="7"/>
  <c r="F32" i="7" s="1"/>
  <c r="E25" i="7"/>
  <c r="D25" i="7"/>
  <c r="R24" i="7"/>
  <c r="Q24" i="7"/>
  <c r="P24" i="7"/>
  <c r="P44" i="7" s="1"/>
  <c r="O24" i="7"/>
  <c r="O44" i="7" s="1"/>
  <c r="N24" i="7"/>
  <c r="N44" i="7" s="1"/>
  <c r="M24" i="7"/>
  <c r="M44" i="7" s="1"/>
  <c r="L24" i="7"/>
  <c r="K24" i="7"/>
  <c r="J24" i="7"/>
  <c r="J44" i="7" s="1"/>
  <c r="I24" i="7"/>
  <c r="H24" i="7"/>
  <c r="G24" i="7"/>
  <c r="G44" i="7" s="1"/>
  <c r="F24" i="7"/>
  <c r="F44" i="7" s="1"/>
  <c r="E24" i="7"/>
  <c r="E32" i="7" s="1"/>
  <c r="D24" i="7"/>
  <c r="R23" i="7"/>
  <c r="Q23" i="7"/>
  <c r="P23" i="7"/>
  <c r="O23" i="7"/>
  <c r="N23" i="7"/>
  <c r="M23" i="7"/>
  <c r="M32" i="7" s="1"/>
  <c r="L23" i="7"/>
  <c r="L32" i="7" s="1"/>
  <c r="K23" i="7"/>
  <c r="J23" i="7"/>
  <c r="I23" i="7"/>
  <c r="H23" i="7"/>
  <c r="G23" i="7"/>
  <c r="F23" i="7"/>
  <c r="E23" i="7"/>
  <c r="D23" i="7"/>
  <c r="L52" i="6"/>
  <c r="F52" i="6"/>
  <c r="E49" i="6"/>
  <c r="D49" i="6"/>
  <c r="G47" i="6"/>
  <c r="O45" i="6"/>
  <c r="L45" i="6"/>
  <c r="R31" i="6"/>
  <c r="Q31" i="6"/>
  <c r="P31" i="6"/>
  <c r="O31" i="6"/>
  <c r="O52" i="6" s="1"/>
  <c r="N31" i="6"/>
  <c r="N52" i="6" s="1"/>
  <c r="M31" i="6"/>
  <c r="M52" i="6" s="1"/>
  <c r="L31" i="6"/>
  <c r="K31" i="6"/>
  <c r="K52" i="6" s="1"/>
  <c r="J31" i="6"/>
  <c r="J52" i="6" s="1"/>
  <c r="I31" i="6"/>
  <c r="I52" i="6" s="1"/>
  <c r="H31" i="6"/>
  <c r="H52" i="6" s="1"/>
  <c r="G31" i="6"/>
  <c r="G52" i="6" s="1"/>
  <c r="F31" i="6"/>
  <c r="E31" i="6"/>
  <c r="E52" i="6" s="1"/>
  <c r="D31" i="6"/>
  <c r="D52" i="6" s="1"/>
  <c r="R30" i="6"/>
  <c r="Q30" i="6"/>
  <c r="P30" i="6"/>
  <c r="O30" i="6"/>
  <c r="O51" i="6" s="1"/>
  <c r="N30" i="6"/>
  <c r="N51" i="6" s="1"/>
  <c r="M30" i="6"/>
  <c r="M51" i="6" s="1"/>
  <c r="L30" i="6"/>
  <c r="L51" i="6" s="1"/>
  <c r="K30" i="6"/>
  <c r="K51" i="6" s="1"/>
  <c r="J30" i="6"/>
  <c r="J51" i="6" s="1"/>
  <c r="I30" i="6"/>
  <c r="I51" i="6" s="1"/>
  <c r="H30" i="6"/>
  <c r="H51" i="6" s="1"/>
  <c r="G30" i="6"/>
  <c r="G51" i="6" s="1"/>
  <c r="F30" i="6"/>
  <c r="F51" i="6" s="1"/>
  <c r="E30" i="6"/>
  <c r="E51" i="6" s="1"/>
  <c r="D30" i="6"/>
  <c r="D51" i="6" s="1"/>
  <c r="R29" i="6"/>
  <c r="Q29" i="6"/>
  <c r="P29" i="6"/>
  <c r="O29" i="6"/>
  <c r="O50" i="6" s="1"/>
  <c r="M29" i="6"/>
  <c r="M50" i="6" s="1"/>
  <c r="L29" i="6"/>
  <c r="L50" i="6" s="1"/>
  <c r="K29" i="6"/>
  <c r="K50" i="6" s="1"/>
  <c r="J29" i="6"/>
  <c r="J50" i="6" s="1"/>
  <c r="I29" i="6"/>
  <c r="I50" i="6" s="1"/>
  <c r="H29" i="6"/>
  <c r="H50" i="6" s="1"/>
  <c r="G29" i="6"/>
  <c r="G50" i="6" s="1"/>
  <c r="F29" i="6"/>
  <c r="F50" i="6" s="1"/>
  <c r="E29" i="6"/>
  <c r="E50" i="6" s="1"/>
  <c r="D29" i="6"/>
  <c r="D50" i="6" s="1"/>
  <c r="R28" i="6"/>
  <c r="Q28" i="6"/>
  <c r="P28" i="6"/>
  <c r="O28" i="6"/>
  <c r="O49" i="6" s="1"/>
  <c r="N28" i="6"/>
  <c r="N49" i="6" s="1"/>
  <c r="M28" i="6"/>
  <c r="M49" i="6" s="1"/>
  <c r="L28" i="6"/>
  <c r="L49" i="6" s="1"/>
  <c r="K28" i="6"/>
  <c r="K49" i="6" s="1"/>
  <c r="J28" i="6"/>
  <c r="J49" i="6" s="1"/>
  <c r="I28" i="6"/>
  <c r="I49" i="6" s="1"/>
  <c r="H28" i="6"/>
  <c r="H49" i="6" s="1"/>
  <c r="G28" i="6"/>
  <c r="G49" i="6" s="1"/>
  <c r="F28" i="6"/>
  <c r="F49" i="6" s="1"/>
  <c r="E28" i="6"/>
  <c r="D28" i="6"/>
  <c r="R27" i="6"/>
  <c r="Q27" i="6"/>
  <c r="P27" i="6"/>
  <c r="O27" i="6"/>
  <c r="O48" i="6" s="1"/>
  <c r="N27" i="6"/>
  <c r="N48" i="6" s="1"/>
  <c r="M27" i="6"/>
  <c r="M48" i="6" s="1"/>
  <c r="L27" i="6"/>
  <c r="L48" i="6" s="1"/>
  <c r="K27" i="6"/>
  <c r="K48" i="6" s="1"/>
  <c r="J27" i="6"/>
  <c r="J48" i="6" s="1"/>
  <c r="I27" i="6"/>
  <c r="I48" i="6" s="1"/>
  <c r="H27" i="6"/>
  <c r="H48" i="6" s="1"/>
  <c r="G27" i="6"/>
  <c r="G48" i="6" s="1"/>
  <c r="F27" i="6"/>
  <c r="F48" i="6" s="1"/>
  <c r="E27" i="6"/>
  <c r="E48" i="6" s="1"/>
  <c r="D27" i="6"/>
  <c r="D48" i="6" s="1"/>
  <c r="R26" i="6"/>
  <c r="Q26" i="6"/>
  <c r="P26" i="6"/>
  <c r="O26" i="6"/>
  <c r="O47" i="6" s="1"/>
  <c r="N26" i="6"/>
  <c r="N47" i="6" s="1"/>
  <c r="M26" i="6"/>
  <c r="M47" i="6" s="1"/>
  <c r="L26" i="6"/>
  <c r="L47" i="6" s="1"/>
  <c r="K26" i="6"/>
  <c r="K47" i="6" s="1"/>
  <c r="J26" i="6"/>
  <c r="J47" i="6" s="1"/>
  <c r="I26" i="6"/>
  <c r="I47" i="6" s="1"/>
  <c r="H26" i="6"/>
  <c r="H47" i="6" s="1"/>
  <c r="G26" i="6"/>
  <c r="F26" i="6"/>
  <c r="F47" i="6" s="1"/>
  <c r="E26" i="6"/>
  <c r="E47" i="6" s="1"/>
  <c r="D26" i="6"/>
  <c r="D47" i="6" s="1"/>
  <c r="R25" i="6"/>
  <c r="Q25" i="6"/>
  <c r="P25" i="6"/>
  <c r="O25" i="6"/>
  <c r="O46" i="6" s="1"/>
  <c r="N25" i="6"/>
  <c r="N46" i="6" s="1"/>
  <c r="M25" i="6"/>
  <c r="M46" i="6" s="1"/>
  <c r="L25" i="6"/>
  <c r="L46" i="6" s="1"/>
  <c r="K25" i="6"/>
  <c r="K46" i="6" s="1"/>
  <c r="J25" i="6"/>
  <c r="J46" i="6" s="1"/>
  <c r="I25" i="6"/>
  <c r="I46" i="6" s="1"/>
  <c r="H25" i="6"/>
  <c r="H46" i="6" s="1"/>
  <c r="G25" i="6"/>
  <c r="G46" i="6" s="1"/>
  <c r="F25" i="6"/>
  <c r="F46" i="6" s="1"/>
  <c r="E25" i="6"/>
  <c r="E46" i="6" s="1"/>
  <c r="D25" i="6"/>
  <c r="D46" i="6" s="1"/>
  <c r="R24" i="6"/>
  <c r="Q24" i="6"/>
  <c r="P24" i="6"/>
  <c r="O24" i="6"/>
  <c r="N24" i="6"/>
  <c r="N45" i="6" s="1"/>
  <c r="M24" i="6"/>
  <c r="M45" i="6" s="1"/>
  <c r="L24" i="6"/>
  <c r="K24" i="6"/>
  <c r="K45" i="6" s="1"/>
  <c r="J24" i="6"/>
  <c r="J45" i="6" s="1"/>
  <c r="I24" i="6"/>
  <c r="I45" i="6" s="1"/>
  <c r="H24" i="6"/>
  <c r="H45" i="6" s="1"/>
  <c r="G24" i="6"/>
  <c r="G45" i="6" s="1"/>
  <c r="F24" i="6"/>
  <c r="F45" i="6" s="1"/>
  <c r="E24" i="6"/>
  <c r="E45" i="6" s="1"/>
  <c r="D24" i="6"/>
  <c r="D45" i="6" s="1"/>
  <c r="R23" i="6"/>
  <c r="Q23" i="6"/>
  <c r="P23" i="6"/>
  <c r="O23" i="6"/>
  <c r="O44" i="6" s="1"/>
  <c r="N23" i="6"/>
  <c r="N44" i="6" s="1"/>
  <c r="M23" i="6"/>
  <c r="L23" i="6"/>
  <c r="L44" i="6" s="1"/>
  <c r="K23" i="6"/>
  <c r="K44" i="6" s="1"/>
  <c r="J23" i="6"/>
  <c r="J44" i="6" s="1"/>
  <c r="I23" i="6"/>
  <c r="I44" i="6" s="1"/>
  <c r="H23" i="6"/>
  <c r="H44" i="6" s="1"/>
  <c r="G23" i="6"/>
  <c r="G44" i="6" s="1"/>
  <c r="F23" i="6"/>
  <c r="E23" i="6"/>
  <c r="D23" i="6"/>
  <c r="N19" i="6"/>
  <c r="N29" i="6" s="1"/>
  <c r="N50" i="6" s="1"/>
  <c r="O52" i="5"/>
  <c r="N52" i="5"/>
  <c r="M52" i="5"/>
  <c r="H52" i="5"/>
  <c r="G52" i="5"/>
  <c r="F52" i="5"/>
  <c r="F51" i="5"/>
  <c r="E51" i="5"/>
  <c r="D51" i="5"/>
  <c r="O50" i="5"/>
  <c r="N50" i="5"/>
  <c r="M50" i="5"/>
  <c r="L50" i="5"/>
  <c r="K50" i="5"/>
  <c r="F50" i="5"/>
  <c r="E50" i="5"/>
  <c r="D50" i="5"/>
  <c r="N49" i="5"/>
  <c r="M49" i="5"/>
  <c r="L49" i="5"/>
  <c r="K49" i="5"/>
  <c r="J49" i="5"/>
  <c r="N48" i="5"/>
  <c r="M48" i="5"/>
  <c r="L48" i="5"/>
  <c r="J48" i="5"/>
  <c r="I48" i="5"/>
  <c r="D48" i="5"/>
  <c r="K47" i="5"/>
  <c r="J47" i="5"/>
  <c r="I47" i="5"/>
  <c r="H47" i="5"/>
  <c r="O46" i="5"/>
  <c r="G46" i="5"/>
  <c r="K45" i="5"/>
  <c r="J45" i="5"/>
  <c r="H45" i="5"/>
  <c r="G45" i="5"/>
  <c r="O44" i="5"/>
  <c r="N44" i="5"/>
  <c r="M44" i="5"/>
  <c r="L44" i="5"/>
  <c r="J44" i="5"/>
  <c r="I44" i="5"/>
  <c r="H44" i="5"/>
  <c r="G44" i="5"/>
  <c r="F44" i="5"/>
  <c r="E44" i="5"/>
  <c r="M32" i="5"/>
  <c r="M33" i="5" s="1"/>
  <c r="K32" i="5"/>
  <c r="K33" i="5" s="1"/>
  <c r="R31" i="5"/>
  <c r="Q31" i="5"/>
  <c r="P31" i="5"/>
  <c r="O31" i="5"/>
  <c r="N31" i="5"/>
  <c r="M31" i="5"/>
  <c r="L31" i="5"/>
  <c r="L52" i="5" s="1"/>
  <c r="K31" i="5"/>
  <c r="K52" i="5" s="1"/>
  <c r="J31" i="5"/>
  <c r="J52" i="5" s="1"/>
  <c r="I31" i="5"/>
  <c r="I52" i="5" s="1"/>
  <c r="H31" i="5"/>
  <c r="G31" i="5"/>
  <c r="F31" i="5"/>
  <c r="E31" i="5"/>
  <c r="E52" i="5" s="1"/>
  <c r="D31" i="5"/>
  <c r="D52" i="5" s="1"/>
  <c r="R30" i="5"/>
  <c r="Q30" i="5"/>
  <c r="P30" i="5"/>
  <c r="O30" i="5"/>
  <c r="O51" i="5" s="1"/>
  <c r="N30" i="5"/>
  <c r="N51" i="5" s="1"/>
  <c r="M30" i="5"/>
  <c r="M51" i="5" s="1"/>
  <c r="L30" i="5"/>
  <c r="L51" i="5" s="1"/>
  <c r="K30" i="5"/>
  <c r="K51" i="5" s="1"/>
  <c r="J30" i="5"/>
  <c r="J51" i="5" s="1"/>
  <c r="I30" i="5"/>
  <c r="I51" i="5" s="1"/>
  <c r="H30" i="5"/>
  <c r="H51" i="5" s="1"/>
  <c r="G30" i="5"/>
  <c r="G51" i="5" s="1"/>
  <c r="F30" i="5"/>
  <c r="E30" i="5"/>
  <c r="D30" i="5"/>
  <c r="R29" i="5"/>
  <c r="Q29" i="5"/>
  <c r="P29" i="5"/>
  <c r="O29" i="5"/>
  <c r="N29" i="5"/>
  <c r="M29" i="5"/>
  <c r="L29" i="5"/>
  <c r="K29" i="5"/>
  <c r="J29" i="5"/>
  <c r="J50" i="5" s="1"/>
  <c r="I29" i="5"/>
  <c r="I50" i="5" s="1"/>
  <c r="H29" i="5"/>
  <c r="H50" i="5" s="1"/>
  <c r="G29" i="5"/>
  <c r="G50" i="5" s="1"/>
  <c r="F29" i="5"/>
  <c r="E29" i="5"/>
  <c r="D29" i="5"/>
  <c r="R28" i="5"/>
  <c r="Q28" i="5"/>
  <c r="P28" i="5"/>
  <c r="O28" i="5"/>
  <c r="O49" i="5" s="1"/>
  <c r="N28" i="5"/>
  <c r="M28" i="5"/>
  <c r="L28" i="5"/>
  <c r="K28" i="5"/>
  <c r="J28" i="5"/>
  <c r="I28" i="5"/>
  <c r="I49" i="5" s="1"/>
  <c r="H28" i="5"/>
  <c r="H49" i="5" s="1"/>
  <c r="G28" i="5"/>
  <c r="G49" i="5" s="1"/>
  <c r="F28" i="5"/>
  <c r="F49" i="5" s="1"/>
  <c r="E28" i="5"/>
  <c r="E49" i="5" s="1"/>
  <c r="D28" i="5"/>
  <c r="D49" i="5" s="1"/>
  <c r="R27" i="5"/>
  <c r="Q27" i="5"/>
  <c r="P27" i="5"/>
  <c r="O27" i="5"/>
  <c r="O48" i="5" s="1"/>
  <c r="N27" i="5"/>
  <c r="M27" i="5"/>
  <c r="L27" i="5"/>
  <c r="K27" i="5"/>
  <c r="K48" i="5" s="1"/>
  <c r="J27" i="5"/>
  <c r="I27" i="5"/>
  <c r="H27" i="5"/>
  <c r="H32" i="5" s="1"/>
  <c r="H33" i="5" s="1"/>
  <c r="G27" i="5"/>
  <c r="G48" i="5" s="1"/>
  <c r="F27" i="5"/>
  <c r="F48" i="5" s="1"/>
  <c r="E27" i="5"/>
  <c r="E48" i="5" s="1"/>
  <c r="D27" i="5"/>
  <c r="R26" i="5"/>
  <c r="Q26" i="5"/>
  <c r="P26" i="5"/>
  <c r="O26" i="5"/>
  <c r="O47" i="5" s="1"/>
  <c r="N26" i="5"/>
  <c r="N47" i="5" s="1"/>
  <c r="M26" i="5"/>
  <c r="M47" i="5" s="1"/>
  <c r="L26" i="5"/>
  <c r="L47" i="5" s="1"/>
  <c r="K26" i="5"/>
  <c r="J26" i="5"/>
  <c r="I26" i="5"/>
  <c r="H26" i="5"/>
  <c r="G26" i="5"/>
  <c r="G47" i="5" s="1"/>
  <c r="F26" i="5"/>
  <c r="F47" i="5" s="1"/>
  <c r="E26" i="5"/>
  <c r="E47" i="5" s="1"/>
  <c r="D26" i="5"/>
  <c r="D47" i="5" s="1"/>
  <c r="R25" i="5"/>
  <c r="Q25" i="5"/>
  <c r="P25" i="5"/>
  <c r="O25" i="5"/>
  <c r="N25" i="5"/>
  <c r="N46" i="5" s="1"/>
  <c r="M25" i="5"/>
  <c r="M46" i="5" s="1"/>
  <c r="L25" i="5"/>
  <c r="L46" i="5" s="1"/>
  <c r="K25" i="5"/>
  <c r="K46" i="5" s="1"/>
  <c r="J25" i="5"/>
  <c r="J46" i="5" s="1"/>
  <c r="I25" i="5"/>
  <c r="I46" i="5" s="1"/>
  <c r="H25" i="5"/>
  <c r="H46" i="5" s="1"/>
  <c r="G25" i="5"/>
  <c r="F25" i="5"/>
  <c r="F46" i="5" s="1"/>
  <c r="E25" i="5"/>
  <c r="E46" i="5" s="1"/>
  <c r="D25" i="5"/>
  <c r="R24" i="5"/>
  <c r="Q24" i="5"/>
  <c r="P24" i="5"/>
  <c r="O24" i="5"/>
  <c r="O45" i="5" s="1"/>
  <c r="N24" i="5"/>
  <c r="N45" i="5" s="1"/>
  <c r="M24" i="5"/>
  <c r="M45" i="5" s="1"/>
  <c r="L24" i="5"/>
  <c r="L45" i="5" s="1"/>
  <c r="K24" i="5"/>
  <c r="J24" i="5"/>
  <c r="I24" i="5"/>
  <c r="I45" i="5" s="1"/>
  <c r="H24" i="5"/>
  <c r="G24" i="5"/>
  <c r="F24" i="5"/>
  <c r="F45" i="5" s="1"/>
  <c r="E24" i="5"/>
  <c r="E45" i="5" s="1"/>
  <c r="D24" i="5"/>
  <c r="D45" i="5" s="1"/>
  <c r="R23" i="5"/>
  <c r="Q23" i="5"/>
  <c r="Q32" i="5" s="1"/>
  <c r="Q33" i="5" s="1"/>
  <c r="P23" i="5"/>
  <c r="O23" i="5"/>
  <c r="N23" i="5"/>
  <c r="M23" i="5"/>
  <c r="L23" i="5"/>
  <c r="L32" i="5" s="1"/>
  <c r="L33" i="5" s="1"/>
  <c r="K23" i="5"/>
  <c r="K44" i="5" s="1"/>
  <c r="J23" i="5"/>
  <c r="I23" i="5"/>
  <c r="H23" i="5"/>
  <c r="G23" i="5"/>
  <c r="F23" i="5"/>
  <c r="E23" i="5"/>
  <c r="D23" i="5"/>
  <c r="D44" i="5" s="1"/>
  <c r="O52" i="4"/>
  <c r="M52" i="4"/>
  <c r="L52" i="4"/>
  <c r="G52" i="4"/>
  <c r="L51" i="4"/>
  <c r="K51" i="4"/>
  <c r="J51" i="4"/>
  <c r="I51" i="4"/>
  <c r="F51" i="4"/>
  <c r="N50" i="4"/>
  <c r="M50" i="4"/>
  <c r="L50" i="4"/>
  <c r="K50" i="4"/>
  <c r="J50" i="4"/>
  <c r="O49" i="4"/>
  <c r="M49" i="4"/>
  <c r="K49" i="4"/>
  <c r="J49" i="4"/>
  <c r="I49" i="4"/>
  <c r="H49" i="4"/>
  <c r="J48" i="4"/>
  <c r="I48" i="4"/>
  <c r="H48" i="4"/>
  <c r="G48" i="4"/>
  <c r="O47" i="4"/>
  <c r="N47" i="4"/>
  <c r="I47" i="4"/>
  <c r="H47" i="4"/>
  <c r="M46" i="4"/>
  <c r="L46" i="4"/>
  <c r="I46" i="4"/>
  <c r="H46" i="4"/>
  <c r="G46" i="4"/>
  <c r="F46" i="4"/>
  <c r="O45" i="4"/>
  <c r="H45" i="4"/>
  <c r="G45" i="4"/>
  <c r="F45" i="4"/>
  <c r="O44" i="4"/>
  <c r="K44" i="4"/>
  <c r="J44" i="4"/>
  <c r="F44" i="4"/>
  <c r="R31" i="4"/>
  <c r="Q31" i="4"/>
  <c r="P31" i="4"/>
  <c r="O31" i="4"/>
  <c r="N31" i="4"/>
  <c r="N52" i="4" s="1"/>
  <c r="M31" i="4"/>
  <c r="L31" i="4"/>
  <c r="K31" i="4"/>
  <c r="K52" i="4" s="1"/>
  <c r="J31" i="4"/>
  <c r="J52" i="4" s="1"/>
  <c r="I31" i="4"/>
  <c r="I52" i="4" s="1"/>
  <c r="H31" i="4"/>
  <c r="H52" i="4" s="1"/>
  <c r="G31" i="4"/>
  <c r="F31" i="4"/>
  <c r="F52" i="4" s="1"/>
  <c r="E31" i="4"/>
  <c r="D31" i="4"/>
  <c r="R30" i="4"/>
  <c r="Q30" i="4"/>
  <c r="P30" i="4"/>
  <c r="O30" i="4"/>
  <c r="O51" i="4" s="1"/>
  <c r="N30" i="4"/>
  <c r="N51" i="4" s="1"/>
  <c r="M30" i="4"/>
  <c r="M51" i="4" s="1"/>
  <c r="L30" i="4"/>
  <c r="K30" i="4"/>
  <c r="J30" i="4"/>
  <c r="I30" i="4"/>
  <c r="H30" i="4"/>
  <c r="H51" i="4" s="1"/>
  <c r="G30" i="4"/>
  <c r="G51" i="4" s="1"/>
  <c r="F30" i="4"/>
  <c r="E30" i="4"/>
  <c r="D30" i="4"/>
  <c r="R29" i="4"/>
  <c r="Q29" i="4"/>
  <c r="P29" i="4"/>
  <c r="O29" i="4"/>
  <c r="O50" i="4" s="1"/>
  <c r="N29" i="4"/>
  <c r="M29" i="4"/>
  <c r="L29" i="4"/>
  <c r="K29" i="4"/>
  <c r="J29" i="4"/>
  <c r="I29" i="4"/>
  <c r="I50" i="4" s="1"/>
  <c r="H29" i="4"/>
  <c r="H50" i="4" s="1"/>
  <c r="G29" i="4"/>
  <c r="G50" i="4" s="1"/>
  <c r="F29" i="4"/>
  <c r="F50" i="4" s="1"/>
  <c r="E29" i="4"/>
  <c r="D29" i="4"/>
  <c r="R28" i="4"/>
  <c r="Q28" i="4"/>
  <c r="P28" i="4"/>
  <c r="O28" i="4"/>
  <c r="N28" i="4"/>
  <c r="N49" i="4" s="1"/>
  <c r="M28" i="4"/>
  <c r="L28" i="4"/>
  <c r="L49" i="4" s="1"/>
  <c r="K28" i="4"/>
  <c r="J28" i="4"/>
  <c r="I28" i="4"/>
  <c r="H28" i="4"/>
  <c r="G28" i="4"/>
  <c r="G49" i="4" s="1"/>
  <c r="F28" i="4"/>
  <c r="F49" i="4" s="1"/>
  <c r="E28" i="4"/>
  <c r="D28" i="4"/>
  <c r="R27" i="4"/>
  <c r="Q27" i="4"/>
  <c r="P27" i="4"/>
  <c r="O27" i="4"/>
  <c r="O48" i="4" s="1"/>
  <c r="N27" i="4"/>
  <c r="N48" i="4" s="1"/>
  <c r="M27" i="4"/>
  <c r="M48" i="4" s="1"/>
  <c r="L27" i="4"/>
  <c r="L48" i="4" s="1"/>
  <c r="K27" i="4"/>
  <c r="K48" i="4" s="1"/>
  <c r="J27" i="4"/>
  <c r="I27" i="4"/>
  <c r="H27" i="4"/>
  <c r="G27" i="4"/>
  <c r="F27" i="4"/>
  <c r="F48" i="4" s="1"/>
  <c r="E27" i="4"/>
  <c r="E32" i="4" s="1"/>
  <c r="D27" i="4"/>
  <c r="R26" i="4"/>
  <c r="Q26" i="4"/>
  <c r="P26" i="4"/>
  <c r="O26" i="4"/>
  <c r="N26" i="4"/>
  <c r="M26" i="4"/>
  <c r="M47" i="4" s="1"/>
  <c r="L26" i="4"/>
  <c r="L47" i="4" s="1"/>
  <c r="K26" i="4"/>
  <c r="K47" i="4" s="1"/>
  <c r="J26" i="4"/>
  <c r="J47" i="4" s="1"/>
  <c r="I26" i="4"/>
  <c r="H26" i="4"/>
  <c r="G26" i="4"/>
  <c r="G47" i="4" s="1"/>
  <c r="F26" i="4"/>
  <c r="F47" i="4" s="1"/>
  <c r="E26" i="4"/>
  <c r="D26" i="4"/>
  <c r="R25" i="4"/>
  <c r="Q25" i="4"/>
  <c r="P25" i="4"/>
  <c r="O25" i="4"/>
  <c r="O46" i="4" s="1"/>
  <c r="N25" i="4"/>
  <c r="N46" i="4" s="1"/>
  <c r="M25" i="4"/>
  <c r="L25" i="4"/>
  <c r="K25" i="4"/>
  <c r="K32" i="4" s="1"/>
  <c r="K33" i="4" s="1"/>
  <c r="J25" i="4"/>
  <c r="J46" i="4" s="1"/>
  <c r="H55" i="4" s="1"/>
  <c r="I25" i="4"/>
  <c r="H25" i="4"/>
  <c r="G25" i="4"/>
  <c r="F25" i="4"/>
  <c r="E25" i="4"/>
  <c r="D25" i="4"/>
  <c r="D32" i="4" s="1"/>
  <c r="R24" i="4"/>
  <c r="Q24" i="4"/>
  <c r="P24" i="4"/>
  <c r="O24" i="4"/>
  <c r="N24" i="4"/>
  <c r="N45" i="4" s="1"/>
  <c r="M24" i="4"/>
  <c r="M45" i="4" s="1"/>
  <c r="L24" i="4"/>
  <c r="L45" i="4" s="1"/>
  <c r="K24" i="4"/>
  <c r="K45" i="4" s="1"/>
  <c r="J24" i="4"/>
  <c r="J45" i="4" s="1"/>
  <c r="I24" i="4"/>
  <c r="I45" i="4" s="1"/>
  <c r="H24" i="4"/>
  <c r="G24" i="4"/>
  <c r="F24" i="4"/>
  <c r="E24" i="4"/>
  <c r="D24" i="4"/>
  <c r="R23" i="4"/>
  <c r="R32" i="4" s="1"/>
  <c r="R33" i="4" s="1"/>
  <c r="Q23" i="4"/>
  <c r="P23" i="4"/>
  <c r="O23" i="4"/>
  <c r="N23" i="4"/>
  <c r="M23" i="4"/>
  <c r="L23" i="4"/>
  <c r="L32" i="4" s="1"/>
  <c r="L33" i="4" s="1"/>
  <c r="K23" i="4"/>
  <c r="J23" i="4"/>
  <c r="I23" i="4"/>
  <c r="I32" i="4" s="1"/>
  <c r="I33" i="4" s="1"/>
  <c r="H23" i="4"/>
  <c r="G23" i="4"/>
  <c r="G44" i="4" s="1"/>
  <c r="F23" i="4"/>
  <c r="E23" i="4"/>
  <c r="D23" i="4"/>
  <c r="Q19" i="4"/>
  <c r="R52" i="3"/>
  <c r="P52" i="3"/>
  <c r="M52" i="3"/>
  <c r="L52" i="3"/>
  <c r="K52" i="3"/>
  <c r="J52" i="3"/>
  <c r="I52" i="3"/>
  <c r="L51" i="3"/>
  <c r="K51" i="3"/>
  <c r="J51" i="3"/>
  <c r="H51" i="3"/>
  <c r="Q50" i="3"/>
  <c r="P50" i="3"/>
  <c r="M50" i="3"/>
  <c r="K50" i="3"/>
  <c r="J50" i="3"/>
  <c r="I50" i="3"/>
  <c r="H50" i="3"/>
  <c r="G50" i="3"/>
  <c r="R49" i="3"/>
  <c r="O49" i="3"/>
  <c r="M49" i="3"/>
  <c r="K49" i="3"/>
  <c r="J49" i="3"/>
  <c r="I49" i="3"/>
  <c r="H49" i="3"/>
  <c r="G49" i="3"/>
  <c r="Q48" i="3"/>
  <c r="N48" i="3"/>
  <c r="L48" i="3"/>
  <c r="K48" i="3"/>
  <c r="H48" i="3"/>
  <c r="G48" i="3"/>
  <c r="F48" i="3"/>
  <c r="E48" i="3"/>
  <c r="P47" i="3"/>
  <c r="O47" i="3"/>
  <c r="G47" i="3"/>
  <c r="F47" i="3"/>
  <c r="E47" i="3"/>
  <c r="O46" i="3"/>
  <c r="L46" i="3"/>
  <c r="J46" i="3"/>
  <c r="I46" i="3"/>
  <c r="F46" i="3"/>
  <c r="E46" i="3"/>
  <c r="D46" i="3"/>
  <c r="R45" i="3"/>
  <c r="N45" i="3"/>
  <c r="I45" i="3"/>
  <c r="G45" i="3"/>
  <c r="F45" i="3"/>
  <c r="E45" i="3"/>
  <c r="D45" i="3"/>
  <c r="R44" i="3"/>
  <c r="M44" i="3"/>
  <c r="J44" i="3"/>
  <c r="H44" i="3"/>
  <c r="G44" i="3"/>
  <c r="F44" i="3"/>
  <c r="D44" i="3"/>
  <c r="I32" i="3"/>
  <c r="I33" i="3" s="1"/>
  <c r="H32" i="3"/>
  <c r="H33" i="3" s="1"/>
  <c r="E32" i="3"/>
  <c r="E33" i="3" s="1"/>
  <c r="R31" i="3"/>
  <c r="Q31" i="3"/>
  <c r="Q52" i="3" s="1"/>
  <c r="P31" i="3"/>
  <c r="O31" i="3"/>
  <c r="O52" i="3" s="1"/>
  <c r="N31" i="3"/>
  <c r="N52" i="3" s="1"/>
  <c r="M31" i="3"/>
  <c r="L31" i="3"/>
  <c r="K31" i="3"/>
  <c r="J31" i="3"/>
  <c r="I31" i="3"/>
  <c r="H31" i="3"/>
  <c r="H52" i="3" s="1"/>
  <c r="G31" i="3"/>
  <c r="G52" i="3" s="1"/>
  <c r="F31" i="3"/>
  <c r="F52" i="3" s="1"/>
  <c r="E31" i="3"/>
  <c r="E52" i="3" s="1"/>
  <c r="D31" i="3"/>
  <c r="D52" i="3" s="1"/>
  <c r="R30" i="3"/>
  <c r="R51" i="3" s="1"/>
  <c r="Q30" i="3"/>
  <c r="Q51" i="3" s="1"/>
  <c r="P30" i="3"/>
  <c r="P51" i="3" s="1"/>
  <c r="O30" i="3"/>
  <c r="O51" i="3" s="1"/>
  <c r="N30" i="3"/>
  <c r="N51" i="3" s="1"/>
  <c r="M30" i="3"/>
  <c r="M51" i="3" s="1"/>
  <c r="L30" i="3"/>
  <c r="K30" i="3"/>
  <c r="J30" i="3"/>
  <c r="I30" i="3"/>
  <c r="I51" i="3" s="1"/>
  <c r="H30" i="3"/>
  <c r="G30" i="3"/>
  <c r="G51" i="3" s="1"/>
  <c r="F30" i="3"/>
  <c r="F51" i="3" s="1"/>
  <c r="E30" i="3"/>
  <c r="E51" i="3" s="1"/>
  <c r="D30" i="3"/>
  <c r="D51" i="3" s="1"/>
  <c r="R29" i="3"/>
  <c r="R50" i="3" s="1"/>
  <c r="Q29" i="3"/>
  <c r="P29" i="3"/>
  <c r="O29" i="3"/>
  <c r="O50" i="3" s="1"/>
  <c r="M29" i="3"/>
  <c r="L29" i="3"/>
  <c r="L50" i="3" s="1"/>
  <c r="K29" i="3"/>
  <c r="J29" i="3"/>
  <c r="H29" i="3"/>
  <c r="G29" i="3"/>
  <c r="F29" i="3"/>
  <c r="F50" i="3" s="1"/>
  <c r="E29" i="3"/>
  <c r="E50" i="3" s="1"/>
  <c r="D29" i="3"/>
  <c r="D50" i="3" s="1"/>
  <c r="R28" i="3"/>
  <c r="Q28" i="3"/>
  <c r="Q49" i="3" s="1"/>
  <c r="P28" i="3"/>
  <c r="P49" i="3" s="1"/>
  <c r="O28" i="3"/>
  <c r="N28" i="3"/>
  <c r="N49" i="3" s="1"/>
  <c r="M28" i="3"/>
  <c r="L28" i="3"/>
  <c r="L49" i="3" s="1"/>
  <c r="K28" i="3"/>
  <c r="J28" i="3"/>
  <c r="I28" i="3"/>
  <c r="H28" i="3"/>
  <c r="G28" i="3"/>
  <c r="F28" i="3"/>
  <c r="F49" i="3" s="1"/>
  <c r="E28" i="3"/>
  <c r="E49" i="3" s="1"/>
  <c r="D28" i="3"/>
  <c r="D49" i="3" s="1"/>
  <c r="R27" i="3"/>
  <c r="R48" i="3" s="1"/>
  <c r="Q27" i="3"/>
  <c r="P27" i="3"/>
  <c r="P48" i="3" s="1"/>
  <c r="O27" i="3"/>
  <c r="O48" i="3" s="1"/>
  <c r="N27" i="3"/>
  <c r="M27" i="3"/>
  <c r="M48" i="3" s="1"/>
  <c r="L27" i="3"/>
  <c r="K27" i="3"/>
  <c r="J27" i="3"/>
  <c r="J48" i="3" s="1"/>
  <c r="I27" i="3"/>
  <c r="I48" i="3" s="1"/>
  <c r="H27" i="3"/>
  <c r="G27" i="3"/>
  <c r="F27" i="3"/>
  <c r="E27" i="3"/>
  <c r="D27" i="3"/>
  <c r="D48" i="3" s="1"/>
  <c r="R26" i="3"/>
  <c r="R47" i="3" s="1"/>
  <c r="Q26" i="3"/>
  <c r="Q47" i="3" s="1"/>
  <c r="P26" i="3"/>
  <c r="O26" i="3"/>
  <c r="N26" i="3"/>
  <c r="N47" i="3" s="1"/>
  <c r="M26" i="3"/>
  <c r="M47" i="3" s="1"/>
  <c r="L26" i="3"/>
  <c r="L47" i="3" s="1"/>
  <c r="K26" i="3"/>
  <c r="K47" i="3" s="1"/>
  <c r="J26" i="3"/>
  <c r="J47" i="3" s="1"/>
  <c r="I26" i="3"/>
  <c r="I47" i="3" s="1"/>
  <c r="H26" i="3"/>
  <c r="H47" i="3" s="1"/>
  <c r="G26" i="3"/>
  <c r="F26" i="3"/>
  <c r="E26" i="3"/>
  <c r="D26" i="3"/>
  <c r="D32" i="3" s="1"/>
  <c r="D33" i="3" s="1"/>
  <c r="R25" i="3"/>
  <c r="R46" i="3" s="1"/>
  <c r="Q25" i="3"/>
  <c r="Q46" i="3" s="1"/>
  <c r="P25" i="3"/>
  <c r="P46" i="3" s="1"/>
  <c r="O25" i="3"/>
  <c r="N25" i="3"/>
  <c r="N46" i="3" s="1"/>
  <c r="M25" i="3"/>
  <c r="M46" i="3" s="1"/>
  <c r="L25" i="3"/>
  <c r="K25" i="3"/>
  <c r="K46" i="3" s="1"/>
  <c r="J25" i="3"/>
  <c r="I25" i="3"/>
  <c r="H25" i="3"/>
  <c r="H46" i="3" s="1"/>
  <c r="I55" i="3" s="1"/>
  <c r="G25" i="3"/>
  <c r="G46" i="3" s="1"/>
  <c r="F25" i="3"/>
  <c r="E25" i="3"/>
  <c r="D25" i="3"/>
  <c r="R24" i="3"/>
  <c r="R32" i="3" s="1"/>
  <c r="R33" i="3" s="1"/>
  <c r="Q24" i="3"/>
  <c r="Q45" i="3" s="1"/>
  <c r="P24" i="3"/>
  <c r="P45" i="3" s="1"/>
  <c r="O24" i="3"/>
  <c r="O45" i="3" s="1"/>
  <c r="N24" i="3"/>
  <c r="M24" i="3"/>
  <c r="M45" i="3" s="1"/>
  <c r="L24" i="3"/>
  <c r="L45" i="3" s="1"/>
  <c r="K24" i="3"/>
  <c r="K45" i="3" s="1"/>
  <c r="J24" i="3"/>
  <c r="J45" i="3" s="1"/>
  <c r="I24" i="3"/>
  <c r="H24" i="3"/>
  <c r="H45" i="3" s="1"/>
  <c r="G24" i="3"/>
  <c r="F24" i="3"/>
  <c r="F32" i="3" s="1"/>
  <c r="F33" i="3" s="1"/>
  <c r="E24" i="3"/>
  <c r="D24" i="3"/>
  <c r="R23" i="3"/>
  <c r="Q23" i="3"/>
  <c r="Q44" i="3" s="1"/>
  <c r="P23" i="3"/>
  <c r="P44" i="3" s="1"/>
  <c r="O23" i="3"/>
  <c r="O44" i="3" s="1"/>
  <c r="N23" i="3"/>
  <c r="M23" i="3"/>
  <c r="L23" i="3"/>
  <c r="K23" i="3"/>
  <c r="K44" i="3" s="1"/>
  <c r="J23" i="3"/>
  <c r="J32" i="3" s="1"/>
  <c r="J33" i="3" s="1"/>
  <c r="I23" i="3"/>
  <c r="I44" i="3" s="1"/>
  <c r="H23" i="3"/>
  <c r="G23" i="3"/>
  <c r="F23" i="3"/>
  <c r="E23" i="3"/>
  <c r="E44" i="3" s="1"/>
  <c r="D23" i="3"/>
  <c r="R21" i="3"/>
  <c r="R19" i="3"/>
  <c r="N19" i="3"/>
  <c r="N29" i="3" s="1"/>
  <c r="N50" i="3" s="1"/>
  <c r="O31" i="1"/>
  <c r="N31" i="1"/>
  <c r="M31" i="1"/>
  <c r="L31" i="1"/>
  <c r="K31" i="1"/>
  <c r="J31" i="1"/>
  <c r="I31" i="1"/>
  <c r="H31" i="1"/>
  <c r="G31" i="1"/>
  <c r="F31" i="1"/>
  <c r="E31" i="1"/>
  <c r="D31" i="1"/>
  <c r="O30" i="1"/>
  <c r="N30" i="1"/>
  <c r="M30" i="1"/>
  <c r="L30" i="1"/>
  <c r="K30" i="1"/>
  <c r="J30" i="1"/>
  <c r="I30" i="1"/>
  <c r="H30" i="1"/>
  <c r="G30" i="1"/>
  <c r="F30" i="1"/>
  <c r="E30" i="1"/>
  <c r="D30" i="1"/>
  <c r="O29" i="1"/>
  <c r="N29" i="1"/>
  <c r="M29" i="1"/>
  <c r="L29" i="1"/>
  <c r="K29" i="1"/>
  <c r="J29" i="1"/>
  <c r="I29" i="1"/>
  <c r="H29" i="1"/>
  <c r="G29" i="1"/>
  <c r="F29" i="1"/>
  <c r="E29" i="1"/>
  <c r="D29" i="1"/>
  <c r="O28" i="1"/>
  <c r="N28" i="1"/>
  <c r="M28" i="1"/>
  <c r="L28" i="1"/>
  <c r="K28" i="1"/>
  <c r="J28" i="1"/>
  <c r="I28" i="1"/>
  <c r="H28" i="1"/>
  <c r="G28" i="1"/>
  <c r="F28" i="1"/>
  <c r="E28" i="1"/>
  <c r="D28" i="1"/>
  <c r="O27" i="1"/>
  <c r="N27" i="1"/>
  <c r="M27" i="1"/>
  <c r="L27" i="1"/>
  <c r="K27" i="1"/>
  <c r="J27" i="1"/>
  <c r="I27" i="1"/>
  <c r="H27" i="1"/>
  <c r="G27" i="1"/>
  <c r="F27" i="1"/>
  <c r="E27" i="1"/>
  <c r="D27" i="1"/>
  <c r="O26" i="1"/>
  <c r="N26" i="1"/>
  <c r="M26" i="1"/>
  <c r="L26" i="1"/>
  <c r="L32" i="1" s="1"/>
  <c r="L33" i="1" s="1"/>
  <c r="K26" i="1"/>
  <c r="J26" i="1"/>
  <c r="I26" i="1"/>
  <c r="H26" i="1"/>
  <c r="G26" i="1"/>
  <c r="F26" i="1"/>
  <c r="E26" i="1"/>
  <c r="D26" i="1"/>
  <c r="O25" i="1"/>
  <c r="N25" i="1"/>
  <c r="M25" i="1"/>
  <c r="L25" i="1"/>
  <c r="K25" i="1"/>
  <c r="J25" i="1"/>
  <c r="I25" i="1"/>
  <c r="H25" i="1"/>
  <c r="G25" i="1"/>
  <c r="F25" i="1"/>
  <c r="E25" i="1"/>
  <c r="D25" i="1"/>
  <c r="O24" i="1"/>
  <c r="N24" i="1"/>
  <c r="M24" i="1"/>
  <c r="L24" i="1"/>
  <c r="K24" i="1"/>
  <c r="K32" i="1" s="1"/>
  <c r="K33" i="1" s="1"/>
  <c r="J24" i="1"/>
  <c r="J32" i="1" s="1"/>
  <c r="J33" i="1" s="1"/>
  <c r="I24" i="1"/>
  <c r="I32" i="1" s="1"/>
  <c r="I33" i="1" s="1"/>
  <c r="H24" i="1"/>
  <c r="G24" i="1"/>
  <c r="F24" i="1"/>
  <c r="E24" i="1"/>
  <c r="D24" i="1"/>
  <c r="D32" i="1" s="1"/>
  <c r="D33" i="1" s="1"/>
  <c r="O23" i="1"/>
  <c r="O32" i="1" s="1"/>
  <c r="O33" i="1" s="1"/>
  <c r="N23" i="1"/>
  <c r="N32" i="1" s="1"/>
  <c r="N33" i="1" s="1"/>
  <c r="M23" i="1"/>
  <c r="M32" i="1" s="1"/>
  <c r="M33" i="1" s="1"/>
  <c r="L23" i="1"/>
  <c r="K23" i="1"/>
  <c r="J23" i="1"/>
  <c r="I23" i="1"/>
  <c r="H23" i="1"/>
  <c r="G23" i="1"/>
  <c r="G32" i="1" s="1"/>
  <c r="G33" i="1" s="1"/>
  <c r="F23" i="1"/>
  <c r="F32" i="1" s="1"/>
  <c r="F33" i="1" s="1"/>
  <c r="E23" i="1"/>
  <c r="E32" i="1" s="1"/>
  <c r="E33" i="1" s="1"/>
  <c r="D23" i="1"/>
  <c r="K54" i="6" l="1"/>
  <c r="P32" i="6"/>
  <c r="P33" i="6" s="1"/>
  <c r="E32" i="6"/>
  <c r="F32" i="6"/>
  <c r="F33" i="6" s="1"/>
  <c r="M32" i="6"/>
  <c r="M33" i="6" s="1"/>
  <c r="O32" i="6"/>
  <c r="O33" i="6" s="1"/>
  <c r="N32" i="6"/>
  <c r="N33" i="6" s="1"/>
  <c r="Q32" i="6"/>
  <c r="Q33" i="6" s="1"/>
  <c r="M44" i="6"/>
  <c r="R32" i="6"/>
  <c r="R33" i="6" s="1"/>
  <c r="G32" i="6"/>
  <c r="G33" i="6" s="1"/>
  <c r="L32" i="6"/>
  <c r="L33" i="6" s="1"/>
  <c r="D32" i="6"/>
  <c r="H52" i="7"/>
  <c r="H33" i="7"/>
  <c r="I52" i="7"/>
  <c r="I33" i="7"/>
  <c r="F52" i="7"/>
  <c r="M52" i="7"/>
  <c r="M33" i="7"/>
  <c r="L52" i="7"/>
  <c r="L33" i="7"/>
  <c r="K55" i="3"/>
  <c r="L32" i="3"/>
  <c r="L33" i="3" s="1"/>
  <c r="R32" i="5"/>
  <c r="R33" i="5" s="1"/>
  <c r="N36" i="5"/>
  <c r="D32" i="7"/>
  <c r="F45" i="7"/>
  <c r="H32" i="8"/>
  <c r="H33" i="8" s="1"/>
  <c r="I32" i="8"/>
  <c r="I33" i="8" s="1"/>
  <c r="N32" i="3"/>
  <c r="N33" i="3" s="1"/>
  <c r="N44" i="3"/>
  <c r="J32" i="8"/>
  <c r="J33" i="8" s="1"/>
  <c r="H32" i="6"/>
  <c r="H33" i="6" s="1"/>
  <c r="K32" i="8"/>
  <c r="K33" i="8" s="1"/>
  <c r="K44" i="8"/>
  <c r="J44" i="8"/>
  <c r="G32" i="9"/>
  <c r="H44" i="4"/>
  <c r="H32" i="4"/>
  <c r="H33" i="4" s="1"/>
  <c r="I44" i="8"/>
  <c r="F32" i="9"/>
  <c r="K32" i="3"/>
  <c r="K33" i="3" s="1"/>
  <c r="H54" i="5"/>
  <c r="I32" i="6"/>
  <c r="I33" i="6" s="1"/>
  <c r="H32" i="9"/>
  <c r="K32" i="10"/>
  <c r="K33" i="10" s="1"/>
  <c r="D32" i="10"/>
  <c r="D33" i="10" s="1"/>
  <c r="O32" i="3"/>
  <c r="O33" i="3" s="1"/>
  <c r="D47" i="3"/>
  <c r="K46" i="4"/>
  <c r="K55" i="4" s="1"/>
  <c r="J32" i="6"/>
  <c r="J33" i="6" s="1"/>
  <c r="M32" i="8"/>
  <c r="M33" i="8" s="1"/>
  <c r="I32" i="9"/>
  <c r="L32" i="10"/>
  <c r="L33" i="10" s="1"/>
  <c r="E32" i="10"/>
  <c r="E33" i="10" s="1"/>
  <c r="J44" i="10"/>
  <c r="P32" i="3"/>
  <c r="P33" i="3" s="1"/>
  <c r="M32" i="4"/>
  <c r="M33" i="4" s="1"/>
  <c r="F32" i="4"/>
  <c r="F33" i="4" s="1"/>
  <c r="K32" i="6"/>
  <c r="K33" i="6" s="1"/>
  <c r="J32" i="7"/>
  <c r="N32" i="8"/>
  <c r="N33" i="8" s="1"/>
  <c r="J32" i="9"/>
  <c r="M32" i="10"/>
  <c r="M33" i="10" s="1"/>
  <c r="Q32" i="3"/>
  <c r="Q33" i="3" s="1"/>
  <c r="N32" i="4"/>
  <c r="N33" i="4" s="1"/>
  <c r="N44" i="4"/>
  <c r="G32" i="4"/>
  <c r="G33" i="4" s="1"/>
  <c r="I44" i="4"/>
  <c r="I32" i="5"/>
  <c r="I33" i="5" s="1"/>
  <c r="K54" i="5"/>
  <c r="I48" i="7"/>
  <c r="O32" i="8"/>
  <c r="O33" i="8" s="1"/>
  <c r="K32" i="9"/>
  <c r="N32" i="10"/>
  <c r="N33" i="10" s="1"/>
  <c r="I32" i="10"/>
  <c r="I33" i="10" s="1"/>
  <c r="O32" i="4"/>
  <c r="O33" i="4" s="1"/>
  <c r="L32" i="9"/>
  <c r="O32" i="10"/>
  <c r="O33" i="10" s="1"/>
  <c r="O44" i="10"/>
  <c r="P32" i="4"/>
  <c r="P33" i="4" s="1"/>
  <c r="J32" i="4"/>
  <c r="J33" i="4" s="1"/>
  <c r="D32" i="5"/>
  <c r="D33" i="5" s="1"/>
  <c r="G32" i="7"/>
  <c r="Q32" i="8"/>
  <c r="Q33" i="8" s="1"/>
  <c r="M32" i="9"/>
  <c r="P32" i="10"/>
  <c r="P33" i="10" s="1"/>
  <c r="P44" i="10"/>
  <c r="R32" i="10"/>
  <c r="R33" i="10" s="1"/>
  <c r="E32" i="5"/>
  <c r="E33" i="5" s="1"/>
  <c r="N32" i="7"/>
  <c r="N32" i="9"/>
  <c r="Q32" i="10"/>
  <c r="Q33" i="10" s="1"/>
  <c r="Q44" i="10"/>
  <c r="F49" i="10"/>
  <c r="F32" i="10"/>
  <c r="F33" i="10" s="1"/>
  <c r="M44" i="4"/>
  <c r="O32" i="9"/>
  <c r="H32" i="1"/>
  <c r="H33" i="1" s="1"/>
  <c r="L44" i="4"/>
  <c r="O32" i="7"/>
  <c r="N32" i="5"/>
  <c r="N33" i="5" s="1"/>
  <c r="G32" i="5"/>
  <c r="G33" i="5" s="1"/>
  <c r="D46" i="5"/>
  <c r="H48" i="5"/>
  <c r="P32" i="7"/>
  <c r="K32" i="7"/>
  <c r="P32" i="9"/>
  <c r="Q32" i="4"/>
  <c r="Q33" i="4" s="1"/>
  <c r="G32" i="3"/>
  <c r="G33" i="3" s="1"/>
  <c r="L44" i="3"/>
  <c r="F32" i="5"/>
  <c r="O32" i="5"/>
  <c r="O33" i="5" s="1"/>
  <c r="Q32" i="7"/>
  <c r="E32" i="8"/>
  <c r="Q32" i="9"/>
  <c r="G32" i="8"/>
  <c r="G33" i="8" s="1"/>
  <c r="G44" i="8"/>
  <c r="M32" i="3"/>
  <c r="M33" i="3" s="1"/>
  <c r="P32" i="5"/>
  <c r="P33" i="5" s="1"/>
  <c r="J32" i="5"/>
  <c r="J33" i="5" s="1"/>
  <c r="R32" i="7"/>
  <c r="F32" i="8"/>
  <c r="F33" i="8" s="1"/>
  <c r="H55" i="8"/>
  <c r="R32" i="9"/>
  <c r="M44" i="10"/>
  <c r="D44" i="6"/>
  <c r="E44" i="6"/>
  <c r="F44" i="6"/>
  <c r="K33" i="9" l="1"/>
  <c r="K53" i="9"/>
  <c r="I33" i="9"/>
  <c r="I53" i="9"/>
  <c r="K52" i="7"/>
  <c r="K33" i="7"/>
  <c r="R52" i="7"/>
  <c r="R33" i="7"/>
  <c r="M33" i="9"/>
  <c r="M53" i="9"/>
  <c r="O52" i="7"/>
  <c r="O33" i="7"/>
  <c r="G53" i="9"/>
  <c r="G33" i="9"/>
  <c r="Q52" i="7"/>
  <c r="Q33" i="7"/>
  <c r="O33" i="9"/>
  <c r="O53" i="9"/>
  <c r="P52" i="7"/>
  <c r="P33" i="7"/>
  <c r="Q53" i="9"/>
  <c r="Q33" i="9"/>
  <c r="N52" i="7"/>
  <c r="N33" i="7"/>
  <c r="F53" i="9"/>
  <c r="F33" i="9"/>
  <c r="G33" i="7"/>
  <c r="G52" i="7"/>
  <c r="J33" i="9"/>
  <c r="J53" i="9"/>
  <c r="L33" i="9"/>
  <c r="L53" i="9"/>
  <c r="R53" i="9"/>
  <c r="R33" i="9"/>
  <c r="J33" i="7"/>
  <c r="J52" i="7"/>
  <c r="H53" i="9"/>
  <c r="H33" i="9"/>
  <c r="P33" i="9"/>
  <c r="P53" i="9"/>
  <c r="N33" i="9"/>
  <c r="N53" i="9"/>
</calcChain>
</file>

<file path=xl/sharedStrings.xml><?xml version="1.0" encoding="utf-8"?>
<sst xmlns="http://schemas.openxmlformats.org/spreadsheetml/2006/main" count="1106" uniqueCount="129">
  <si>
    <t>ANNEE</t>
  </si>
  <si>
    <t>SAISON</t>
  </si>
  <si>
    <t>Printemps</t>
  </si>
  <si>
    <t>Eté</t>
  </si>
  <si>
    <t>Automne</t>
  </si>
  <si>
    <t>Hiver</t>
  </si>
  <si>
    <t>DATE</t>
  </si>
  <si>
    <t>Catégorie</t>
  </si>
  <si>
    <t>Type</t>
  </si>
  <si>
    <t>Descrition</t>
  </si>
  <si>
    <t>Méso (5mm)</t>
  </si>
  <si>
    <t>Biomédias</t>
  </si>
  <si>
    <t>Petits filtres circulaires aux motifs caractéristiques.</t>
  </si>
  <si>
    <t>Bioperles</t>
  </si>
  <si>
    <t>Billes d’environ 5mm, cylindriques et striées</t>
  </si>
  <si>
    <t>Fragment de fibre</t>
  </si>
  <si>
    <t>Fil de pêche, vêtements, dégradation de filets</t>
  </si>
  <si>
    <t xml:space="preserve">Films plastiques </t>
  </si>
  <si>
    <t>Emballages, films alimentaires</t>
  </si>
  <si>
    <t>Fragments jeunes</t>
  </si>
  <si>
    <t>Fragments anguleux qui gardent leur couleur d’origine</t>
  </si>
  <si>
    <t>Fragments vieillis</t>
  </si>
  <si>
    <t>Fragments aux coins arrondis et/ou blanchis par le sel et le soleil.</t>
  </si>
  <si>
    <t>Mousses</t>
  </si>
  <si>
    <t>Souples et alvéolées</t>
  </si>
  <si>
    <t xml:space="preserve">Polystirène expansé </t>
  </si>
  <si>
    <t>Très légers, non alvéolés, extrêmement volatiles</t>
  </si>
  <si>
    <t>Micro (1mm)</t>
  </si>
  <si>
    <t>GPI</t>
  </si>
  <si>
    <t>Billes sphériques ou légèrement ovales, aux couleurs variées et de diamètre 1 à 2mm.</t>
  </si>
  <si>
    <t>TOTAL</t>
  </si>
  <si>
    <t>Normalisation sur 100m</t>
  </si>
  <si>
    <t>Points GPS</t>
  </si>
  <si>
    <t>A</t>
  </si>
  <si>
    <t>B</t>
  </si>
  <si>
    <t>C</t>
  </si>
  <si>
    <t>D</t>
  </si>
  <si>
    <t>plage</t>
  </si>
  <si>
    <t>saison</t>
  </si>
  <si>
    <t>date</t>
  </si>
  <si>
    <t>Total</t>
  </si>
  <si>
    <t>normalisation sur 100 m</t>
  </si>
  <si>
    <t>Roya</t>
  </si>
  <si>
    <t>NA</t>
  </si>
  <si>
    <t>Ete</t>
  </si>
  <si>
    <t>Saleccia</t>
  </si>
  <si>
    <t>Ostriconi</t>
  </si>
  <si>
    <t>Ferringule</t>
  </si>
  <si>
    <t>Petracurbara</t>
  </si>
  <si>
    <t>Macinaghju</t>
  </si>
  <si>
    <t>Lozari</t>
  </si>
  <si>
    <t>Barcaghju</t>
  </si>
  <si>
    <t>Description</t>
  </si>
  <si>
    <t>Remarque</t>
  </si>
  <si>
    <t>42.735017, 9.344733</t>
  </si>
  <si>
    <t>42.734141, 9.344303</t>
  </si>
  <si>
    <t>42.735083, 9.344461</t>
  </si>
  <si>
    <t>42.734197, 9.344085</t>
  </si>
  <si>
    <t>Printemps 2022</t>
  </si>
  <si>
    <t>Eté 2022</t>
  </si>
  <si>
    <t>Automne 2022</t>
  </si>
  <si>
    <t>Hiver 2022</t>
  </si>
  <si>
    <t>Printemps 2023</t>
  </si>
  <si>
    <t>Eté 2023</t>
  </si>
  <si>
    <t>Automne 2023</t>
  </si>
  <si>
    <t>Hiver 2023</t>
  </si>
  <si>
    <t>Printemps 2024</t>
  </si>
  <si>
    <t>Eté 2024</t>
  </si>
  <si>
    <t>Automne 2024</t>
  </si>
  <si>
    <t>Hiver 2024</t>
  </si>
  <si>
    <t xml:space="preserve">Total GPI </t>
  </si>
  <si>
    <t>X</t>
  </si>
  <si>
    <t>tempète la semaine précédente, tous les microplastiques localisés en haut de plage</t>
  </si>
  <si>
    <t>tempete bejamin juste avant</t>
  </si>
  <si>
    <t>42.661521017362645, 9.060407565016588</t>
  </si>
  <si>
    <t>42.661386060995206, 9.061094071570006</t>
  </si>
  <si>
    <t>42.662245778028876, 9.061563071096595</t>
  </si>
  <si>
    <t>42.662388229993915, 9.060907151468827</t>
  </si>
  <si>
    <t>Total GPI</t>
  </si>
  <si>
    <t>42.726592 , 9.205542</t>
  </si>
  <si>
    <t>42.726100 , 9.204469</t>
  </si>
  <si>
    <t>42.726776 , 9.205341</t>
  </si>
  <si>
    <t>42.726345 , 9.204383</t>
  </si>
  <si>
    <t>Total GPI / Année</t>
  </si>
  <si>
    <t xml:space="preserve"> </t>
  </si>
  <si>
    <t>Microplastiques retrouvés uniquement sur les bandes 1 et 2, voir pour décaler la zone de collecte plus à l'Est</t>
  </si>
  <si>
    <t>42.6753411385018, 9.285528844590937</t>
  </si>
  <si>
    <t>42.67596858388672, 9.284623374147579</t>
  </si>
  <si>
    <t>42.6754227577721, 9.285629452417975</t>
  </si>
  <si>
    <t>42.676037449457766, 9.284741328151695</t>
  </si>
  <si>
    <t>Total GPI / année</t>
  </si>
  <si>
    <t>42.83850873120729, 9.47971942166235</t>
  </si>
  <si>
    <t>42.83941217634041, 9.479907015927447</t>
  </si>
  <si>
    <t>42.83850639971891, 9.479886348767273</t>
  </si>
  <si>
    <t>42.83937603878906, 9.480058045212852</t>
  </si>
  <si>
    <t>42.965595497392506, 9.452401468875316</t>
  </si>
  <si>
    <t>42.96627539751461, 9.45321987460689</t>
  </si>
  <si>
    <t>42.965486289936706, 9.452560335870269</t>
  </si>
  <si>
    <t>42.96616619126581, 9.453369113299118</t>
  </si>
  <si>
    <t>x</t>
  </si>
  <si>
    <t>Grosse accumulation de microplastique dans la végétation de haut de plage (donc non integrée au protocole)</t>
  </si>
  <si>
    <t>43.007738223184795, 9.415922618834077</t>
  </si>
  <si>
    <t>43.00695836752127, 9.415320652993383</t>
  </si>
  <si>
    <t>43.00707521063687, 9.415138576901274</t>
  </si>
  <si>
    <t>43.007643119364936, 9.415721963554292</t>
  </si>
  <si>
    <t>Printemps 2025</t>
  </si>
  <si>
    <t>Eté 2025</t>
  </si>
  <si>
    <t>Automne 2025</t>
  </si>
  <si>
    <t>total de miscroplastiques sur 100</t>
  </si>
  <si>
    <t xml:space="preserve"> 2022 Printemps</t>
  </si>
  <si>
    <t>2022 Eté</t>
  </si>
  <si>
    <t>2022 Automne</t>
  </si>
  <si>
    <t>2022 Hiver</t>
  </si>
  <si>
    <t>2023 Printemps</t>
  </si>
  <si>
    <t xml:space="preserve">2023 Eté </t>
  </si>
  <si>
    <t xml:space="preserve">2023 Automne </t>
  </si>
  <si>
    <t xml:space="preserve"> 2023 Hiver</t>
  </si>
  <si>
    <t>2024 Printemps</t>
  </si>
  <si>
    <t>2024 Eté</t>
  </si>
  <si>
    <t>2024 Automne</t>
  </si>
  <si>
    <t>2025 Hiver</t>
  </si>
  <si>
    <t>2025 Printemps</t>
  </si>
  <si>
    <t>2025 Automne</t>
  </si>
  <si>
    <t>La Roya</t>
  </si>
  <si>
    <t>L'ostriconi</t>
  </si>
  <si>
    <t>A REFAIRE</t>
  </si>
  <si>
    <t>Plages</t>
  </si>
  <si>
    <t>normalisation sur 100m</t>
  </si>
  <si>
    <t>NA,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</si>
</sst>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d/m/yyyy"/>
    <numFmt numFmtId="166" formatCode="d/m/yy"/>
    <numFmt numFmtId="167" formatCode="dd/mm"/>
  </numFmts>
  <fonts count="2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</font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  <scheme val="minor"/>
    </font>
    <font>
      <b/>
      <sz val="10"/>
      <color rgb="FF000000"/>
      <name val="Arial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Times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Calibri"/>
    </font>
    <font>
      <sz val="9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b/>
      <sz val="11"/>
      <color theme="1"/>
      <name val="Arial"/>
    </font>
    <font>
      <sz val="14"/>
      <color theme="1"/>
      <name val="Arial"/>
    </font>
    <font>
      <sz val="17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D9F1F3"/>
        <bgColor rgb="FFD9F1F3"/>
      </patternFill>
    </fill>
    <fill>
      <patternFill patternType="solid">
        <fgColor rgb="FFCCCCCC"/>
        <bgColor rgb="FFCCCCCC"/>
      </patternFill>
    </fill>
    <fill>
      <patternFill patternType="solid">
        <fgColor rgb="FFFFA766"/>
        <bgColor rgb="FFFFA766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9">
    <xf numFmtId="0" fontId="0" fillId="0" borderId="0" xfId="0" applyFont="1" applyAlignment="1"/>
    <xf numFmtId="0" fontId="4" fillId="3" borderId="3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/>
    </xf>
    <xf numFmtId="14" fontId="7" fillId="8" borderId="8" xfId="0" applyNumberFormat="1" applyFont="1" applyFill="1" applyBorder="1" applyAlignment="1"/>
    <xf numFmtId="14" fontId="7" fillId="9" borderId="8" xfId="0" applyNumberFormat="1" applyFont="1" applyFill="1" applyBorder="1" applyAlignment="1"/>
    <xf numFmtId="14" fontId="8" fillId="10" borderId="8" xfId="0" applyNumberFormat="1" applyFont="1" applyFill="1" applyBorder="1" applyAlignment="1"/>
    <xf numFmtId="0" fontId="8" fillId="11" borderId="8" xfId="0" applyFont="1" applyFill="1" applyBorder="1"/>
    <xf numFmtId="0" fontId="7" fillId="8" borderId="8" xfId="0" applyFont="1" applyFill="1" applyBorder="1"/>
    <xf numFmtId="0" fontId="7" fillId="9" borderId="8" xfId="0" applyFont="1" applyFill="1" applyBorder="1"/>
    <xf numFmtId="0" fontId="8" fillId="10" borderId="8" xfId="0" applyFont="1" applyFill="1" applyBorder="1"/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0" fillId="10" borderId="8" xfId="0" applyFont="1" applyFill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0" fillId="10" borderId="8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0" fillId="7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7" fillId="13" borderId="8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0" fillId="17" borderId="8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0" fillId="18" borderId="8" xfId="0" applyFont="1" applyFill="1" applyBorder="1" applyAlignment="1">
      <alignment horizontal="center" vertical="center"/>
    </xf>
    <xf numFmtId="0" fontId="10" fillId="19" borderId="8" xfId="0" applyFont="1" applyFill="1" applyBorder="1" applyAlignment="1">
      <alignment horizontal="center" vertical="center"/>
    </xf>
    <xf numFmtId="0" fontId="7" fillId="0" borderId="0" xfId="0" applyFont="1"/>
    <xf numFmtId="0" fontId="10" fillId="20" borderId="8" xfId="0" applyFont="1" applyFill="1" applyBorder="1" applyAlignment="1">
      <alignment horizontal="center" vertical="center"/>
    </xf>
    <xf numFmtId="0" fontId="10" fillId="21" borderId="8" xfId="0" applyFont="1" applyFill="1" applyBorder="1" applyAlignment="1">
      <alignment horizontal="center" vertical="center"/>
    </xf>
    <xf numFmtId="0" fontId="10" fillId="22" borderId="8" xfId="0" applyFont="1" applyFill="1" applyBorder="1" applyAlignment="1">
      <alignment horizontal="center" vertical="center"/>
    </xf>
    <xf numFmtId="0" fontId="10" fillId="23" borderId="8" xfId="0" applyFont="1" applyFill="1" applyBorder="1" applyAlignment="1">
      <alignment horizontal="center" vertical="center"/>
    </xf>
    <xf numFmtId="0" fontId="7" fillId="2" borderId="0" xfId="0" applyFont="1" applyFill="1"/>
    <xf numFmtId="0" fontId="2" fillId="2" borderId="0" xfId="0" applyFont="1" applyFill="1"/>
    <xf numFmtId="0" fontId="7" fillId="24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5" borderId="8" xfId="0" applyFont="1" applyFill="1" applyBorder="1" applyAlignment="1">
      <alignment horizontal="center" vertical="center"/>
    </xf>
    <xf numFmtId="0" fontId="7" fillId="26" borderId="8" xfId="0" applyFont="1" applyFill="1" applyBorder="1" applyAlignment="1">
      <alignment horizontal="center" vertical="center"/>
    </xf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5" fillId="27" borderId="0" xfId="0" applyFont="1" applyFill="1" applyAlignment="1"/>
    <xf numFmtId="0" fontId="5" fillId="27" borderId="0" xfId="0" applyFont="1" applyFill="1"/>
    <xf numFmtId="0" fontId="2" fillId="0" borderId="0" xfId="0" applyFont="1" applyAlignment="1"/>
    <xf numFmtId="14" fontId="8" fillId="11" borderId="8" xfId="0" applyNumberFormat="1" applyFont="1" applyFill="1" applyBorder="1" applyAlignment="1">
      <alignment horizontal="center"/>
    </xf>
    <xf numFmtId="0" fontId="2" fillId="0" borderId="0" xfId="0" applyFont="1"/>
    <xf numFmtId="165" fontId="8" fillId="10" borderId="8" xfId="0" applyNumberFormat="1" applyFont="1" applyFill="1" applyBorder="1" applyAlignment="1">
      <alignment horizontal="center"/>
    </xf>
    <xf numFmtId="14" fontId="8" fillId="11" borderId="8" xfId="0" applyNumberFormat="1" applyFont="1" applyFill="1" applyBorder="1" applyAlignment="1"/>
    <xf numFmtId="14" fontId="10" fillId="8" borderId="8" xfId="0" applyNumberFormat="1" applyFont="1" applyFill="1" applyBorder="1" applyAlignment="1"/>
    <xf numFmtId="165" fontId="8" fillId="10" borderId="8" xfId="0" applyNumberFormat="1" applyFont="1" applyFill="1" applyBorder="1" applyAlignment="1"/>
    <xf numFmtId="14" fontId="7" fillId="8" borderId="8" xfId="0" applyNumberFormat="1" applyFont="1" applyFill="1" applyBorder="1" applyAlignment="1">
      <alignment horizontal="center"/>
    </xf>
    <xf numFmtId="14" fontId="7" fillId="9" borderId="8" xfId="0" applyNumberFormat="1" applyFont="1" applyFill="1" applyBorder="1" applyAlignment="1">
      <alignment horizontal="center"/>
    </xf>
    <xf numFmtId="166" fontId="8" fillId="10" borderId="8" xfId="0" applyNumberFormat="1" applyFont="1" applyFill="1" applyBorder="1" applyAlignment="1">
      <alignment horizontal="center"/>
    </xf>
    <xf numFmtId="166" fontId="8" fillId="10" borderId="8" xfId="0" applyNumberFormat="1" applyFont="1" applyFill="1" applyBorder="1" applyAlignment="1"/>
    <xf numFmtId="14" fontId="8" fillId="10" borderId="8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8" fillId="10" borderId="8" xfId="0" applyNumberFormat="1" applyFont="1" applyFill="1" applyBorder="1" applyAlignment="1"/>
    <xf numFmtId="0" fontId="8" fillId="2" borderId="0" xfId="0" applyFont="1" applyFill="1"/>
    <xf numFmtId="0" fontId="10" fillId="2" borderId="0" xfId="0" applyFont="1" applyFill="1"/>
    <xf numFmtId="0" fontId="0" fillId="11" borderId="8" xfId="0" applyFont="1" applyFill="1" applyBorder="1" applyAlignment="1">
      <alignment horizontal="center" vertical="center"/>
    </xf>
    <xf numFmtId="0" fontId="11" fillId="2" borderId="0" xfId="0" applyFont="1" applyFill="1"/>
    <xf numFmtId="0" fontId="0" fillId="7" borderId="8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0" fillId="28" borderId="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7" fillId="2" borderId="8" xfId="0" applyFont="1" applyFill="1" applyBorder="1"/>
    <xf numFmtId="0" fontId="2" fillId="2" borderId="8" xfId="0" applyFont="1" applyFill="1" applyBorder="1"/>
    <xf numFmtId="0" fontId="15" fillId="3" borderId="4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11" fillId="4" borderId="13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0" fillId="2" borderId="8" xfId="0" applyFont="1" applyFill="1" applyBorder="1" applyAlignment="1">
      <alignment horizontal="center" vertical="center"/>
    </xf>
    <xf numFmtId="0" fontId="2" fillId="0" borderId="8" xfId="0" applyFont="1" applyBorder="1" applyAlignment="1"/>
    <xf numFmtId="0" fontId="2" fillId="2" borderId="4" xfId="0" applyFont="1" applyFill="1" applyBorder="1"/>
    <xf numFmtId="0" fontId="4" fillId="3" borderId="8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164" fontId="8" fillId="11" borderId="8" xfId="0" applyNumberFormat="1" applyFont="1" applyFill="1" applyBorder="1" applyAlignment="1">
      <alignment horizontal="center"/>
    </xf>
    <xf numFmtId="14" fontId="8" fillId="9" borderId="8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5" borderId="8" xfId="0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/>
    <xf numFmtId="0" fontId="10" fillId="20" borderId="8" xfId="0" applyFont="1" applyFill="1" applyBorder="1" applyAlignment="1">
      <alignment horizontal="center" vertical="center"/>
    </xf>
    <xf numFmtId="0" fontId="10" fillId="21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wrapText="1"/>
    </xf>
    <xf numFmtId="0" fontId="2" fillId="2" borderId="0" xfId="0" applyFont="1" applyFill="1" applyAlignment="1"/>
    <xf numFmtId="0" fontId="7" fillId="26" borderId="8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/>
    </xf>
    <xf numFmtId="164" fontId="8" fillId="11" borderId="8" xfId="0" applyNumberFormat="1" applyFont="1" applyFill="1" applyBorder="1" applyAlignment="1"/>
    <xf numFmtId="0" fontId="0" fillId="2" borderId="9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10" fillId="22" borderId="8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8" fillId="8" borderId="8" xfId="0" applyNumberFormat="1" applyFont="1" applyFill="1" applyBorder="1" applyAlignment="1">
      <alignment horizontal="center"/>
    </xf>
    <xf numFmtId="164" fontId="7" fillId="9" borderId="8" xfId="0" applyNumberFormat="1" applyFont="1" applyFill="1" applyBorder="1" applyAlignment="1">
      <alignment horizontal="center"/>
    </xf>
    <xf numFmtId="0" fontId="2" fillId="10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16" fillId="10" borderId="8" xfId="0" applyNumberFormat="1" applyFont="1" applyFill="1" applyBorder="1" applyAlignment="1">
      <alignment horizontal="center"/>
    </xf>
    <xf numFmtId="14" fontId="16" fillId="11" borderId="8" xfId="0" applyNumberFormat="1" applyFont="1" applyFill="1" applyBorder="1" applyAlignment="1">
      <alignment horizontal="center"/>
    </xf>
    <xf numFmtId="14" fontId="16" fillId="8" borderId="8" xfId="0" applyNumberFormat="1" applyFont="1" applyFill="1" applyBorder="1" applyAlignment="1">
      <alignment horizontal="center"/>
    </xf>
    <xf numFmtId="14" fontId="16" fillId="9" borderId="8" xfId="0" applyNumberFormat="1" applyFont="1" applyFill="1" applyBorder="1" applyAlignment="1">
      <alignment horizontal="center"/>
    </xf>
    <xf numFmtId="14" fontId="7" fillId="10" borderId="8" xfId="0" applyNumberFormat="1" applyFont="1" applyFill="1" applyBorder="1" applyAlignment="1">
      <alignment horizontal="center"/>
    </xf>
    <xf numFmtId="0" fontId="2" fillId="2" borderId="6" xfId="0" applyFont="1" applyFill="1" applyBorder="1"/>
    <xf numFmtId="0" fontId="2" fillId="0" borderId="6" xfId="0" applyFont="1" applyBorder="1"/>
    <xf numFmtId="0" fontId="2" fillId="0" borderId="9" xfId="0" applyFont="1" applyBorder="1"/>
    <xf numFmtId="0" fontId="2" fillId="0" borderId="14" xfId="0" applyFont="1" applyBorder="1"/>
    <xf numFmtId="0" fontId="10" fillId="29" borderId="8" xfId="0" applyFont="1" applyFill="1" applyBorder="1" applyAlignment="1">
      <alignment horizontal="center" vertical="center"/>
    </xf>
    <xf numFmtId="0" fontId="15" fillId="26" borderId="8" xfId="0" applyFont="1" applyFill="1" applyBorder="1" applyAlignment="1">
      <alignment horizontal="center" wrapText="1"/>
    </xf>
    <xf numFmtId="0" fontId="11" fillId="7" borderId="8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/>
    </xf>
    <xf numFmtId="14" fontId="17" fillId="11" borderId="8" xfId="0" applyNumberFormat="1" applyFont="1" applyFill="1" applyBorder="1" applyAlignment="1">
      <alignment horizontal="center"/>
    </xf>
    <xf numFmtId="14" fontId="8" fillId="6" borderId="8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7" xfId="0" applyFont="1" applyFill="1" applyBorder="1"/>
    <xf numFmtId="0" fontId="18" fillId="9" borderId="8" xfId="0" applyFont="1" applyFill="1" applyBorder="1" applyAlignment="1">
      <alignment horizontal="center"/>
    </xf>
    <xf numFmtId="0" fontId="11" fillId="11" borderId="8" xfId="0" applyFont="1" applyFill="1" applyBorder="1" applyAlignment="1">
      <alignment horizontal="center"/>
    </xf>
    <xf numFmtId="0" fontId="18" fillId="8" borderId="8" xfId="0" applyFont="1" applyFill="1" applyBorder="1" applyAlignment="1">
      <alignment horizontal="center"/>
    </xf>
    <xf numFmtId="0" fontId="0" fillId="9" borderId="8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/>
    </xf>
    <xf numFmtId="0" fontId="18" fillId="8" borderId="13" xfId="0" applyFont="1" applyFill="1" applyBorder="1" applyAlignment="1">
      <alignment horizontal="center"/>
    </xf>
    <xf numFmtId="0" fontId="18" fillId="9" borderId="13" xfId="0" applyFont="1" applyFill="1" applyBorder="1" applyAlignment="1">
      <alignment horizontal="center"/>
    </xf>
    <xf numFmtId="0" fontId="10" fillId="11" borderId="8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0" fillId="29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5" borderId="8" xfId="0" applyFont="1" applyFill="1" applyBorder="1" applyAlignment="1">
      <alignment horizontal="center"/>
    </xf>
    <xf numFmtId="0" fontId="10" fillId="10" borderId="8" xfId="0" applyFont="1" applyFill="1" applyBorder="1" applyAlignment="1">
      <alignment horizontal="center"/>
    </xf>
    <xf numFmtId="0" fontId="11" fillId="2" borderId="8" xfId="0" applyFont="1" applyFill="1" applyBorder="1" applyAlignment="1"/>
    <xf numFmtId="0" fontId="11" fillId="2" borderId="0" xfId="0" applyFont="1" applyFill="1" applyAlignment="1"/>
    <xf numFmtId="0" fontId="15" fillId="3" borderId="5" xfId="0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1" fillId="7" borderId="10" xfId="0" applyFont="1" applyFill="1" applyBorder="1" applyAlignment="1">
      <alignment horizontal="center"/>
    </xf>
    <xf numFmtId="0" fontId="11" fillId="7" borderId="0" xfId="0" applyFont="1" applyFill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13" borderId="8" xfId="0" applyFont="1" applyFill="1" applyBorder="1" applyAlignment="1">
      <alignment horizontal="center"/>
    </xf>
    <xf numFmtId="0" fontId="11" fillId="0" borderId="0" xfId="0" applyFont="1" applyAlignment="1"/>
    <xf numFmtId="0" fontId="5" fillId="3" borderId="0" xfId="0" applyFont="1" applyFill="1" applyAlignment="1">
      <alignment horizontal="center" vertical="center"/>
    </xf>
    <xf numFmtId="0" fontId="8" fillId="2" borderId="0" xfId="0" applyFont="1" applyFill="1" applyAlignment="1"/>
    <xf numFmtId="0" fontId="7" fillId="14" borderId="4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/>
    <xf numFmtId="0" fontId="10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1" fillId="0" borderId="0" xfId="0" applyFont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2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4" fontId="1" fillId="8" borderId="8" xfId="0" applyNumberFormat="1" applyFont="1" applyFill="1" applyBorder="1" applyAlignment="1">
      <alignment horizontal="center"/>
    </xf>
    <xf numFmtId="14" fontId="1" fillId="11" borderId="8" xfId="0" applyNumberFormat="1" applyFont="1" applyFill="1" applyBorder="1" applyAlignment="1">
      <alignment horizontal="center"/>
    </xf>
    <xf numFmtId="165" fontId="1" fillId="10" borderId="8" xfId="0" applyNumberFormat="1" applyFont="1" applyFill="1" applyBorder="1" applyAlignment="1">
      <alignment horizontal="center"/>
    </xf>
    <xf numFmtId="14" fontId="1" fillId="9" borderId="8" xfId="0" applyNumberFormat="1" applyFont="1" applyFill="1" applyBorder="1" applyAlignment="1">
      <alignment horizontal="center"/>
    </xf>
    <xf numFmtId="166" fontId="1" fillId="10" borderId="8" xfId="0" applyNumberFormat="1" applyFont="1" applyFill="1" applyBorder="1" applyAlignment="1">
      <alignment horizontal="center"/>
    </xf>
    <xf numFmtId="167" fontId="1" fillId="8" borderId="8" xfId="0" applyNumberFormat="1" applyFont="1" applyFill="1" applyBorder="1" applyAlignment="1">
      <alignment horizontal="center"/>
    </xf>
    <xf numFmtId="14" fontId="1" fillId="10" borderId="8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3" fillId="26" borderId="8" xfId="0" applyFont="1" applyFill="1" applyBorder="1" applyAlignment="1">
      <alignment horizontal="center" wrapText="1"/>
    </xf>
    <xf numFmtId="0" fontId="7" fillId="15" borderId="11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7" fillId="14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7" fillId="16" borderId="1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3" fillId="0" borderId="2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3" xfId="0" applyFont="1" applyFill="1" applyBorder="1" applyAlignment="1">
      <alignment horizontal="center" vertical="center"/>
    </xf>
    <xf numFmtId="0" fontId="10" fillId="3" borderId="3" xfId="0" applyFont="1" applyFill="1" applyBorder="1"/>
    <xf numFmtId="0" fontId="7" fillId="12" borderId="11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/>
    </xf>
    <xf numFmtId="0" fontId="2" fillId="2" borderId="3" xfId="0" applyFont="1" applyFill="1" applyBorder="1"/>
    <xf numFmtId="0" fontId="10" fillId="3" borderId="3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" fillId="2" borderId="1" xfId="0" applyFont="1" applyFill="1" applyBorder="1" applyAlignment="1"/>
    <xf numFmtId="0" fontId="5" fillId="14" borderId="14" xfId="0" applyFont="1" applyFill="1" applyBorder="1" applyAlignment="1">
      <alignment horizontal="center"/>
    </xf>
    <xf numFmtId="0" fontId="3" fillId="0" borderId="14" xfId="0" applyFont="1" applyBorder="1"/>
    <xf numFmtId="0" fontId="19" fillId="3" borderId="4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30" borderId="11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GB" b="1">
                <a:solidFill>
                  <a:srgbClr val="757575"/>
                </a:solidFill>
                <a:latin typeface="+mn-lt"/>
              </a:rPr>
              <a:t>Catégories de microplastiques retrouvés sur la plage de Ferringule à chaque saison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Ferringule!$D$43</c:f>
              <c:strCache>
                <c:ptCount val="1"/>
                <c:pt idx="0">
                  <c:v>Printemps 2022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Ferringule!$C$44:$C$52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Ferringule!$D$44:$D$52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880</c:v>
                </c:pt>
                <c:pt idx="3">
                  <c:v>80</c:v>
                </c:pt>
                <c:pt idx="4">
                  <c:v>400</c:v>
                </c:pt>
                <c:pt idx="5">
                  <c:v>1280</c:v>
                </c:pt>
                <c:pt idx="6">
                  <c:v>400</c:v>
                </c:pt>
                <c:pt idx="7">
                  <c:v>0</c:v>
                </c:pt>
                <c:pt idx="8">
                  <c:v>280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1C0-4588-B8AB-8D0084088904}"/>
            </c:ext>
          </c:extLst>
        </c:ser>
        <c:ser>
          <c:idx val="1"/>
          <c:order val="1"/>
          <c:tx>
            <c:strRef>
              <c:f>Ferringule!$E$43</c:f>
              <c:strCache>
                <c:ptCount val="1"/>
                <c:pt idx="0">
                  <c:v>Eté 2022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Ferringule!$C$44:$C$52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Ferringule!$E$44:$E$52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2880</c:v>
                </c:pt>
                <c:pt idx="3">
                  <c:v>120</c:v>
                </c:pt>
                <c:pt idx="4">
                  <c:v>240</c:v>
                </c:pt>
                <c:pt idx="5">
                  <c:v>840</c:v>
                </c:pt>
                <c:pt idx="6">
                  <c:v>5920</c:v>
                </c:pt>
                <c:pt idx="7">
                  <c:v>240</c:v>
                </c:pt>
                <c:pt idx="8">
                  <c:v>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1C0-4588-B8AB-8D0084088904}"/>
            </c:ext>
          </c:extLst>
        </c:ser>
        <c:ser>
          <c:idx val="2"/>
          <c:order val="2"/>
          <c:tx>
            <c:strRef>
              <c:f>Ferringule!$F$43</c:f>
              <c:strCache>
                <c:ptCount val="1"/>
                <c:pt idx="0">
                  <c:v>Automne 2022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01C0-4588-B8AB-8D0084088904}"/>
              </c:ext>
            </c:extLst>
          </c:dPt>
          <c:cat>
            <c:strRef>
              <c:f>Ferringule!$C$44:$C$52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Ferringule!$F$44:$F$52</c:f>
              <c:numCache>
                <c:formatCode>General</c:formatCode>
                <c:ptCount val="9"/>
                <c:pt idx="0">
                  <c:v>120</c:v>
                </c:pt>
                <c:pt idx="1">
                  <c:v>0</c:v>
                </c:pt>
                <c:pt idx="2">
                  <c:v>1560</c:v>
                </c:pt>
                <c:pt idx="3">
                  <c:v>440</c:v>
                </c:pt>
                <c:pt idx="4">
                  <c:v>1240</c:v>
                </c:pt>
                <c:pt idx="5">
                  <c:v>3520</c:v>
                </c:pt>
                <c:pt idx="6">
                  <c:v>20440</c:v>
                </c:pt>
                <c:pt idx="7">
                  <c:v>120</c:v>
                </c:pt>
                <c:pt idx="8">
                  <c:v>920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1C0-4588-B8AB-8D0084088904}"/>
            </c:ext>
          </c:extLst>
        </c:ser>
        <c:ser>
          <c:idx val="3"/>
          <c:order val="3"/>
          <c:tx>
            <c:strRef>
              <c:f>Ferringule!$G$43</c:f>
              <c:strCache>
                <c:ptCount val="1"/>
                <c:pt idx="0">
                  <c:v>Hiver 2022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Ferringule!$C$44:$C$52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Ferringule!$G$44:$G$52</c:f>
              <c:numCache>
                <c:formatCode>General</c:formatCode>
                <c:ptCount val="9"/>
                <c:pt idx="0">
                  <c:v>0</c:v>
                </c:pt>
                <c:pt idx="1">
                  <c:v>80</c:v>
                </c:pt>
                <c:pt idx="2">
                  <c:v>5520</c:v>
                </c:pt>
                <c:pt idx="3">
                  <c:v>200</c:v>
                </c:pt>
                <c:pt idx="4">
                  <c:v>120</c:v>
                </c:pt>
                <c:pt idx="5">
                  <c:v>1040</c:v>
                </c:pt>
                <c:pt idx="6">
                  <c:v>25840</c:v>
                </c:pt>
                <c:pt idx="7">
                  <c:v>80</c:v>
                </c:pt>
                <c:pt idx="8">
                  <c:v>1440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1C0-4588-B8AB-8D0084088904}"/>
            </c:ext>
          </c:extLst>
        </c:ser>
        <c:ser>
          <c:idx val="4"/>
          <c:order val="4"/>
          <c:tx>
            <c:strRef>
              <c:f>Ferringule!$H$43</c:f>
              <c:strCache>
                <c:ptCount val="1"/>
                <c:pt idx="0">
                  <c:v>Printemps 2023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01C0-4588-B8AB-8D0084088904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01C0-4588-B8AB-8D0084088904}"/>
              </c:ext>
            </c:extLst>
          </c:dPt>
          <c:cat>
            <c:strRef>
              <c:f>Ferringule!$C$44:$C$52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Ferringule!$H$44:$H$52</c:f>
              <c:numCache>
                <c:formatCode>General</c:formatCode>
                <c:ptCount val="9"/>
                <c:pt idx="0">
                  <c:v>0</c:v>
                </c:pt>
                <c:pt idx="1">
                  <c:v>40</c:v>
                </c:pt>
                <c:pt idx="2">
                  <c:v>6480</c:v>
                </c:pt>
                <c:pt idx="3">
                  <c:v>440</c:v>
                </c:pt>
                <c:pt idx="4">
                  <c:v>80</c:v>
                </c:pt>
                <c:pt idx="5">
                  <c:v>2400</c:v>
                </c:pt>
                <c:pt idx="6">
                  <c:v>15480</c:v>
                </c:pt>
                <c:pt idx="7">
                  <c:v>240</c:v>
                </c:pt>
                <c:pt idx="8">
                  <c:v>1680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01C0-4588-B8AB-8D0084088904}"/>
            </c:ext>
          </c:extLst>
        </c:ser>
        <c:ser>
          <c:idx val="5"/>
          <c:order val="5"/>
          <c:tx>
            <c:strRef>
              <c:f>Ferringule!$I$43</c:f>
              <c:strCache>
                <c:ptCount val="1"/>
                <c:pt idx="0">
                  <c:v>Eté 2023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Ferringule!$C$44:$C$52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Ferringule!$I$44:$I$52</c:f>
              <c:numCache>
                <c:formatCode>General</c:formatCode>
                <c:ptCount val="9"/>
                <c:pt idx="0">
                  <c:v>0</c:v>
                </c:pt>
                <c:pt idx="1">
                  <c:v>80</c:v>
                </c:pt>
                <c:pt idx="2">
                  <c:v>9960</c:v>
                </c:pt>
                <c:pt idx="3">
                  <c:v>600</c:v>
                </c:pt>
                <c:pt idx="4">
                  <c:v>440</c:v>
                </c:pt>
                <c:pt idx="5">
                  <c:v>1960</c:v>
                </c:pt>
                <c:pt idx="6">
                  <c:v>27400</c:v>
                </c:pt>
                <c:pt idx="7">
                  <c:v>200</c:v>
                </c:pt>
                <c:pt idx="8">
                  <c:v>1280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01C0-4588-B8AB-8D0084088904}"/>
            </c:ext>
          </c:extLst>
        </c:ser>
        <c:ser>
          <c:idx val="6"/>
          <c:order val="6"/>
          <c:tx>
            <c:strRef>
              <c:f>Ferringule!$J$43</c:f>
              <c:strCache>
                <c:ptCount val="1"/>
                <c:pt idx="0">
                  <c:v>Automne 2023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6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01C0-4588-B8AB-8D0084088904}"/>
              </c:ext>
            </c:extLst>
          </c:dPt>
          <c:cat>
            <c:strRef>
              <c:f>Ferringule!$C$44:$C$52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Ferringule!$J$44:$J$52</c:f>
              <c:numCache>
                <c:formatCode>General</c:formatCode>
                <c:ptCount val="9"/>
                <c:pt idx="0">
                  <c:v>320</c:v>
                </c:pt>
                <c:pt idx="1">
                  <c:v>120</c:v>
                </c:pt>
                <c:pt idx="2">
                  <c:v>35120</c:v>
                </c:pt>
                <c:pt idx="3">
                  <c:v>0</c:v>
                </c:pt>
                <c:pt idx="4">
                  <c:v>0</c:v>
                </c:pt>
                <c:pt idx="5">
                  <c:v>7720</c:v>
                </c:pt>
                <c:pt idx="6">
                  <c:v>117200</c:v>
                </c:pt>
                <c:pt idx="7">
                  <c:v>760</c:v>
                </c:pt>
                <c:pt idx="8">
                  <c:v>8400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01C0-4588-B8AB-8D0084088904}"/>
            </c:ext>
          </c:extLst>
        </c:ser>
        <c:ser>
          <c:idx val="7"/>
          <c:order val="7"/>
          <c:tx>
            <c:strRef>
              <c:f>Ferringule!$K$43</c:f>
              <c:strCache>
                <c:ptCount val="1"/>
                <c:pt idx="0">
                  <c:v>Hiver 2023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Ferringule!$C$44:$C$52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Ferringule!$K$44:$K$52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28280</c:v>
                </c:pt>
                <c:pt idx="3">
                  <c:v>0</c:v>
                </c:pt>
                <c:pt idx="4">
                  <c:v>200</c:v>
                </c:pt>
                <c:pt idx="5">
                  <c:v>11040</c:v>
                </c:pt>
                <c:pt idx="6">
                  <c:v>73440</c:v>
                </c:pt>
                <c:pt idx="7">
                  <c:v>160</c:v>
                </c:pt>
                <c:pt idx="8">
                  <c:v>18760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01C0-4588-B8AB-8D0084088904}"/>
            </c:ext>
          </c:extLst>
        </c:ser>
        <c:ser>
          <c:idx val="8"/>
          <c:order val="8"/>
          <c:tx>
            <c:strRef>
              <c:f>Ferringule!$L$43</c:f>
              <c:strCache>
                <c:ptCount val="1"/>
                <c:pt idx="0">
                  <c:v>Printemps 2024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Ferringule!$C$44:$C$52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Ferringule!$L$44:$L$52</c:f>
              <c:numCache>
                <c:formatCode>General</c:formatCode>
                <c:ptCount val="9"/>
                <c:pt idx="0">
                  <c:v>40</c:v>
                </c:pt>
                <c:pt idx="1">
                  <c:v>40</c:v>
                </c:pt>
                <c:pt idx="2">
                  <c:v>34040</c:v>
                </c:pt>
                <c:pt idx="3">
                  <c:v>560</c:v>
                </c:pt>
                <c:pt idx="4">
                  <c:v>0</c:v>
                </c:pt>
                <c:pt idx="5">
                  <c:v>2280</c:v>
                </c:pt>
                <c:pt idx="6">
                  <c:v>83080</c:v>
                </c:pt>
                <c:pt idx="7">
                  <c:v>200</c:v>
                </c:pt>
                <c:pt idx="8">
                  <c:v>5720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01C0-4588-B8AB-8D0084088904}"/>
            </c:ext>
          </c:extLst>
        </c:ser>
        <c:ser>
          <c:idx val="9"/>
          <c:order val="9"/>
          <c:tx>
            <c:strRef>
              <c:f>Ferringule!$M$43</c:f>
              <c:strCache>
                <c:ptCount val="1"/>
                <c:pt idx="0">
                  <c:v>Eté 2024</c:v>
                </c:pt>
              </c:strCache>
            </c:strRef>
          </c:tx>
          <c:spPr>
            <a:solidFill>
              <a:srgbClr val="FFE69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Ferringule!$C$44:$C$52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Ferringule!$M$44:$M$52</c:f>
              <c:numCache>
                <c:formatCode>General</c:formatCode>
                <c:ptCount val="9"/>
                <c:pt idx="0">
                  <c:v>0</c:v>
                </c:pt>
                <c:pt idx="1">
                  <c:v>120</c:v>
                </c:pt>
                <c:pt idx="2">
                  <c:v>7160</c:v>
                </c:pt>
                <c:pt idx="3">
                  <c:v>240</c:v>
                </c:pt>
                <c:pt idx="4">
                  <c:v>5080</c:v>
                </c:pt>
                <c:pt idx="5">
                  <c:v>560</c:v>
                </c:pt>
                <c:pt idx="6">
                  <c:v>73360</c:v>
                </c:pt>
                <c:pt idx="7">
                  <c:v>160</c:v>
                </c:pt>
                <c:pt idx="8">
                  <c:v>4000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01C0-4588-B8AB-8D0084088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866080"/>
        <c:axId val="1701696814"/>
      </c:barChart>
      <c:catAx>
        <c:axId val="204986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1">
                    <a:solidFill>
                      <a:srgbClr val="000000"/>
                    </a:solidFill>
                    <a:latin typeface="+mn-lt"/>
                  </a:rPr>
                  <a:t>Catégories de plastiques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1696814"/>
        <c:crosses val="autoZero"/>
        <c:auto val="1"/>
        <c:lblAlgn val="ctr"/>
        <c:lblOffset val="100"/>
        <c:noMultiLvlLbl val="1"/>
      </c:catAx>
      <c:valAx>
        <c:axId val="1701696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1">
                    <a:solidFill>
                      <a:srgbClr val="000000"/>
                    </a:solidFill>
                    <a:latin typeface="+mn-lt"/>
                  </a:rPr>
                  <a:t>Quantité sur 100m (en nombre)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98660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en-GB" b="1">
                <a:solidFill>
                  <a:srgbClr val="757575"/>
                </a:solidFill>
                <a:latin typeface="+mn-lt"/>
              </a:rPr>
              <a:t>Catégories de microplastiques collectés sur la plage de Saleccia à chaque saison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Saleccia!$D$43</c:f>
              <c:strCache>
                <c:ptCount val="1"/>
                <c:pt idx="0">
                  <c:v>Printemps 2022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C1E8-452D-A437-A74A7F4D9B52}"/>
              </c:ext>
            </c:extLst>
          </c:dPt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Saleccia!$D$44:$D$52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40</c:v>
                </c:pt>
                <c:pt idx="4">
                  <c:v>0</c:v>
                </c:pt>
                <c:pt idx="5">
                  <c:v>1080</c:v>
                </c:pt>
                <c:pt idx="6">
                  <c:v>80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1E8-452D-A437-A74A7F4D9B52}"/>
            </c:ext>
          </c:extLst>
        </c:ser>
        <c:ser>
          <c:idx val="1"/>
          <c:order val="1"/>
          <c:tx>
            <c:strRef>
              <c:f>Saleccia!$E$43</c:f>
              <c:strCache>
                <c:ptCount val="1"/>
                <c:pt idx="0">
                  <c:v>Eté 2022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Saleccia!$E$44:$E$52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280</c:v>
                </c:pt>
                <c:pt idx="7">
                  <c:v>80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1E8-452D-A437-A74A7F4D9B52}"/>
            </c:ext>
          </c:extLst>
        </c:ser>
        <c:ser>
          <c:idx val="2"/>
          <c:order val="2"/>
          <c:tx>
            <c:strRef>
              <c:f>Saleccia!$F$43</c:f>
              <c:strCache>
                <c:ptCount val="1"/>
                <c:pt idx="0">
                  <c:v>Automne 2022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Saleccia!$F$44:$F$52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1E8-452D-A437-A74A7F4D9B52}"/>
            </c:ext>
          </c:extLst>
        </c:ser>
        <c:ser>
          <c:idx val="3"/>
          <c:order val="3"/>
          <c:tx>
            <c:strRef>
              <c:f>Saleccia!$G$43</c:f>
              <c:strCache>
                <c:ptCount val="1"/>
                <c:pt idx="0">
                  <c:v>Hiver 2022</c:v>
                </c:pt>
              </c:strCache>
            </c:strRef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Saleccia!$G$44:$G$52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1720</c:v>
                </c:pt>
                <c:pt idx="3">
                  <c:v>0</c:v>
                </c:pt>
                <c:pt idx="4">
                  <c:v>0</c:v>
                </c:pt>
                <c:pt idx="5">
                  <c:v>40</c:v>
                </c:pt>
                <c:pt idx="6">
                  <c:v>1040</c:v>
                </c:pt>
                <c:pt idx="7">
                  <c:v>80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1E8-452D-A437-A74A7F4D9B52}"/>
            </c:ext>
          </c:extLst>
        </c:ser>
        <c:ser>
          <c:idx val="4"/>
          <c:order val="4"/>
          <c:tx>
            <c:strRef>
              <c:f>Saleccia!$H$43</c:f>
              <c:strCache>
                <c:ptCount val="1"/>
                <c:pt idx="0">
                  <c:v>Printemps 2023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Saleccia!$H$44:$H$52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760</c:v>
                </c:pt>
                <c:pt idx="3">
                  <c:v>80</c:v>
                </c:pt>
                <c:pt idx="4">
                  <c:v>0</c:v>
                </c:pt>
                <c:pt idx="5">
                  <c:v>200</c:v>
                </c:pt>
                <c:pt idx="6">
                  <c:v>1960</c:v>
                </c:pt>
                <c:pt idx="7">
                  <c:v>0</c:v>
                </c:pt>
                <c:pt idx="8">
                  <c:v>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C1E8-452D-A437-A74A7F4D9B52}"/>
            </c:ext>
          </c:extLst>
        </c:ser>
        <c:ser>
          <c:idx val="5"/>
          <c:order val="5"/>
          <c:tx>
            <c:strRef>
              <c:f>Saleccia!$I$43</c:f>
              <c:strCache>
                <c:ptCount val="1"/>
                <c:pt idx="0">
                  <c:v>Eté 2023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Saleccia!$I$44:$I$52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480</c:v>
                </c:pt>
                <c:pt idx="3">
                  <c:v>40</c:v>
                </c:pt>
                <c:pt idx="4">
                  <c:v>0</c:v>
                </c:pt>
                <c:pt idx="5">
                  <c:v>640</c:v>
                </c:pt>
                <c:pt idx="6">
                  <c:v>1160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C1E8-452D-A437-A74A7F4D9B52}"/>
            </c:ext>
          </c:extLst>
        </c:ser>
        <c:ser>
          <c:idx val="6"/>
          <c:order val="6"/>
          <c:tx>
            <c:strRef>
              <c:f>Saleccia!$J$43</c:f>
              <c:strCache>
                <c:ptCount val="1"/>
                <c:pt idx="0">
                  <c:v>Automne 2023</c:v>
                </c:pt>
              </c:strCache>
            </c:strRef>
          </c:tx>
          <c:spPr>
            <a:solidFill>
              <a:srgbClr val="B8CAE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6"/>
            <c:invertIfNegative val="1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C1E8-452D-A437-A74A7F4D9B52}"/>
              </c:ext>
            </c:extLst>
          </c:dPt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Saleccia!$J$44:$J$52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3840</c:v>
                </c:pt>
                <c:pt idx="3">
                  <c:v>0</c:v>
                </c:pt>
                <c:pt idx="4">
                  <c:v>0</c:v>
                </c:pt>
                <c:pt idx="5">
                  <c:v>1000</c:v>
                </c:pt>
                <c:pt idx="6">
                  <c:v>1640</c:v>
                </c:pt>
                <c:pt idx="7">
                  <c:v>120</c:v>
                </c:pt>
                <c:pt idx="8">
                  <c:v>440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C1E8-452D-A437-A74A7F4D9B52}"/>
            </c:ext>
          </c:extLst>
        </c:ser>
        <c:ser>
          <c:idx val="7"/>
          <c:order val="7"/>
          <c:tx>
            <c:strRef>
              <c:f>Saleccia!$K$43</c:f>
              <c:strCache>
                <c:ptCount val="1"/>
                <c:pt idx="0">
                  <c:v>Hiver 2023</c:v>
                </c:pt>
              </c:strCache>
            </c:strRef>
          </c:tx>
          <c:spPr>
            <a:solidFill>
              <a:srgbClr val="F9D6B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Saleccia!$C$44:$C$52</c:f>
              <c:strCache>
                <c:ptCount val="9"/>
                <c:pt idx="0">
                  <c:v>Biomédias</c:v>
                </c:pt>
                <c:pt idx="1">
                  <c:v>Bioperles</c:v>
                </c:pt>
                <c:pt idx="2">
                  <c:v>GPI</c:v>
                </c:pt>
                <c:pt idx="3">
                  <c:v>Fragment de fibre</c:v>
                </c:pt>
                <c:pt idx="4">
                  <c:v>Films plastiques </c:v>
                </c:pt>
                <c:pt idx="5">
                  <c:v>Fragments jeunes</c:v>
                </c:pt>
                <c:pt idx="6">
                  <c:v>Fragments vieillis</c:v>
                </c:pt>
                <c:pt idx="7">
                  <c:v>Mousses</c:v>
                </c:pt>
                <c:pt idx="8">
                  <c:v>Polystirène expansé </c:v>
                </c:pt>
              </c:strCache>
            </c:strRef>
          </c:cat>
          <c:val>
            <c:numRef>
              <c:f>Saleccia!$K$44:$K$52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0</c:v>
                </c:pt>
                <c:pt idx="6">
                  <c:v>520</c:v>
                </c:pt>
                <c:pt idx="7">
                  <c:v>0</c:v>
                </c:pt>
                <c:pt idx="8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C1E8-452D-A437-A74A7F4D9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764581"/>
        <c:axId val="1802513541"/>
      </c:barChart>
      <c:catAx>
        <c:axId val="1627645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1">
                    <a:solidFill>
                      <a:srgbClr val="000000"/>
                    </a:solidFill>
                    <a:latin typeface="+mn-lt"/>
                  </a:rPr>
                  <a:t>Catégories de microplastiques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2513541"/>
        <c:crosses val="autoZero"/>
        <c:auto val="1"/>
        <c:lblAlgn val="ctr"/>
        <c:lblOffset val="100"/>
        <c:noMultiLvlLbl val="1"/>
      </c:catAx>
      <c:valAx>
        <c:axId val="1802513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1">
                    <a:solidFill>
                      <a:srgbClr val="000000"/>
                    </a:solidFill>
                    <a:latin typeface="+mn-lt"/>
                  </a:rPr>
                  <a:t>Quantité sur 100m de plage (en nombre)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7645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des GPI collectés sur les plages lors du suivi RIPARU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TOTAL!$B$53</c:f>
              <c:strCache>
                <c:ptCount val="1"/>
                <c:pt idx="0">
                  <c:v>Total GPI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TOTAL!$A$54:$A$62</c:f>
              <c:strCache>
                <c:ptCount val="8"/>
                <c:pt idx="1">
                  <c:v>Ferringule</c:v>
                </c:pt>
                <c:pt idx="2">
                  <c:v>Saleccia</c:v>
                </c:pt>
                <c:pt idx="3">
                  <c:v>Barcaghju</c:v>
                </c:pt>
                <c:pt idx="4">
                  <c:v>La Roya</c:v>
                </c:pt>
                <c:pt idx="5">
                  <c:v>Petracurbara</c:v>
                </c:pt>
                <c:pt idx="6">
                  <c:v>Macinaghju</c:v>
                </c:pt>
                <c:pt idx="7">
                  <c:v>L'ostriconi</c:v>
                </c:pt>
              </c:strCache>
            </c:strRef>
          </c:cat>
          <c:val>
            <c:numRef>
              <c:f>TOTAL!$B$54:$B$62</c:f>
              <c:numCache>
                <c:formatCode>General</c:formatCode>
                <c:ptCount val="9"/>
                <c:pt idx="1">
                  <c:v>1560</c:v>
                </c:pt>
                <c:pt idx="2">
                  <c:v>327</c:v>
                </c:pt>
                <c:pt idx="3">
                  <c:v>177</c:v>
                </c:pt>
                <c:pt idx="4">
                  <c:v>33</c:v>
                </c:pt>
                <c:pt idx="5">
                  <c:v>13</c:v>
                </c:pt>
                <c:pt idx="6">
                  <c:v>56</c:v>
                </c:pt>
                <c:pt idx="7">
                  <c:v>1448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14-499D-9D07-2CD7B526D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865736"/>
        <c:axId val="1419973138"/>
      </c:barChart>
      <c:catAx>
        <c:axId val="1069865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9973138"/>
        <c:crosses val="autoZero"/>
        <c:auto val="1"/>
        <c:lblAlgn val="ctr"/>
        <c:lblOffset val="100"/>
        <c:noMultiLvlLbl val="1"/>
      </c:catAx>
      <c:valAx>
        <c:axId val="1419973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GPI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986573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Quantité de GPI présents sur 100m de plage entre automne 2022 et automne 2023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TOTAL!$C$53:$C$54</c:f>
              <c:strCache>
                <c:ptCount val="2"/>
                <c:pt idx="0">
                  <c:v>normalisation sur 100m</c:v>
                </c:pt>
              </c:strCache>
            </c:strRef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TOTAL!$A$55:$A$62</c:f>
              <c:strCache>
                <c:ptCount val="7"/>
                <c:pt idx="0">
                  <c:v>Ferringule</c:v>
                </c:pt>
                <c:pt idx="1">
                  <c:v>Saleccia</c:v>
                </c:pt>
                <c:pt idx="2">
                  <c:v>Barcaghju</c:v>
                </c:pt>
                <c:pt idx="3">
                  <c:v>La Roya</c:v>
                </c:pt>
                <c:pt idx="4">
                  <c:v>Petracurbara</c:v>
                </c:pt>
                <c:pt idx="5">
                  <c:v>Macinaghju</c:v>
                </c:pt>
                <c:pt idx="6">
                  <c:v>L'ostriconi</c:v>
                </c:pt>
              </c:strCache>
            </c:strRef>
          </c:cat>
          <c:val>
            <c:numRef>
              <c:f>TOTAL!$C$55:$C$61</c:f>
              <c:numCache>
                <c:formatCode>General</c:formatCode>
                <c:ptCount val="7"/>
                <c:pt idx="0">
                  <c:v>62400</c:v>
                </c:pt>
                <c:pt idx="1">
                  <c:v>13080</c:v>
                </c:pt>
                <c:pt idx="2">
                  <c:v>7080</c:v>
                </c:pt>
                <c:pt idx="3">
                  <c:v>1320</c:v>
                </c:pt>
                <c:pt idx="4">
                  <c:v>520</c:v>
                </c:pt>
                <c:pt idx="5">
                  <c:v>2240</c:v>
                </c:pt>
                <c:pt idx="6">
                  <c:v>57920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D2A-413C-98A3-463CB8F22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3986903"/>
        <c:axId val="564438631"/>
      </c:barChart>
      <c:catAx>
        <c:axId val="563986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4438631"/>
        <c:crosses val="autoZero"/>
        <c:auto val="1"/>
        <c:lblAlgn val="ctr"/>
        <c:lblOffset val="100"/>
        <c:noMultiLvlLbl val="1"/>
      </c:catAx>
      <c:valAx>
        <c:axId val="564438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GPI normalisé sur 100m</a:t>
                </a:r>
              </a:p>
            </c:rich>
          </c:tx>
          <c:layout>
            <c:manualLayout>
              <c:xMode val="edge"/>
              <c:yMode val="edge"/>
              <c:x val="3.2583333333333332E-2"/>
              <c:y val="0.191150044923629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39869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428625</xdr:colOff>
      <xdr:row>7</xdr:row>
      <xdr:rowOff>38100</xdr:rowOff>
    </xdr:from>
    <xdr:ext cx="8924925" cy="5524500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114300</xdr:colOff>
      <xdr:row>48</xdr:row>
      <xdr:rowOff>9525</xdr:rowOff>
    </xdr:from>
    <xdr:ext cx="4924425" cy="3048000"/>
    <xdr:graphicFrame macro="">
      <xdr:nvGraphicFramePr>
        <xdr:cNvPr id="2" name="Chart 2" title="Graphiqu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942975</xdr:colOff>
      <xdr:row>53</xdr:row>
      <xdr:rowOff>76200</xdr:rowOff>
    </xdr:from>
    <xdr:ext cx="5715000" cy="3533775"/>
    <xdr:graphicFrame macro="">
      <xdr:nvGraphicFramePr>
        <xdr:cNvPr id="3" name="Chart 3" title="Graphiqu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285750</xdr:colOff>
      <xdr:row>53</xdr:row>
      <xdr:rowOff>76200</xdr:rowOff>
    </xdr:from>
    <xdr:ext cx="5715000" cy="3533775"/>
    <xdr:graphicFrame macro="">
      <xdr:nvGraphicFramePr>
        <xdr:cNvPr id="4" name="Chart 4" title="Graphique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0"/>
  <sheetViews>
    <sheetView workbookViewId="0">
      <selection sqref="A1:B3"/>
    </sheetView>
  </sheetViews>
  <sheetFormatPr defaultColWidth="14.42578125" defaultRowHeight="15" customHeight="1"/>
  <cols>
    <col min="1" max="2" width="10.7109375" customWidth="1"/>
    <col min="3" max="3" width="55.28515625" customWidth="1"/>
    <col min="4" max="15" width="9.42578125" customWidth="1"/>
  </cols>
  <sheetData>
    <row r="1" spans="1:15" ht="14.25" customHeight="1">
      <c r="A1" s="225"/>
      <c r="B1" s="226"/>
      <c r="C1" s="1" t="s">
        <v>0</v>
      </c>
      <c r="D1" s="231">
        <v>2022</v>
      </c>
      <c r="E1" s="222"/>
      <c r="F1" s="222"/>
      <c r="G1" s="223"/>
      <c r="H1" s="231">
        <v>2023</v>
      </c>
      <c r="I1" s="222"/>
      <c r="J1" s="222"/>
      <c r="K1" s="223"/>
      <c r="L1" s="231">
        <v>2024</v>
      </c>
      <c r="M1" s="222"/>
      <c r="N1" s="222"/>
      <c r="O1" s="223"/>
    </row>
    <row r="2" spans="1:15" ht="14.25" customHeight="1">
      <c r="A2" s="227"/>
      <c r="B2" s="228"/>
      <c r="C2" s="1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2" t="s">
        <v>2</v>
      </c>
      <c r="I2" s="3" t="s">
        <v>3</v>
      </c>
      <c r="J2" s="4" t="s">
        <v>4</v>
      </c>
      <c r="K2" s="5" t="s">
        <v>5</v>
      </c>
      <c r="L2" s="2" t="s">
        <v>2</v>
      </c>
      <c r="M2" s="3" t="s">
        <v>3</v>
      </c>
      <c r="N2" s="4" t="s">
        <v>4</v>
      </c>
      <c r="O2" s="5" t="s">
        <v>5</v>
      </c>
    </row>
    <row r="3" spans="1:15" ht="14.25" customHeight="1">
      <c r="A3" s="229"/>
      <c r="B3" s="230"/>
      <c r="C3" s="6" t="s">
        <v>6</v>
      </c>
      <c r="D3" s="7"/>
      <c r="E3" s="8"/>
      <c r="F3" s="9"/>
      <c r="G3" s="10"/>
      <c r="H3" s="11"/>
      <c r="I3" s="12"/>
      <c r="J3" s="13"/>
      <c r="K3" s="10"/>
      <c r="L3" s="11"/>
      <c r="M3" s="12"/>
      <c r="N3" s="13"/>
      <c r="O3" s="10"/>
    </row>
    <row r="4" spans="1:15" ht="14.25" customHeight="1">
      <c r="A4" s="14" t="s">
        <v>7</v>
      </c>
      <c r="B4" s="14" t="s">
        <v>8</v>
      </c>
      <c r="C4" s="15" t="s">
        <v>9</v>
      </c>
      <c r="D4" s="23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</row>
    <row r="5" spans="1:15" ht="23.25" customHeight="1">
      <c r="A5" s="233" t="s">
        <v>10</v>
      </c>
      <c r="B5" s="16" t="s">
        <v>11</v>
      </c>
      <c r="C5" s="16" t="s">
        <v>12</v>
      </c>
      <c r="D5" s="17"/>
      <c r="E5" s="18"/>
      <c r="F5" s="19"/>
      <c r="G5" s="20"/>
      <c r="H5" s="21"/>
      <c r="I5" s="22"/>
      <c r="J5" s="23"/>
      <c r="K5" s="20"/>
      <c r="L5" s="21"/>
      <c r="M5" s="22"/>
      <c r="N5" s="23"/>
      <c r="O5" s="20"/>
    </row>
    <row r="6" spans="1:15" ht="22.5" customHeight="1">
      <c r="A6" s="219"/>
      <c r="B6" s="24" t="s">
        <v>13</v>
      </c>
      <c r="C6" s="24" t="s">
        <v>14</v>
      </c>
      <c r="D6" s="25"/>
      <c r="E6" s="26"/>
      <c r="F6" s="27"/>
      <c r="G6" s="28"/>
      <c r="H6" s="29"/>
      <c r="I6" s="30"/>
      <c r="J6" s="31"/>
      <c r="K6" s="28"/>
      <c r="L6" s="29"/>
      <c r="M6" s="30"/>
      <c r="N6" s="31"/>
      <c r="O6" s="28"/>
    </row>
    <row r="7" spans="1:15" ht="22.5" customHeight="1">
      <c r="A7" s="219"/>
      <c r="B7" s="16" t="s">
        <v>15</v>
      </c>
      <c r="C7" s="16" t="s">
        <v>16</v>
      </c>
      <c r="D7" s="17"/>
      <c r="E7" s="18"/>
      <c r="F7" s="19"/>
      <c r="G7" s="20"/>
      <c r="H7" s="21"/>
      <c r="I7" s="22"/>
      <c r="J7" s="23"/>
      <c r="K7" s="20"/>
      <c r="L7" s="21"/>
      <c r="M7" s="22"/>
      <c r="N7" s="23"/>
      <c r="O7" s="20"/>
    </row>
    <row r="8" spans="1:15" ht="22.5" customHeight="1">
      <c r="A8" s="219"/>
      <c r="B8" s="24" t="s">
        <v>17</v>
      </c>
      <c r="C8" s="24" t="s">
        <v>18</v>
      </c>
      <c r="D8" s="25"/>
      <c r="E8" s="26"/>
      <c r="F8" s="27"/>
      <c r="G8" s="28"/>
      <c r="H8" s="29"/>
      <c r="I8" s="30"/>
      <c r="J8" s="31"/>
      <c r="K8" s="28"/>
      <c r="L8" s="29"/>
      <c r="M8" s="30"/>
      <c r="N8" s="31"/>
      <c r="O8" s="28"/>
    </row>
    <row r="9" spans="1:15" ht="22.5" customHeight="1">
      <c r="A9" s="219"/>
      <c r="B9" s="16" t="s">
        <v>19</v>
      </c>
      <c r="C9" s="16" t="s">
        <v>20</v>
      </c>
      <c r="D9" s="17"/>
      <c r="E9" s="18"/>
      <c r="F9" s="19"/>
      <c r="G9" s="20"/>
      <c r="H9" s="21"/>
      <c r="I9" s="22"/>
      <c r="J9" s="23"/>
      <c r="K9" s="20"/>
      <c r="L9" s="21"/>
      <c r="M9" s="22"/>
      <c r="N9" s="23"/>
      <c r="O9" s="20"/>
    </row>
    <row r="10" spans="1:15" ht="23.25" customHeight="1">
      <c r="A10" s="219"/>
      <c r="B10" s="24" t="s">
        <v>21</v>
      </c>
      <c r="C10" s="24" t="s">
        <v>22</v>
      </c>
      <c r="D10" s="25"/>
      <c r="E10" s="26"/>
      <c r="F10" s="27"/>
      <c r="G10" s="28"/>
      <c r="H10" s="29"/>
      <c r="I10" s="30"/>
      <c r="J10" s="31"/>
      <c r="K10" s="28"/>
      <c r="L10" s="29"/>
      <c r="M10" s="30"/>
      <c r="N10" s="31"/>
      <c r="O10" s="28"/>
    </row>
    <row r="11" spans="1:15" ht="24" customHeight="1">
      <c r="A11" s="219"/>
      <c r="B11" s="16" t="s">
        <v>23</v>
      </c>
      <c r="C11" s="16" t="s">
        <v>24</v>
      </c>
      <c r="D11" s="17"/>
      <c r="E11" s="18"/>
      <c r="F11" s="19"/>
      <c r="G11" s="20"/>
      <c r="H11" s="21"/>
      <c r="I11" s="22"/>
      <c r="J11" s="23"/>
      <c r="K11" s="20"/>
      <c r="L11" s="21"/>
      <c r="M11" s="22"/>
      <c r="N11" s="23"/>
      <c r="O11" s="20"/>
    </row>
    <row r="12" spans="1:15" ht="24.75" customHeight="1">
      <c r="A12" s="220"/>
      <c r="B12" s="32" t="s">
        <v>25</v>
      </c>
      <c r="C12" s="32" t="s">
        <v>26</v>
      </c>
      <c r="D12" s="25"/>
      <c r="E12" s="26"/>
      <c r="F12" s="27"/>
      <c r="G12" s="28"/>
      <c r="H12" s="29"/>
      <c r="I12" s="30"/>
      <c r="J12" s="31"/>
      <c r="K12" s="28"/>
      <c r="L12" s="29"/>
      <c r="M12" s="30"/>
      <c r="N12" s="31"/>
      <c r="O12" s="28"/>
    </row>
    <row r="13" spans="1:15" ht="6" customHeight="1">
      <c r="A13" s="221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3"/>
    </row>
    <row r="14" spans="1:15" ht="24.75" customHeight="1">
      <c r="A14" s="218" t="s">
        <v>27</v>
      </c>
      <c r="B14" s="16" t="s">
        <v>11</v>
      </c>
      <c r="C14" s="16" t="s">
        <v>12</v>
      </c>
      <c r="D14" s="17"/>
      <c r="E14" s="34"/>
      <c r="F14" s="19"/>
      <c r="G14" s="20"/>
      <c r="H14" s="21"/>
      <c r="I14" s="22"/>
      <c r="J14" s="23"/>
      <c r="K14" s="20"/>
      <c r="L14" s="21"/>
      <c r="M14" s="22"/>
      <c r="N14" s="23"/>
      <c r="O14" s="20"/>
    </row>
    <row r="15" spans="1:15" ht="25.5" customHeight="1">
      <c r="A15" s="219"/>
      <c r="B15" s="24" t="s">
        <v>28</v>
      </c>
      <c r="C15" s="24" t="s">
        <v>29</v>
      </c>
      <c r="D15" s="25"/>
      <c r="E15" s="35"/>
      <c r="F15" s="27"/>
      <c r="G15" s="28"/>
      <c r="H15" s="29"/>
      <c r="I15" s="30"/>
      <c r="J15" s="31"/>
      <c r="K15" s="28"/>
      <c r="L15" s="29"/>
      <c r="M15" s="30"/>
      <c r="N15" s="31"/>
      <c r="O15" s="28"/>
    </row>
    <row r="16" spans="1:15" ht="23.25" customHeight="1">
      <c r="A16" s="219"/>
      <c r="B16" s="16" t="s">
        <v>15</v>
      </c>
      <c r="C16" s="16" t="s">
        <v>16</v>
      </c>
      <c r="D16" s="17"/>
      <c r="E16" s="36"/>
      <c r="F16" s="19"/>
      <c r="G16" s="20"/>
      <c r="H16" s="21"/>
      <c r="I16" s="22"/>
      <c r="J16" s="23"/>
      <c r="K16" s="20"/>
      <c r="L16" s="21"/>
      <c r="M16" s="22"/>
      <c r="N16" s="23"/>
      <c r="O16" s="20"/>
    </row>
    <row r="17" spans="1:15" ht="25.5" customHeight="1">
      <c r="A17" s="219"/>
      <c r="B17" s="24" t="s">
        <v>17</v>
      </c>
      <c r="C17" s="24" t="s">
        <v>18</v>
      </c>
      <c r="D17" s="25"/>
      <c r="E17" s="35"/>
      <c r="F17" s="27"/>
      <c r="G17" s="28"/>
      <c r="H17" s="29"/>
      <c r="I17" s="30"/>
      <c r="J17" s="31"/>
      <c r="K17" s="28"/>
      <c r="L17" s="29"/>
      <c r="M17" s="30"/>
      <c r="N17" s="31"/>
      <c r="O17" s="28"/>
    </row>
    <row r="18" spans="1:15" ht="22.5" customHeight="1">
      <c r="A18" s="219"/>
      <c r="B18" s="16" t="s">
        <v>19</v>
      </c>
      <c r="C18" s="16" t="s">
        <v>20</v>
      </c>
      <c r="D18" s="17"/>
      <c r="E18" s="36"/>
      <c r="F18" s="19"/>
      <c r="G18" s="20"/>
      <c r="H18" s="21"/>
      <c r="I18" s="22"/>
      <c r="J18" s="23"/>
      <c r="K18" s="20"/>
      <c r="L18" s="21"/>
      <c r="M18" s="22"/>
      <c r="N18" s="23"/>
      <c r="O18" s="20"/>
    </row>
    <row r="19" spans="1:15" ht="24" customHeight="1">
      <c r="A19" s="219"/>
      <c r="B19" s="24" t="s">
        <v>21</v>
      </c>
      <c r="C19" s="24" t="s">
        <v>22</v>
      </c>
      <c r="D19" s="25"/>
      <c r="E19" s="37"/>
      <c r="F19" s="27"/>
      <c r="G19" s="28"/>
      <c r="H19" s="29"/>
      <c r="I19" s="30"/>
      <c r="J19" s="31"/>
      <c r="K19" s="28"/>
      <c r="L19" s="29"/>
      <c r="M19" s="30"/>
      <c r="N19" s="31"/>
      <c r="O19" s="28"/>
    </row>
    <row r="20" spans="1:15" ht="25.5" customHeight="1">
      <c r="A20" s="219"/>
      <c r="B20" s="16" t="s">
        <v>23</v>
      </c>
      <c r="C20" s="16" t="s">
        <v>24</v>
      </c>
      <c r="D20" s="17"/>
      <c r="E20" s="34"/>
      <c r="F20" s="19"/>
      <c r="G20" s="20"/>
      <c r="H20" s="21"/>
      <c r="I20" s="22"/>
      <c r="J20" s="23"/>
      <c r="K20" s="20"/>
      <c r="L20" s="21"/>
      <c r="M20" s="22"/>
      <c r="N20" s="23"/>
      <c r="O20" s="20"/>
    </row>
    <row r="21" spans="1:15" ht="25.5" customHeight="1">
      <c r="A21" s="220"/>
      <c r="B21" s="32" t="s">
        <v>25</v>
      </c>
      <c r="C21" s="32" t="s">
        <v>26</v>
      </c>
      <c r="D21" s="25"/>
      <c r="E21" s="35"/>
      <c r="F21" s="27"/>
      <c r="G21" s="28"/>
      <c r="H21" s="29"/>
      <c r="I21" s="30"/>
      <c r="J21" s="31"/>
      <c r="K21" s="28"/>
      <c r="L21" s="29"/>
      <c r="M21" s="30"/>
      <c r="N21" s="31"/>
      <c r="O21" s="28"/>
    </row>
    <row r="22" spans="1:15" ht="6" customHeight="1">
      <c r="A22" s="221"/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3"/>
    </row>
    <row r="23" spans="1:15" ht="22.5" customHeight="1">
      <c r="A23" s="224" t="s">
        <v>30</v>
      </c>
      <c r="B23" s="38" t="s">
        <v>11</v>
      </c>
      <c r="C23" s="38" t="s">
        <v>12</v>
      </c>
      <c r="D23" s="21">
        <f t="shared" ref="D23:O23" si="0">SUM(D5+D14)</f>
        <v>0</v>
      </c>
      <c r="E23" s="22">
        <f t="shared" si="0"/>
        <v>0</v>
      </c>
      <c r="F23" s="39">
        <f t="shared" si="0"/>
        <v>0</v>
      </c>
      <c r="G23" s="40">
        <f t="shared" si="0"/>
        <v>0</v>
      </c>
      <c r="H23" s="21">
        <f t="shared" si="0"/>
        <v>0</v>
      </c>
      <c r="I23" s="22">
        <f t="shared" si="0"/>
        <v>0</v>
      </c>
      <c r="J23" s="39">
        <f t="shared" si="0"/>
        <v>0</v>
      </c>
      <c r="K23" s="40">
        <f t="shared" si="0"/>
        <v>0</v>
      </c>
      <c r="L23" s="21">
        <f t="shared" si="0"/>
        <v>0</v>
      </c>
      <c r="M23" s="22">
        <f t="shared" si="0"/>
        <v>0</v>
      </c>
      <c r="N23" s="39">
        <f t="shared" si="0"/>
        <v>0</v>
      </c>
      <c r="O23" s="40">
        <f t="shared" si="0"/>
        <v>0</v>
      </c>
    </row>
    <row r="24" spans="1:15" ht="22.5" customHeight="1">
      <c r="A24" s="219"/>
      <c r="B24" s="24" t="s">
        <v>13</v>
      </c>
      <c r="C24" s="24" t="s">
        <v>14</v>
      </c>
      <c r="D24" s="29">
        <f t="shared" ref="D24:O24" si="1">SUM(D6)</f>
        <v>0</v>
      </c>
      <c r="E24" s="30">
        <f t="shared" si="1"/>
        <v>0</v>
      </c>
      <c r="F24" s="41">
        <f t="shared" si="1"/>
        <v>0</v>
      </c>
      <c r="G24" s="42">
        <f t="shared" si="1"/>
        <v>0</v>
      </c>
      <c r="H24" s="29">
        <f t="shared" si="1"/>
        <v>0</v>
      </c>
      <c r="I24" s="30">
        <f t="shared" si="1"/>
        <v>0</v>
      </c>
      <c r="J24" s="41">
        <f t="shared" si="1"/>
        <v>0</v>
      </c>
      <c r="K24" s="42">
        <f t="shared" si="1"/>
        <v>0</v>
      </c>
      <c r="L24" s="29">
        <f t="shared" si="1"/>
        <v>0</v>
      </c>
      <c r="M24" s="30">
        <f t="shared" si="1"/>
        <v>0</v>
      </c>
      <c r="N24" s="41">
        <f t="shared" si="1"/>
        <v>0</v>
      </c>
      <c r="O24" s="42">
        <f t="shared" si="1"/>
        <v>0</v>
      </c>
    </row>
    <row r="25" spans="1:15" ht="25.5" customHeight="1">
      <c r="A25" s="219"/>
      <c r="B25" s="38" t="s">
        <v>28</v>
      </c>
      <c r="C25" s="38" t="s">
        <v>29</v>
      </c>
      <c r="D25" s="17">
        <f t="shared" ref="D25:O25" si="2">SUM(D15)</f>
        <v>0</v>
      </c>
      <c r="E25" s="22">
        <f t="shared" si="2"/>
        <v>0</v>
      </c>
      <c r="F25" s="39">
        <f t="shared" si="2"/>
        <v>0</v>
      </c>
      <c r="G25" s="40">
        <f t="shared" si="2"/>
        <v>0</v>
      </c>
      <c r="H25" s="39">
        <f t="shared" si="2"/>
        <v>0</v>
      </c>
      <c r="I25" s="40">
        <f t="shared" si="2"/>
        <v>0</v>
      </c>
      <c r="J25" s="39">
        <f t="shared" si="2"/>
        <v>0</v>
      </c>
      <c r="K25" s="40">
        <f t="shared" si="2"/>
        <v>0</v>
      </c>
      <c r="L25" s="39">
        <f t="shared" si="2"/>
        <v>0</v>
      </c>
      <c r="M25" s="40">
        <f t="shared" si="2"/>
        <v>0</v>
      </c>
      <c r="N25" s="39">
        <f t="shared" si="2"/>
        <v>0</v>
      </c>
      <c r="O25" s="40">
        <f t="shared" si="2"/>
        <v>0</v>
      </c>
    </row>
    <row r="26" spans="1:15" ht="24.75" customHeight="1">
      <c r="A26" s="219"/>
      <c r="B26" s="24" t="s">
        <v>15</v>
      </c>
      <c r="C26" s="24" t="s">
        <v>16</v>
      </c>
      <c r="D26" s="29">
        <f t="shared" ref="D26:O26" si="3">SUM(D7+D16)</f>
        <v>0</v>
      </c>
      <c r="E26" s="30">
        <f t="shared" si="3"/>
        <v>0</v>
      </c>
      <c r="F26" s="41">
        <f t="shared" si="3"/>
        <v>0</v>
      </c>
      <c r="G26" s="42">
        <f t="shared" si="3"/>
        <v>0</v>
      </c>
      <c r="H26" s="29">
        <f t="shared" si="3"/>
        <v>0</v>
      </c>
      <c r="I26" s="30">
        <f t="shared" si="3"/>
        <v>0</v>
      </c>
      <c r="J26" s="41">
        <f t="shared" si="3"/>
        <v>0</v>
      </c>
      <c r="K26" s="42">
        <f t="shared" si="3"/>
        <v>0</v>
      </c>
      <c r="L26" s="29">
        <f t="shared" si="3"/>
        <v>0</v>
      </c>
      <c r="M26" s="30">
        <f t="shared" si="3"/>
        <v>0</v>
      </c>
      <c r="N26" s="41">
        <f t="shared" si="3"/>
        <v>0</v>
      </c>
      <c r="O26" s="42">
        <f t="shared" si="3"/>
        <v>0</v>
      </c>
    </row>
    <row r="27" spans="1:15" ht="23.25" customHeight="1">
      <c r="A27" s="219"/>
      <c r="B27" s="38" t="s">
        <v>17</v>
      </c>
      <c r="C27" s="38" t="s">
        <v>18</v>
      </c>
      <c r="D27" s="21">
        <f t="shared" ref="D27:O27" si="4">SUM(D8+D17)</f>
        <v>0</v>
      </c>
      <c r="E27" s="22">
        <f t="shared" si="4"/>
        <v>0</v>
      </c>
      <c r="F27" s="39">
        <f t="shared" si="4"/>
        <v>0</v>
      </c>
      <c r="G27" s="40">
        <f t="shared" si="4"/>
        <v>0</v>
      </c>
      <c r="H27" s="21">
        <f t="shared" si="4"/>
        <v>0</v>
      </c>
      <c r="I27" s="22">
        <f t="shared" si="4"/>
        <v>0</v>
      </c>
      <c r="J27" s="39">
        <f t="shared" si="4"/>
        <v>0</v>
      </c>
      <c r="K27" s="40">
        <f t="shared" si="4"/>
        <v>0</v>
      </c>
      <c r="L27" s="21">
        <f t="shared" si="4"/>
        <v>0</v>
      </c>
      <c r="M27" s="22">
        <f t="shared" si="4"/>
        <v>0</v>
      </c>
      <c r="N27" s="39">
        <f t="shared" si="4"/>
        <v>0</v>
      </c>
      <c r="O27" s="40">
        <f t="shared" si="4"/>
        <v>0</v>
      </c>
    </row>
    <row r="28" spans="1:15" ht="22.5" customHeight="1">
      <c r="A28" s="219"/>
      <c r="B28" s="24" t="s">
        <v>19</v>
      </c>
      <c r="C28" s="24" t="s">
        <v>20</v>
      </c>
      <c r="D28" s="29">
        <f t="shared" ref="D28:O28" si="5">SUM(D9+D18)</f>
        <v>0</v>
      </c>
      <c r="E28" s="30">
        <f t="shared" si="5"/>
        <v>0</v>
      </c>
      <c r="F28" s="41">
        <f t="shared" si="5"/>
        <v>0</v>
      </c>
      <c r="G28" s="42">
        <f t="shared" si="5"/>
        <v>0</v>
      </c>
      <c r="H28" s="29">
        <f t="shared" si="5"/>
        <v>0</v>
      </c>
      <c r="I28" s="30">
        <f t="shared" si="5"/>
        <v>0</v>
      </c>
      <c r="J28" s="41">
        <f t="shared" si="5"/>
        <v>0</v>
      </c>
      <c r="K28" s="42">
        <f t="shared" si="5"/>
        <v>0</v>
      </c>
      <c r="L28" s="29">
        <f t="shared" si="5"/>
        <v>0</v>
      </c>
      <c r="M28" s="30">
        <f t="shared" si="5"/>
        <v>0</v>
      </c>
      <c r="N28" s="41">
        <f t="shared" si="5"/>
        <v>0</v>
      </c>
      <c r="O28" s="42">
        <f t="shared" si="5"/>
        <v>0</v>
      </c>
    </row>
    <row r="29" spans="1:15" ht="24.75" customHeight="1">
      <c r="A29" s="219"/>
      <c r="B29" s="38" t="s">
        <v>21</v>
      </c>
      <c r="C29" s="38" t="s">
        <v>22</v>
      </c>
      <c r="D29" s="21">
        <f t="shared" ref="D29:O29" si="6">SUM(D10+D19)</f>
        <v>0</v>
      </c>
      <c r="E29" s="22">
        <f t="shared" si="6"/>
        <v>0</v>
      </c>
      <c r="F29" s="39">
        <f t="shared" si="6"/>
        <v>0</v>
      </c>
      <c r="G29" s="40">
        <f t="shared" si="6"/>
        <v>0</v>
      </c>
      <c r="H29" s="21">
        <f t="shared" si="6"/>
        <v>0</v>
      </c>
      <c r="I29" s="22">
        <f t="shared" si="6"/>
        <v>0</v>
      </c>
      <c r="J29" s="39">
        <f t="shared" si="6"/>
        <v>0</v>
      </c>
      <c r="K29" s="40">
        <f t="shared" si="6"/>
        <v>0</v>
      </c>
      <c r="L29" s="21">
        <f t="shared" si="6"/>
        <v>0</v>
      </c>
      <c r="M29" s="22">
        <f t="shared" si="6"/>
        <v>0</v>
      </c>
      <c r="N29" s="39">
        <f t="shared" si="6"/>
        <v>0</v>
      </c>
      <c r="O29" s="40">
        <f t="shared" si="6"/>
        <v>0</v>
      </c>
    </row>
    <row r="30" spans="1:15" ht="24.75" customHeight="1">
      <c r="A30" s="219"/>
      <c r="B30" s="24" t="s">
        <v>23</v>
      </c>
      <c r="C30" s="24" t="s">
        <v>24</v>
      </c>
      <c r="D30" s="29">
        <f t="shared" ref="D30:O30" si="7">SUM(D11+D20)</f>
        <v>0</v>
      </c>
      <c r="E30" s="30">
        <f t="shared" si="7"/>
        <v>0</v>
      </c>
      <c r="F30" s="41">
        <f t="shared" si="7"/>
        <v>0</v>
      </c>
      <c r="G30" s="42">
        <f t="shared" si="7"/>
        <v>0</v>
      </c>
      <c r="H30" s="29">
        <f t="shared" si="7"/>
        <v>0</v>
      </c>
      <c r="I30" s="30">
        <f t="shared" si="7"/>
        <v>0</v>
      </c>
      <c r="J30" s="41">
        <f t="shared" si="7"/>
        <v>0</v>
      </c>
      <c r="K30" s="42">
        <f t="shared" si="7"/>
        <v>0</v>
      </c>
      <c r="L30" s="29">
        <f t="shared" si="7"/>
        <v>0</v>
      </c>
      <c r="M30" s="30">
        <f t="shared" si="7"/>
        <v>0</v>
      </c>
      <c r="N30" s="41">
        <f t="shared" si="7"/>
        <v>0</v>
      </c>
      <c r="O30" s="42">
        <f t="shared" si="7"/>
        <v>0</v>
      </c>
    </row>
    <row r="31" spans="1:15" ht="25.5" customHeight="1">
      <c r="A31" s="220"/>
      <c r="B31" s="43" t="s">
        <v>25</v>
      </c>
      <c r="C31" s="43" t="s">
        <v>26</v>
      </c>
      <c r="D31" s="21">
        <f t="shared" ref="D31:O31" si="8">SUM(D12+D21)</f>
        <v>0</v>
      </c>
      <c r="E31" s="22">
        <f t="shared" si="8"/>
        <v>0</v>
      </c>
      <c r="F31" s="39">
        <f t="shared" si="8"/>
        <v>0</v>
      </c>
      <c r="G31" s="40">
        <f t="shared" si="8"/>
        <v>0</v>
      </c>
      <c r="H31" s="21">
        <f t="shared" si="8"/>
        <v>0</v>
      </c>
      <c r="I31" s="22">
        <f t="shared" si="8"/>
        <v>0</v>
      </c>
      <c r="J31" s="39">
        <f t="shared" si="8"/>
        <v>0</v>
      </c>
      <c r="K31" s="40">
        <f t="shared" si="8"/>
        <v>0</v>
      </c>
      <c r="L31" s="21">
        <f t="shared" si="8"/>
        <v>0</v>
      </c>
      <c r="M31" s="22">
        <f t="shared" si="8"/>
        <v>0</v>
      </c>
      <c r="N31" s="39">
        <f t="shared" si="8"/>
        <v>0</v>
      </c>
      <c r="O31" s="40">
        <f t="shared" si="8"/>
        <v>0</v>
      </c>
    </row>
    <row r="32" spans="1:15" ht="21.75" customHeight="1">
      <c r="A32" s="44"/>
      <c r="B32" s="44"/>
      <c r="C32" s="45" t="s">
        <v>30</v>
      </c>
      <c r="D32" s="46">
        <f t="shared" ref="D32:O32" si="9">SUM(D23:D31)</f>
        <v>0</v>
      </c>
      <c r="E32" s="47">
        <f t="shared" si="9"/>
        <v>0</v>
      </c>
      <c r="F32" s="48">
        <f t="shared" si="9"/>
        <v>0</v>
      </c>
      <c r="G32" s="49">
        <f t="shared" si="9"/>
        <v>0</v>
      </c>
      <c r="H32" s="46">
        <f t="shared" si="9"/>
        <v>0</v>
      </c>
      <c r="I32" s="47">
        <f t="shared" si="9"/>
        <v>0</v>
      </c>
      <c r="J32" s="48">
        <f t="shared" si="9"/>
        <v>0</v>
      </c>
      <c r="K32" s="49">
        <f t="shared" si="9"/>
        <v>0</v>
      </c>
      <c r="L32" s="46">
        <f t="shared" si="9"/>
        <v>0</v>
      </c>
      <c r="M32" s="47">
        <f t="shared" si="9"/>
        <v>0</v>
      </c>
      <c r="N32" s="48">
        <f t="shared" si="9"/>
        <v>0</v>
      </c>
      <c r="O32" s="49">
        <f t="shared" si="9"/>
        <v>0</v>
      </c>
    </row>
    <row r="33" spans="1:15" ht="24.75" customHeight="1">
      <c r="A33" s="50"/>
      <c r="B33" s="50"/>
      <c r="C33" s="45" t="s">
        <v>31</v>
      </c>
      <c r="D33" s="51">
        <f t="shared" ref="D33:O33" si="10">D32*40</f>
        <v>0</v>
      </c>
      <c r="E33" s="52">
        <f t="shared" si="10"/>
        <v>0</v>
      </c>
      <c r="F33" s="53">
        <f t="shared" si="10"/>
        <v>0</v>
      </c>
      <c r="G33" s="54">
        <f t="shared" si="10"/>
        <v>0</v>
      </c>
      <c r="H33" s="51">
        <f t="shared" si="10"/>
        <v>0</v>
      </c>
      <c r="I33" s="52">
        <f t="shared" si="10"/>
        <v>0</v>
      </c>
      <c r="J33" s="53">
        <f t="shared" si="10"/>
        <v>0</v>
      </c>
      <c r="K33" s="54">
        <f t="shared" si="10"/>
        <v>0</v>
      </c>
      <c r="L33" s="51">
        <f t="shared" si="10"/>
        <v>0</v>
      </c>
      <c r="M33" s="52">
        <f t="shared" si="10"/>
        <v>0</v>
      </c>
      <c r="N33" s="53">
        <f t="shared" si="10"/>
        <v>0</v>
      </c>
      <c r="O33" s="54">
        <f t="shared" si="10"/>
        <v>0</v>
      </c>
    </row>
    <row r="34" spans="1:15" ht="15" customHeight="1">
      <c r="A34" s="50"/>
      <c r="D34" s="55"/>
      <c r="E34" s="55"/>
      <c r="F34" s="56"/>
      <c r="G34" s="56"/>
      <c r="H34" s="56"/>
      <c r="I34" s="56"/>
      <c r="J34" s="56"/>
      <c r="K34" s="56"/>
      <c r="L34" s="56"/>
      <c r="M34" s="56"/>
      <c r="N34" s="56"/>
      <c r="O34" s="56"/>
    </row>
    <row r="35" spans="1:15" ht="15" customHeight="1">
      <c r="B35" s="57" t="s">
        <v>32</v>
      </c>
      <c r="C35" s="58"/>
      <c r="D35" s="5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6"/>
    </row>
    <row r="36" spans="1:15" ht="15" customHeight="1">
      <c r="B36" s="59" t="s">
        <v>33</v>
      </c>
      <c r="C36" s="60"/>
      <c r="D36" s="55"/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6"/>
    </row>
    <row r="37" spans="1:15" ht="18.75" customHeight="1">
      <c r="B37" s="59" t="s">
        <v>34</v>
      </c>
      <c r="C37" s="60"/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6"/>
    </row>
    <row r="38" spans="1:15" ht="17.25" customHeight="1">
      <c r="B38" s="59" t="s">
        <v>35</v>
      </c>
      <c r="C38" s="60"/>
      <c r="D38" s="55"/>
      <c r="E38" s="55"/>
      <c r="F38" s="56"/>
      <c r="G38" s="56"/>
      <c r="H38" s="56"/>
      <c r="I38" s="56"/>
      <c r="J38" s="56"/>
      <c r="K38" s="56"/>
      <c r="L38" s="56"/>
      <c r="M38" s="56"/>
      <c r="N38" s="56"/>
      <c r="O38" s="56"/>
    </row>
    <row r="39" spans="1:15" ht="15" customHeight="1">
      <c r="A39" s="50"/>
      <c r="B39" s="59" t="s">
        <v>36</v>
      </c>
      <c r="C39" s="60"/>
      <c r="D39" s="55"/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56"/>
    </row>
    <row r="40" spans="1:15" ht="15" customHeight="1">
      <c r="A40" s="50"/>
      <c r="B40" s="50"/>
      <c r="C40" s="50"/>
      <c r="D40" s="55"/>
      <c r="E40" s="55"/>
      <c r="F40" s="56"/>
      <c r="G40" s="56"/>
      <c r="H40" s="56"/>
      <c r="I40" s="56"/>
      <c r="J40" s="56"/>
      <c r="K40" s="56"/>
      <c r="L40" s="56"/>
      <c r="M40" s="56"/>
      <c r="N40" s="56"/>
      <c r="O40" s="56"/>
    </row>
    <row r="41" spans="1:15" ht="15" customHeight="1">
      <c r="A41" s="50"/>
      <c r="B41" s="50"/>
      <c r="C41" s="50"/>
      <c r="D41" s="55"/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56"/>
    </row>
    <row r="42" spans="1:15" ht="15" customHeight="1">
      <c r="A42" s="50"/>
      <c r="B42" s="50"/>
      <c r="C42" s="50"/>
      <c r="D42" s="55"/>
      <c r="E42" s="55"/>
      <c r="F42" s="56"/>
      <c r="G42" s="56"/>
      <c r="H42" s="56"/>
      <c r="I42" s="56"/>
      <c r="J42" s="56"/>
      <c r="K42" s="56"/>
      <c r="L42" s="56"/>
      <c r="M42" s="56"/>
      <c r="N42" s="56"/>
      <c r="O42" s="56"/>
    </row>
    <row r="43" spans="1:15" ht="23.25" customHeight="1"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</row>
    <row r="44" spans="1:15" ht="14.25" customHeight="1"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</row>
    <row r="45" spans="1:15" ht="14.25" customHeight="1"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spans="1:15" ht="14.25" customHeight="1"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</row>
    <row r="47" spans="1:15" ht="14.25" customHeight="1"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</row>
    <row r="48" spans="1:15" ht="14.25" customHeight="1"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</row>
    <row r="49" spans="4:15" ht="14.25" customHeight="1"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</row>
    <row r="50" spans="4:15" ht="14.25" customHeight="1"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</row>
    <row r="51" spans="4:15" ht="14.25" customHeight="1"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</row>
    <row r="52" spans="4:15" ht="14.25" customHeight="1"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</row>
    <row r="53" spans="4:15" ht="14.25" customHeight="1"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</row>
    <row r="54" spans="4:15" ht="14.25" customHeight="1"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</row>
    <row r="55" spans="4:15" ht="14.25" customHeight="1"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</row>
    <row r="56" spans="4:15" ht="14.25" customHeight="1"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</row>
    <row r="57" spans="4:15" ht="14.25" customHeight="1"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</row>
    <row r="58" spans="4:15" ht="14.25" customHeight="1"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</row>
    <row r="59" spans="4:15" ht="14.25" customHeight="1"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</row>
    <row r="60" spans="4:15" ht="14.25" customHeight="1"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</row>
    <row r="61" spans="4:15" ht="14.25" customHeight="1"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</row>
    <row r="62" spans="4:15" ht="14.25" customHeight="1"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</row>
    <row r="63" spans="4:15" ht="14.25" customHeight="1"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</row>
    <row r="64" spans="4:15" ht="14.25" customHeight="1"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</row>
    <row r="65" spans="4:15" ht="14.25" customHeight="1"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</row>
    <row r="66" spans="4:15" ht="14.25" customHeight="1"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</row>
    <row r="67" spans="4:15" ht="14.25" customHeight="1"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</row>
    <row r="68" spans="4:15" ht="14.25" customHeight="1"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</row>
    <row r="69" spans="4:15" ht="14.25" customHeight="1"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</row>
    <row r="70" spans="4:15" ht="14.25" customHeight="1"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</row>
    <row r="71" spans="4:15" ht="14.25" customHeight="1"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</row>
    <row r="72" spans="4:15" ht="14.25" customHeight="1"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</row>
    <row r="73" spans="4:15" ht="14.25" customHeight="1"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</row>
    <row r="74" spans="4:15" ht="14.25" customHeight="1"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</row>
    <row r="75" spans="4:15" ht="14.25" customHeight="1"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</row>
    <row r="76" spans="4:15" ht="14.25" customHeight="1"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</row>
    <row r="77" spans="4:15" ht="14.25" customHeight="1"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</row>
    <row r="78" spans="4:15" ht="14.25" customHeight="1"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</row>
    <row r="79" spans="4:15" ht="14.25" customHeight="1"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</row>
    <row r="80" spans="4:15" ht="14.25" customHeight="1"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</row>
    <row r="81" spans="4:15" ht="14.25" customHeight="1"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</row>
    <row r="82" spans="4:15" ht="14.25" customHeight="1"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</row>
    <row r="83" spans="4:15" ht="14.25" customHeight="1"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</row>
    <row r="84" spans="4:15" ht="14.25" customHeight="1"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</row>
    <row r="85" spans="4:15" ht="14.25" customHeight="1"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</row>
    <row r="86" spans="4:15" ht="14.25" customHeight="1"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</row>
    <row r="87" spans="4:15" ht="14.25" customHeight="1"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</row>
    <row r="88" spans="4:15" ht="14.25" customHeight="1"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</row>
    <row r="89" spans="4:15" ht="14.25" customHeight="1"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</row>
    <row r="90" spans="4:15" ht="14.25" customHeight="1"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</row>
    <row r="91" spans="4:15" ht="14.25" customHeight="1"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</row>
    <row r="92" spans="4:15" ht="14.25" customHeight="1"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</row>
    <row r="93" spans="4:15" ht="14.25" customHeight="1"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</row>
    <row r="94" spans="4:15" ht="14.25" customHeight="1"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</row>
    <row r="95" spans="4:15" ht="14.25" customHeight="1"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</row>
    <row r="96" spans="4:15" ht="14.25" customHeight="1"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</row>
    <row r="97" spans="4:15" ht="14.25" customHeight="1"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</row>
    <row r="98" spans="4:15" ht="14.25" customHeight="1"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</row>
    <row r="99" spans="4:15" ht="14.25" customHeight="1"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</row>
    <row r="100" spans="4:15" ht="14.25" customHeight="1"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</row>
    <row r="101" spans="4:15" ht="14.25" customHeight="1"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</row>
    <row r="102" spans="4:15" ht="14.25" customHeight="1"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</row>
    <row r="103" spans="4:15" ht="14.25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</row>
    <row r="104" spans="4:15" ht="14.25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</row>
    <row r="105" spans="4:15" ht="14.25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</row>
    <row r="106" spans="4:15" ht="14.25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</row>
    <row r="107" spans="4:15" ht="14.25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</row>
    <row r="108" spans="4:15" ht="14.25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</row>
    <row r="109" spans="4:15" ht="14.25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</row>
    <row r="110" spans="4:15" ht="14.25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</row>
    <row r="111" spans="4:15" ht="14.25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</row>
    <row r="112" spans="4:15" ht="14.25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</row>
    <row r="113" spans="4:7" ht="14.25" customHeight="1">
      <c r="D113" s="61"/>
      <c r="E113" s="62"/>
      <c r="F113" s="63"/>
      <c r="G113" s="64"/>
    </row>
    <row r="114" spans="4:7" ht="14.25" customHeight="1">
      <c r="D114" s="61"/>
      <c r="E114" s="62"/>
      <c r="F114" s="63"/>
      <c r="G114" s="64"/>
    </row>
    <row r="115" spans="4:7" ht="14.25" customHeight="1">
      <c r="D115" s="61"/>
      <c r="E115" s="62"/>
      <c r="F115" s="63"/>
      <c r="G115" s="64"/>
    </row>
    <row r="116" spans="4:7" ht="14.25" customHeight="1">
      <c r="D116" s="61"/>
      <c r="E116" s="62"/>
      <c r="F116" s="63"/>
      <c r="G116" s="64"/>
    </row>
    <row r="117" spans="4:7" ht="14.25" customHeight="1">
      <c r="D117" s="61"/>
      <c r="E117" s="62"/>
      <c r="F117" s="63"/>
      <c r="G117" s="64"/>
    </row>
    <row r="118" spans="4:7" ht="14.25" customHeight="1">
      <c r="D118" s="61"/>
      <c r="E118" s="62"/>
      <c r="F118" s="63"/>
      <c r="G118" s="64"/>
    </row>
    <row r="119" spans="4:7" ht="14.25" customHeight="1">
      <c r="D119" s="61"/>
      <c r="E119" s="62"/>
      <c r="F119" s="63"/>
      <c r="G119" s="64"/>
    </row>
    <row r="120" spans="4:7" ht="14.25" customHeight="1">
      <c r="D120" s="61"/>
      <c r="E120" s="62"/>
      <c r="F120" s="63"/>
      <c r="G120" s="64"/>
    </row>
    <row r="121" spans="4:7" ht="14.25" customHeight="1">
      <c r="D121" s="61"/>
      <c r="E121" s="62"/>
      <c r="F121" s="63"/>
      <c r="G121" s="64"/>
    </row>
    <row r="122" spans="4:7" ht="14.25" customHeight="1">
      <c r="D122" s="61"/>
      <c r="E122" s="62"/>
      <c r="F122" s="63"/>
      <c r="G122" s="64"/>
    </row>
    <row r="123" spans="4:7" ht="14.25" customHeight="1">
      <c r="D123" s="61"/>
      <c r="E123" s="62"/>
      <c r="F123" s="63"/>
      <c r="G123" s="64"/>
    </row>
    <row r="124" spans="4:7" ht="14.25" customHeight="1">
      <c r="D124" s="61"/>
      <c r="E124" s="62"/>
      <c r="F124" s="63"/>
      <c r="G124" s="64"/>
    </row>
    <row r="125" spans="4:7" ht="14.25" customHeight="1">
      <c r="D125" s="61"/>
      <c r="E125" s="62"/>
      <c r="F125" s="63"/>
      <c r="G125" s="64"/>
    </row>
    <row r="126" spans="4:7" ht="14.25" customHeight="1">
      <c r="D126" s="61"/>
      <c r="E126" s="62"/>
      <c r="F126" s="63"/>
      <c r="G126" s="64"/>
    </row>
    <row r="127" spans="4:7" ht="14.25" customHeight="1">
      <c r="D127" s="61"/>
      <c r="E127" s="62"/>
      <c r="F127" s="63"/>
      <c r="G127" s="64"/>
    </row>
    <row r="128" spans="4:7" ht="14.25" customHeight="1">
      <c r="D128" s="61"/>
      <c r="E128" s="62"/>
      <c r="F128" s="63"/>
      <c r="G128" s="64"/>
    </row>
    <row r="129" spans="4:7" ht="14.25" customHeight="1">
      <c r="D129" s="61"/>
      <c r="E129" s="62"/>
      <c r="F129" s="63"/>
      <c r="G129" s="64"/>
    </row>
    <row r="130" spans="4:7" ht="14.25" customHeight="1">
      <c r="D130" s="61"/>
      <c r="E130" s="62"/>
      <c r="F130" s="63"/>
      <c r="G130" s="64"/>
    </row>
    <row r="131" spans="4:7" ht="14.25" customHeight="1">
      <c r="D131" s="61"/>
      <c r="E131" s="62"/>
      <c r="F131" s="63"/>
      <c r="G131" s="64"/>
    </row>
    <row r="132" spans="4:7" ht="14.25" customHeight="1">
      <c r="D132" s="61"/>
      <c r="E132" s="62"/>
      <c r="F132" s="63"/>
      <c r="G132" s="64"/>
    </row>
    <row r="133" spans="4:7" ht="14.25" customHeight="1">
      <c r="D133" s="61"/>
      <c r="E133" s="62"/>
      <c r="F133" s="63"/>
      <c r="G133" s="64"/>
    </row>
    <row r="134" spans="4:7" ht="14.25" customHeight="1">
      <c r="D134" s="61"/>
      <c r="E134" s="62"/>
      <c r="F134" s="63"/>
      <c r="G134" s="64"/>
    </row>
    <row r="135" spans="4:7" ht="14.25" customHeight="1">
      <c r="D135" s="61"/>
      <c r="E135" s="62"/>
      <c r="F135" s="63"/>
      <c r="G135" s="64"/>
    </row>
    <row r="136" spans="4:7" ht="14.25" customHeight="1">
      <c r="D136" s="61"/>
      <c r="E136" s="62"/>
      <c r="F136" s="63"/>
      <c r="G136" s="64"/>
    </row>
    <row r="137" spans="4:7" ht="14.25" customHeight="1">
      <c r="D137" s="61"/>
      <c r="E137" s="62"/>
      <c r="F137" s="63"/>
      <c r="G137" s="64"/>
    </row>
    <row r="138" spans="4:7" ht="14.25" customHeight="1">
      <c r="D138" s="61"/>
      <c r="E138" s="62"/>
      <c r="F138" s="63"/>
      <c r="G138" s="64"/>
    </row>
    <row r="139" spans="4:7" ht="14.25" customHeight="1">
      <c r="D139" s="61"/>
      <c r="E139" s="62"/>
      <c r="F139" s="63"/>
      <c r="G139" s="64"/>
    </row>
    <row r="140" spans="4:7" ht="14.25" customHeight="1">
      <c r="D140" s="61"/>
      <c r="E140" s="62"/>
      <c r="F140" s="63"/>
      <c r="G140" s="64"/>
    </row>
    <row r="141" spans="4:7" ht="14.25" customHeight="1">
      <c r="D141" s="61"/>
      <c r="E141" s="62"/>
      <c r="F141" s="63"/>
      <c r="G141" s="64"/>
    </row>
    <row r="142" spans="4:7" ht="14.25" customHeight="1">
      <c r="D142" s="61"/>
      <c r="E142" s="62"/>
      <c r="F142" s="63"/>
      <c r="G142" s="64"/>
    </row>
    <row r="143" spans="4:7" ht="14.25" customHeight="1">
      <c r="D143" s="61"/>
      <c r="E143" s="62"/>
      <c r="F143" s="63"/>
      <c r="G143" s="64"/>
    </row>
    <row r="144" spans="4:7" ht="14.25" customHeight="1">
      <c r="D144" s="61"/>
      <c r="E144" s="62"/>
      <c r="F144" s="63"/>
      <c r="G144" s="64"/>
    </row>
    <row r="145" spans="4:7" ht="14.25" customHeight="1">
      <c r="D145" s="61"/>
      <c r="E145" s="62"/>
      <c r="F145" s="63"/>
      <c r="G145" s="64"/>
    </row>
    <row r="146" spans="4:7" ht="14.25" customHeight="1">
      <c r="D146" s="61"/>
      <c r="E146" s="62"/>
      <c r="F146" s="63"/>
      <c r="G146" s="64"/>
    </row>
    <row r="147" spans="4:7" ht="14.25" customHeight="1">
      <c r="D147" s="61"/>
      <c r="E147" s="62"/>
      <c r="F147" s="63"/>
      <c r="G147" s="64"/>
    </row>
    <row r="148" spans="4:7" ht="14.25" customHeight="1">
      <c r="D148" s="61"/>
      <c r="E148" s="62"/>
      <c r="F148" s="63"/>
      <c r="G148" s="64"/>
    </row>
    <row r="149" spans="4:7" ht="14.25" customHeight="1">
      <c r="D149" s="61"/>
      <c r="E149" s="62"/>
      <c r="F149" s="63"/>
      <c r="G149" s="64"/>
    </row>
    <row r="150" spans="4:7" ht="14.25" customHeight="1">
      <c r="D150" s="61"/>
      <c r="E150" s="62"/>
      <c r="F150" s="63"/>
      <c r="G150" s="64"/>
    </row>
    <row r="151" spans="4:7" ht="14.25" customHeight="1">
      <c r="D151" s="61"/>
      <c r="E151" s="62"/>
      <c r="F151" s="63"/>
      <c r="G151" s="64"/>
    </row>
    <row r="152" spans="4:7" ht="14.25" customHeight="1">
      <c r="D152" s="61"/>
      <c r="E152" s="62"/>
      <c r="F152" s="63"/>
      <c r="G152" s="64"/>
    </row>
    <row r="153" spans="4:7" ht="14.25" customHeight="1">
      <c r="D153" s="61"/>
      <c r="E153" s="62"/>
      <c r="F153" s="63"/>
      <c r="G153" s="64"/>
    </row>
    <row r="154" spans="4:7" ht="14.25" customHeight="1">
      <c r="D154" s="61"/>
      <c r="E154" s="62"/>
      <c r="F154" s="63"/>
      <c r="G154" s="64"/>
    </row>
    <row r="155" spans="4:7" ht="14.25" customHeight="1">
      <c r="D155" s="61"/>
      <c r="E155" s="62"/>
      <c r="F155" s="63"/>
      <c r="G155" s="64"/>
    </row>
    <row r="156" spans="4:7" ht="14.25" customHeight="1">
      <c r="D156" s="61"/>
      <c r="E156" s="62"/>
      <c r="F156" s="63"/>
      <c r="G156" s="64"/>
    </row>
    <row r="157" spans="4:7" ht="14.25" customHeight="1">
      <c r="D157" s="61"/>
      <c r="E157" s="62"/>
      <c r="F157" s="63"/>
      <c r="G157" s="64"/>
    </row>
    <row r="158" spans="4:7" ht="14.25" customHeight="1">
      <c r="D158" s="61"/>
      <c r="E158" s="62"/>
      <c r="F158" s="63"/>
      <c r="G158" s="64"/>
    </row>
    <row r="159" spans="4:7" ht="14.25" customHeight="1">
      <c r="D159" s="61"/>
      <c r="E159" s="62"/>
      <c r="F159" s="63"/>
      <c r="G159" s="64"/>
    </row>
    <row r="160" spans="4:7" ht="14.25" customHeight="1">
      <c r="D160" s="61"/>
      <c r="E160" s="62"/>
      <c r="F160" s="63"/>
      <c r="G160" s="64"/>
    </row>
    <row r="161" spans="4:7" ht="14.25" customHeight="1">
      <c r="D161" s="61"/>
      <c r="E161" s="62"/>
      <c r="F161" s="63"/>
      <c r="G161" s="64"/>
    </row>
    <row r="162" spans="4:7" ht="14.25" customHeight="1">
      <c r="D162" s="61"/>
      <c r="E162" s="62"/>
      <c r="F162" s="63"/>
      <c r="G162" s="64"/>
    </row>
    <row r="163" spans="4:7" ht="14.25" customHeight="1">
      <c r="D163" s="61"/>
      <c r="E163" s="62"/>
      <c r="F163" s="63"/>
      <c r="G163" s="64"/>
    </row>
    <row r="164" spans="4:7" ht="14.25" customHeight="1">
      <c r="D164" s="61"/>
      <c r="E164" s="62"/>
      <c r="F164" s="63"/>
      <c r="G164" s="64"/>
    </row>
    <row r="165" spans="4:7" ht="14.25" customHeight="1">
      <c r="D165" s="61"/>
      <c r="E165" s="62"/>
      <c r="F165" s="63"/>
      <c r="G165" s="64"/>
    </row>
    <row r="166" spans="4:7" ht="14.25" customHeight="1">
      <c r="D166" s="61"/>
      <c r="E166" s="62"/>
      <c r="F166" s="63"/>
      <c r="G166" s="64"/>
    </row>
    <row r="167" spans="4:7" ht="14.25" customHeight="1">
      <c r="D167" s="61"/>
      <c r="E167" s="62"/>
      <c r="F167" s="63"/>
      <c r="G167" s="64"/>
    </row>
    <row r="168" spans="4:7" ht="14.25" customHeight="1">
      <c r="D168" s="61"/>
      <c r="E168" s="62"/>
      <c r="F168" s="63"/>
      <c r="G168" s="64"/>
    </row>
    <row r="169" spans="4:7" ht="14.25" customHeight="1">
      <c r="D169" s="61"/>
      <c r="E169" s="62"/>
      <c r="F169" s="63"/>
      <c r="G169" s="64"/>
    </row>
    <row r="170" spans="4:7" ht="14.25" customHeight="1">
      <c r="D170" s="61"/>
      <c r="E170" s="62"/>
      <c r="F170" s="63"/>
      <c r="G170" s="64"/>
    </row>
    <row r="171" spans="4:7" ht="14.25" customHeight="1">
      <c r="D171" s="61"/>
      <c r="E171" s="62"/>
      <c r="F171" s="63"/>
      <c r="G171" s="64"/>
    </row>
    <row r="172" spans="4:7" ht="14.25" customHeight="1">
      <c r="D172" s="61"/>
      <c r="E172" s="62"/>
      <c r="F172" s="63"/>
      <c r="G172" s="64"/>
    </row>
    <row r="173" spans="4:7" ht="14.25" customHeight="1">
      <c r="D173" s="61"/>
      <c r="E173" s="62"/>
      <c r="F173" s="63"/>
      <c r="G173" s="64"/>
    </row>
    <row r="174" spans="4:7" ht="14.25" customHeight="1">
      <c r="D174" s="61"/>
      <c r="E174" s="62"/>
      <c r="F174" s="63"/>
      <c r="G174" s="64"/>
    </row>
    <row r="175" spans="4:7" ht="14.25" customHeight="1">
      <c r="D175" s="61"/>
      <c r="E175" s="62"/>
      <c r="F175" s="63"/>
      <c r="G175" s="64"/>
    </row>
    <row r="176" spans="4:7" ht="14.25" customHeight="1">
      <c r="D176" s="61"/>
      <c r="E176" s="62"/>
      <c r="F176" s="63"/>
      <c r="G176" s="64"/>
    </row>
    <row r="177" spans="4:7" ht="14.25" customHeight="1">
      <c r="D177" s="61"/>
      <c r="E177" s="62"/>
      <c r="F177" s="63"/>
      <c r="G177" s="64"/>
    </row>
    <row r="178" spans="4:7" ht="14.25" customHeight="1">
      <c r="D178" s="61"/>
      <c r="E178" s="62"/>
      <c r="F178" s="63"/>
      <c r="G178" s="64"/>
    </row>
    <row r="179" spans="4:7" ht="14.25" customHeight="1">
      <c r="D179" s="61"/>
      <c r="E179" s="62"/>
      <c r="F179" s="63"/>
      <c r="G179" s="64"/>
    </row>
    <row r="180" spans="4:7" ht="14.25" customHeight="1">
      <c r="D180" s="61"/>
      <c r="E180" s="62"/>
      <c r="F180" s="63"/>
      <c r="G180" s="64"/>
    </row>
    <row r="181" spans="4:7" ht="14.25" customHeight="1">
      <c r="D181" s="61"/>
      <c r="E181" s="62"/>
      <c r="F181" s="63"/>
      <c r="G181" s="64"/>
    </row>
    <row r="182" spans="4:7" ht="14.25" customHeight="1">
      <c r="D182" s="61"/>
      <c r="E182" s="62"/>
      <c r="F182" s="63"/>
      <c r="G182" s="64"/>
    </row>
    <row r="183" spans="4:7" ht="14.25" customHeight="1">
      <c r="D183" s="61"/>
      <c r="E183" s="62"/>
      <c r="F183" s="63"/>
      <c r="G183" s="64"/>
    </row>
    <row r="184" spans="4:7" ht="14.25" customHeight="1">
      <c r="D184" s="61"/>
      <c r="E184" s="62"/>
      <c r="F184" s="63"/>
      <c r="G184" s="64"/>
    </row>
    <row r="185" spans="4:7" ht="14.25" customHeight="1">
      <c r="D185" s="61"/>
      <c r="E185" s="62"/>
      <c r="F185" s="63"/>
      <c r="G185" s="64"/>
    </row>
    <row r="186" spans="4:7" ht="14.25" customHeight="1">
      <c r="D186" s="61"/>
      <c r="E186" s="62"/>
      <c r="F186" s="63"/>
      <c r="G186" s="64"/>
    </row>
    <row r="187" spans="4:7" ht="14.25" customHeight="1">
      <c r="D187" s="61"/>
      <c r="E187" s="62"/>
      <c r="F187" s="63"/>
      <c r="G187" s="64"/>
    </row>
    <row r="188" spans="4:7" ht="14.25" customHeight="1">
      <c r="D188" s="61"/>
      <c r="E188" s="62"/>
      <c r="F188" s="63"/>
      <c r="G188" s="64"/>
    </row>
    <row r="189" spans="4:7" ht="14.25" customHeight="1">
      <c r="D189" s="61"/>
      <c r="E189" s="62"/>
      <c r="F189" s="63"/>
      <c r="G189" s="64"/>
    </row>
    <row r="190" spans="4:7" ht="14.25" customHeight="1">
      <c r="D190" s="61"/>
      <c r="E190" s="62"/>
      <c r="F190" s="63"/>
      <c r="G190" s="64"/>
    </row>
    <row r="191" spans="4:7" ht="14.25" customHeight="1">
      <c r="D191" s="61"/>
      <c r="E191" s="62"/>
      <c r="F191" s="63"/>
      <c r="G191" s="64"/>
    </row>
    <row r="192" spans="4:7" ht="14.25" customHeight="1">
      <c r="D192" s="61"/>
      <c r="E192" s="62"/>
      <c r="F192" s="63"/>
      <c r="G192" s="64"/>
    </row>
    <row r="193" spans="4:7" ht="14.25" customHeight="1">
      <c r="D193" s="61"/>
      <c r="E193" s="62"/>
      <c r="F193" s="63"/>
      <c r="G193" s="64"/>
    </row>
    <row r="194" spans="4:7" ht="14.25" customHeight="1">
      <c r="D194" s="61"/>
      <c r="E194" s="62"/>
      <c r="F194" s="63"/>
      <c r="G194" s="64"/>
    </row>
    <row r="195" spans="4:7" ht="14.25" customHeight="1">
      <c r="D195" s="61"/>
      <c r="E195" s="62"/>
      <c r="F195" s="63"/>
      <c r="G195" s="64"/>
    </row>
    <row r="196" spans="4:7" ht="14.25" customHeight="1">
      <c r="D196" s="61"/>
      <c r="E196" s="62"/>
      <c r="F196" s="63"/>
      <c r="G196" s="64"/>
    </row>
    <row r="197" spans="4:7" ht="14.25" customHeight="1">
      <c r="D197" s="61"/>
      <c r="E197" s="62"/>
      <c r="F197" s="63"/>
      <c r="G197" s="64"/>
    </row>
    <row r="198" spans="4:7" ht="14.25" customHeight="1">
      <c r="D198" s="61"/>
      <c r="E198" s="62"/>
      <c r="F198" s="63"/>
      <c r="G198" s="64"/>
    </row>
    <row r="199" spans="4:7" ht="14.25" customHeight="1">
      <c r="D199" s="61"/>
      <c r="E199" s="62"/>
      <c r="F199" s="63"/>
      <c r="G199" s="64"/>
    </row>
    <row r="200" spans="4:7" ht="14.25" customHeight="1">
      <c r="D200" s="61"/>
      <c r="E200" s="62"/>
      <c r="F200" s="63"/>
      <c r="G200" s="64"/>
    </row>
    <row r="201" spans="4:7" ht="14.25" customHeight="1">
      <c r="D201" s="61"/>
      <c r="E201" s="62"/>
      <c r="F201" s="63"/>
      <c r="G201" s="64"/>
    </row>
    <row r="202" spans="4:7" ht="14.25" customHeight="1">
      <c r="D202" s="61"/>
      <c r="E202" s="62"/>
      <c r="F202" s="63"/>
      <c r="G202" s="64"/>
    </row>
    <row r="203" spans="4:7" ht="14.25" customHeight="1">
      <c r="D203" s="61"/>
      <c r="E203" s="62"/>
      <c r="F203" s="63"/>
      <c r="G203" s="64"/>
    </row>
    <row r="204" spans="4:7" ht="14.25" customHeight="1">
      <c r="D204" s="61"/>
      <c r="E204" s="62"/>
      <c r="F204" s="63"/>
      <c r="G204" s="64"/>
    </row>
    <row r="205" spans="4:7" ht="14.25" customHeight="1">
      <c r="D205" s="61"/>
      <c r="E205" s="62"/>
      <c r="F205" s="63"/>
      <c r="G205" s="64"/>
    </row>
    <row r="206" spans="4:7" ht="14.25" customHeight="1">
      <c r="D206" s="61"/>
      <c r="E206" s="62"/>
      <c r="F206" s="63"/>
      <c r="G206" s="64"/>
    </row>
    <row r="207" spans="4:7" ht="14.25" customHeight="1">
      <c r="D207" s="61"/>
      <c r="E207" s="62"/>
      <c r="F207" s="63"/>
      <c r="G207" s="64"/>
    </row>
    <row r="208" spans="4:7" ht="14.25" customHeight="1">
      <c r="D208" s="61"/>
      <c r="E208" s="62"/>
      <c r="F208" s="63"/>
      <c r="G208" s="64"/>
    </row>
    <row r="209" spans="4:7" ht="14.25" customHeight="1">
      <c r="D209" s="61"/>
      <c r="E209" s="62"/>
      <c r="F209" s="63"/>
      <c r="G209" s="64"/>
    </row>
    <row r="210" spans="4:7" ht="14.25" customHeight="1">
      <c r="D210" s="61"/>
      <c r="E210" s="62"/>
      <c r="F210" s="63"/>
      <c r="G210" s="64"/>
    </row>
    <row r="211" spans="4:7" ht="14.25" customHeight="1">
      <c r="D211" s="61"/>
      <c r="E211" s="62"/>
      <c r="F211" s="63"/>
      <c r="G211" s="64"/>
    </row>
    <row r="212" spans="4:7" ht="14.25" customHeight="1">
      <c r="D212" s="61"/>
      <c r="E212" s="62"/>
      <c r="F212" s="63"/>
      <c r="G212" s="64"/>
    </row>
    <row r="213" spans="4:7" ht="14.25" customHeight="1">
      <c r="D213" s="61"/>
      <c r="E213" s="62"/>
      <c r="F213" s="63"/>
      <c r="G213" s="64"/>
    </row>
    <row r="214" spans="4:7" ht="14.25" customHeight="1">
      <c r="D214" s="61"/>
      <c r="E214" s="62"/>
      <c r="F214" s="63"/>
      <c r="G214" s="64"/>
    </row>
    <row r="215" spans="4:7" ht="14.25" customHeight="1">
      <c r="D215" s="61"/>
      <c r="E215" s="62"/>
      <c r="F215" s="63"/>
      <c r="G215" s="64"/>
    </row>
    <row r="216" spans="4:7" ht="14.25" customHeight="1">
      <c r="D216" s="61"/>
      <c r="E216" s="62"/>
      <c r="F216" s="63"/>
      <c r="G216" s="64"/>
    </row>
    <row r="217" spans="4:7" ht="14.25" customHeight="1">
      <c r="D217" s="61"/>
      <c r="E217" s="62"/>
      <c r="F217" s="63"/>
      <c r="G217" s="64"/>
    </row>
    <row r="218" spans="4:7" ht="14.25" customHeight="1">
      <c r="D218" s="61"/>
      <c r="E218" s="62"/>
      <c r="F218" s="63"/>
      <c r="G218" s="64"/>
    </row>
    <row r="219" spans="4:7" ht="14.25" customHeight="1">
      <c r="D219" s="61"/>
      <c r="E219" s="62"/>
      <c r="F219" s="63"/>
      <c r="G219" s="64"/>
    </row>
    <row r="220" spans="4:7" ht="14.25" customHeight="1">
      <c r="D220" s="61"/>
      <c r="E220" s="62"/>
      <c r="F220" s="63"/>
      <c r="G220" s="64"/>
    </row>
    <row r="221" spans="4:7" ht="14.25" customHeight="1">
      <c r="D221" s="61"/>
      <c r="E221" s="62"/>
      <c r="F221" s="63"/>
      <c r="G221" s="64"/>
    </row>
    <row r="222" spans="4:7" ht="14.25" customHeight="1">
      <c r="D222" s="61"/>
      <c r="E222" s="62"/>
      <c r="F222" s="63"/>
      <c r="G222" s="64"/>
    </row>
    <row r="223" spans="4:7" ht="14.25" customHeight="1">
      <c r="D223" s="61"/>
      <c r="E223" s="62"/>
      <c r="F223" s="63"/>
      <c r="G223" s="64"/>
    </row>
    <row r="224" spans="4:7" ht="14.25" customHeight="1">
      <c r="D224" s="61"/>
      <c r="E224" s="62"/>
      <c r="F224" s="63"/>
      <c r="G224" s="64"/>
    </row>
    <row r="225" spans="4:7" ht="14.25" customHeight="1">
      <c r="D225" s="61"/>
      <c r="E225" s="62"/>
      <c r="F225" s="63"/>
      <c r="G225" s="64"/>
    </row>
    <row r="226" spans="4:7" ht="14.25" customHeight="1">
      <c r="D226" s="61"/>
      <c r="E226" s="62"/>
      <c r="F226" s="63"/>
      <c r="G226" s="64"/>
    </row>
    <row r="227" spans="4:7" ht="14.25" customHeight="1">
      <c r="D227" s="61"/>
      <c r="E227" s="62"/>
      <c r="F227" s="63"/>
      <c r="G227" s="64"/>
    </row>
    <row r="228" spans="4:7" ht="14.25" customHeight="1">
      <c r="D228" s="61"/>
      <c r="E228" s="62"/>
      <c r="F228" s="63"/>
      <c r="G228" s="64"/>
    </row>
    <row r="229" spans="4:7" ht="14.25" customHeight="1">
      <c r="D229" s="61"/>
      <c r="E229" s="62"/>
      <c r="F229" s="63"/>
      <c r="G229" s="64"/>
    </row>
    <row r="230" spans="4:7" ht="14.25" customHeight="1">
      <c r="D230" s="61"/>
      <c r="E230" s="62"/>
      <c r="F230" s="63"/>
      <c r="G230" s="64"/>
    </row>
    <row r="231" spans="4:7" ht="14.25" customHeight="1">
      <c r="D231" s="61"/>
      <c r="E231" s="62"/>
      <c r="F231" s="63"/>
      <c r="G231" s="64"/>
    </row>
    <row r="232" spans="4:7" ht="14.25" customHeight="1">
      <c r="D232" s="61"/>
      <c r="E232" s="62"/>
      <c r="F232" s="63"/>
      <c r="G232" s="64"/>
    </row>
    <row r="233" spans="4:7" ht="14.25" customHeight="1">
      <c r="D233" s="61"/>
      <c r="E233" s="62"/>
      <c r="F233" s="63"/>
      <c r="G233" s="64"/>
    </row>
    <row r="234" spans="4:7" ht="14.25" customHeight="1">
      <c r="D234" s="61"/>
      <c r="E234" s="62"/>
      <c r="F234" s="63"/>
      <c r="G234" s="64"/>
    </row>
    <row r="235" spans="4:7" ht="14.25" customHeight="1">
      <c r="D235" s="61"/>
      <c r="E235" s="62"/>
      <c r="F235" s="63"/>
      <c r="G235" s="64"/>
    </row>
    <row r="236" spans="4:7" ht="14.25" customHeight="1">
      <c r="D236" s="61"/>
      <c r="E236" s="62"/>
      <c r="F236" s="63"/>
      <c r="G236" s="64"/>
    </row>
    <row r="237" spans="4:7" ht="14.25" customHeight="1">
      <c r="D237" s="61"/>
      <c r="E237" s="62"/>
      <c r="F237" s="63"/>
      <c r="G237" s="64"/>
    </row>
    <row r="238" spans="4:7" ht="14.25" customHeight="1">
      <c r="D238" s="61"/>
      <c r="E238" s="62"/>
      <c r="F238" s="63"/>
      <c r="G238" s="64"/>
    </row>
    <row r="239" spans="4:7" ht="14.25" customHeight="1">
      <c r="D239" s="61"/>
      <c r="E239" s="62"/>
      <c r="F239" s="63"/>
      <c r="G239" s="64"/>
    </row>
    <row r="240" spans="4:7" ht="14.25" customHeight="1">
      <c r="D240" s="61"/>
      <c r="E240" s="62"/>
      <c r="F240" s="63"/>
      <c r="G240" s="64"/>
    </row>
    <row r="241" spans="4:7" ht="14.25" customHeight="1">
      <c r="D241" s="61"/>
      <c r="E241" s="62"/>
      <c r="F241" s="63"/>
      <c r="G241" s="64"/>
    </row>
    <row r="242" spans="4:7" ht="14.25" customHeight="1">
      <c r="D242" s="61"/>
      <c r="E242" s="62"/>
      <c r="F242" s="63"/>
      <c r="G242" s="64"/>
    </row>
    <row r="243" spans="4:7" ht="14.25" customHeight="1">
      <c r="D243" s="61"/>
      <c r="E243" s="62"/>
      <c r="F243" s="63"/>
      <c r="G243" s="64"/>
    </row>
    <row r="244" spans="4:7" ht="14.25" customHeight="1">
      <c r="D244" s="61"/>
      <c r="E244" s="62"/>
      <c r="F244" s="63"/>
      <c r="G244" s="64"/>
    </row>
    <row r="245" spans="4:7" ht="14.25" customHeight="1">
      <c r="D245" s="61"/>
      <c r="E245" s="62"/>
      <c r="F245" s="63"/>
      <c r="G245" s="64"/>
    </row>
    <row r="246" spans="4:7" ht="14.25" customHeight="1">
      <c r="D246" s="61"/>
      <c r="E246" s="62"/>
      <c r="F246" s="63"/>
      <c r="G246" s="64"/>
    </row>
    <row r="247" spans="4:7" ht="14.25" customHeight="1">
      <c r="D247" s="61"/>
      <c r="E247" s="62"/>
      <c r="F247" s="63"/>
      <c r="G247" s="64"/>
    </row>
    <row r="248" spans="4:7" ht="14.25" customHeight="1">
      <c r="D248" s="61"/>
      <c r="E248" s="62"/>
      <c r="F248" s="63"/>
      <c r="G248" s="64"/>
    </row>
    <row r="249" spans="4:7" ht="14.25" customHeight="1">
      <c r="D249" s="61"/>
      <c r="E249" s="62"/>
      <c r="F249" s="63"/>
      <c r="G249" s="64"/>
    </row>
    <row r="250" spans="4:7" ht="14.25" customHeight="1">
      <c r="D250" s="61"/>
      <c r="E250" s="62"/>
      <c r="F250" s="63"/>
      <c r="G250" s="64"/>
    </row>
    <row r="251" spans="4:7" ht="14.25" customHeight="1">
      <c r="D251" s="61"/>
      <c r="E251" s="62"/>
      <c r="F251" s="63"/>
      <c r="G251" s="64"/>
    </row>
    <row r="252" spans="4:7" ht="14.25" customHeight="1">
      <c r="D252" s="61"/>
      <c r="E252" s="62"/>
      <c r="F252" s="63"/>
      <c r="G252" s="64"/>
    </row>
    <row r="253" spans="4:7" ht="14.25" customHeight="1">
      <c r="D253" s="61"/>
      <c r="E253" s="62"/>
      <c r="F253" s="63"/>
      <c r="G253" s="64"/>
    </row>
    <row r="254" spans="4:7" ht="14.25" customHeight="1">
      <c r="D254" s="61"/>
      <c r="E254" s="62"/>
      <c r="F254" s="63"/>
      <c r="G254" s="64"/>
    </row>
    <row r="255" spans="4:7" ht="14.25" customHeight="1">
      <c r="D255" s="61"/>
      <c r="E255" s="62"/>
      <c r="F255" s="63"/>
      <c r="G255" s="64"/>
    </row>
    <row r="256" spans="4:7" ht="14.25" customHeight="1">
      <c r="D256" s="61"/>
      <c r="E256" s="62"/>
      <c r="F256" s="63"/>
      <c r="G256" s="64"/>
    </row>
    <row r="257" spans="4:7" ht="14.25" customHeight="1">
      <c r="D257" s="61"/>
      <c r="E257" s="62"/>
      <c r="F257" s="63"/>
      <c r="G257" s="64"/>
    </row>
    <row r="258" spans="4:7" ht="14.25" customHeight="1">
      <c r="D258" s="61"/>
      <c r="E258" s="62"/>
      <c r="F258" s="63"/>
      <c r="G258" s="64"/>
    </row>
    <row r="259" spans="4:7" ht="14.25" customHeight="1">
      <c r="D259" s="61"/>
      <c r="E259" s="62"/>
      <c r="F259" s="63"/>
      <c r="G259" s="64"/>
    </row>
    <row r="260" spans="4:7" ht="14.25" customHeight="1">
      <c r="D260" s="61"/>
      <c r="E260" s="62"/>
      <c r="F260" s="63"/>
      <c r="G260" s="64"/>
    </row>
    <row r="261" spans="4:7" ht="14.25" customHeight="1">
      <c r="D261" s="61"/>
      <c r="E261" s="62"/>
      <c r="F261" s="63"/>
      <c r="G261" s="64"/>
    </row>
    <row r="262" spans="4:7" ht="14.25" customHeight="1">
      <c r="D262" s="61"/>
      <c r="E262" s="62"/>
      <c r="F262" s="63"/>
      <c r="G262" s="64"/>
    </row>
    <row r="263" spans="4:7" ht="14.25" customHeight="1">
      <c r="D263" s="61"/>
      <c r="E263" s="62"/>
      <c r="F263" s="63"/>
      <c r="G263" s="64"/>
    </row>
    <row r="264" spans="4:7" ht="14.25" customHeight="1">
      <c r="D264" s="61"/>
      <c r="E264" s="62"/>
      <c r="F264" s="63"/>
      <c r="G264" s="64"/>
    </row>
    <row r="265" spans="4:7" ht="14.25" customHeight="1">
      <c r="D265" s="61"/>
      <c r="E265" s="62"/>
      <c r="F265" s="63"/>
      <c r="G265" s="64"/>
    </row>
    <row r="266" spans="4:7" ht="14.25" customHeight="1">
      <c r="D266" s="61"/>
      <c r="E266" s="62"/>
      <c r="F266" s="63"/>
      <c r="G266" s="64"/>
    </row>
    <row r="267" spans="4:7" ht="14.25" customHeight="1">
      <c r="D267" s="61"/>
      <c r="E267" s="62"/>
      <c r="F267" s="63"/>
      <c r="G267" s="64"/>
    </row>
    <row r="268" spans="4:7" ht="14.25" customHeight="1">
      <c r="D268" s="61"/>
      <c r="E268" s="62"/>
      <c r="F268" s="63"/>
      <c r="G268" s="64"/>
    </row>
    <row r="269" spans="4:7" ht="14.25" customHeight="1">
      <c r="D269" s="61"/>
      <c r="E269" s="62"/>
      <c r="F269" s="63"/>
      <c r="G269" s="64"/>
    </row>
    <row r="270" spans="4:7" ht="14.25" customHeight="1">
      <c r="D270" s="61"/>
      <c r="E270" s="62"/>
      <c r="F270" s="63"/>
      <c r="G270" s="64"/>
    </row>
    <row r="271" spans="4:7" ht="14.25" customHeight="1">
      <c r="D271" s="61"/>
      <c r="E271" s="62"/>
      <c r="F271" s="63"/>
      <c r="G271" s="64"/>
    </row>
    <row r="272" spans="4:7" ht="14.25" customHeight="1">
      <c r="D272" s="61"/>
      <c r="E272" s="62"/>
      <c r="F272" s="63"/>
      <c r="G272" s="64"/>
    </row>
    <row r="273" spans="4:7" ht="14.25" customHeight="1">
      <c r="D273" s="61"/>
      <c r="E273" s="62"/>
      <c r="F273" s="63"/>
      <c r="G273" s="64"/>
    </row>
    <row r="274" spans="4:7" ht="14.25" customHeight="1">
      <c r="D274" s="61"/>
      <c r="E274" s="62"/>
      <c r="F274" s="63"/>
      <c r="G274" s="64"/>
    </row>
    <row r="275" spans="4:7" ht="14.25" customHeight="1">
      <c r="D275" s="61"/>
      <c r="E275" s="62"/>
      <c r="F275" s="63"/>
      <c r="G275" s="64"/>
    </row>
    <row r="276" spans="4:7" ht="14.25" customHeight="1">
      <c r="D276" s="61"/>
      <c r="E276" s="62"/>
      <c r="F276" s="63"/>
      <c r="G276" s="64"/>
    </row>
    <row r="277" spans="4:7" ht="14.25" customHeight="1">
      <c r="D277" s="61"/>
      <c r="E277" s="62"/>
      <c r="F277" s="63"/>
      <c r="G277" s="64"/>
    </row>
    <row r="278" spans="4:7" ht="14.25" customHeight="1">
      <c r="D278" s="61"/>
      <c r="E278" s="62"/>
      <c r="F278" s="63"/>
      <c r="G278" s="64"/>
    </row>
    <row r="279" spans="4:7" ht="14.25" customHeight="1">
      <c r="D279" s="61"/>
      <c r="E279" s="62"/>
      <c r="F279" s="63"/>
      <c r="G279" s="64"/>
    </row>
    <row r="280" spans="4:7" ht="14.25" customHeight="1">
      <c r="D280" s="61"/>
      <c r="E280" s="62"/>
      <c r="F280" s="63"/>
      <c r="G280" s="64"/>
    </row>
    <row r="281" spans="4:7" ht="14.25" customHeight="1">
      <c r="D281" s="61"/>
      <c r="E281" s="62"/>
      <c r="F281" s="63"/>
      <c r="G281" s="64"/>
    </row>
    <row r="282" spans="4:7" ht="14.25" customHeight="1">
      <c r="D282" s="61"/>
      <c r="E282" s="62"/>
      <c r="F282" s="63"/>
      <c r="G282" s="64"/>
    </row>
    <row r="283" spans="4:7" ht="14.25" customHeight="1">
      <c r="D283" s="61"/>
      <c r="E283" s="62"/>
      <c r="F283" s="63"/>
      <c r="G283" s="64"/>
    </row>
    <row r="284" spans="4:7" ht="14.25" customHeight="1">
      <c r="D284" s="61"/>
      <c r="E284" s="62"/>
      <c r="F284" s="63"/>
      <c r="G284" s="64"/>
    </row>
    <row r="285" spans="4:7" ht="14.25" customHeight="1">
      <c r="D285" s="61"/>
      <c r="E285" s="62"/>
      <c r="F285" s="63"/>
      <c r="G285" s="64"/>
    </row>
    <row r="286" spans="4:7" ht="14.25" customHeight="1">
      <c r="D286" s="61"/>
      <c r="E286" s="62"/>
      <c r="F286" s="63"/>
      <c r="G286" s="64"/>
    </row>
    <row r="287" spans="4:7" ht="14.25" customHeight="1">
      <c r="D287" s="61"/>
      <c r="E287" s="62"/>
      <c r="F287" s="63"/>
      <c r="G287" s="64"/>
    </row>
    <row r="288" spans="4:7" ht="14.25" customHeight="1">
      <c r="D288" s="61"/>
      <c r="E288" s="62"/>
      <c r="F288" s="63"/>
      <c r="G288" s="64"/>
    </row>
    <row r="289" spans="4:7" ht="14.25" customHeight="1">
      <c r="D289" s="61"/>
      <c r="E289" s="62"/>
      <c r="F289" s="63"/>
      <c r="G289" s="64"/>
    </row>
    <row r="290" spans="4:7" ht="14.25" customHeight="1">
      <c r="D290" s="61"/>
      <c r="E290" s="62"/>
      <c r="F290" s="63"/>
      <c r="G290" s="64"/>
    </row>
    <row r="291" spans="4:7" ht="14.25" customHeight="1">
      <c r="D291" s="61"/>
      <c r="E291" s="62"/>
      <c r="F291" s="63"/>
      <c r="G291" s="64"/>
    </row>
    <row r="292" spans="4:7" ht="14.25" customHeight="1">
      <c r="D292" s="61"/>
      <c r="E292" s="62"/>
      <c r="F292" s="63"/>
      <c r="G292" s="64"/>
    </row>
    <row r="293" spans="4:7" ht="14.25" customHeight="1">
      <c r="D293" s="61"/>
      <c r="E293" s="62"/>
      <c r="F293" s="63"/>
      <c r="G293" s="64"/>
    </row>
    <row r="294" spans="4:7" ht="14.25" customHeight="1">
      <c r="D294" s="61"/>
      <c r="E294" s="62"/>
      <c r="F294" s="63"/>
      <c r="G294" s="64"/>
    </row>
    <row r="295" spans="4:7" ht="14.25" customHeight="1">
      <c r="D295" s="61"/>
      <c r="E295" s="62"/>
      <c r="F295" s="63"/>
      <c r="G295" s="64"/>
    </row>
    <row r="296" spans="4:7" ht="14.25" customHeight="1">
      <c r="D296" s="61"/>
      <c r="E296" s="62"/>
      <c r="F296" s="63"/>
      <c r="G296" s="64"/>
    </row>
    <row r="297" spans="4:7" ht="14.25" customHeight="1">
      <c r="D297" s="61"/>
      <c r="E297" s="62"/>
      <c r="F297" s="63"/>
      <c r="G297" s="64"/>
    </row>
    <row r="298" spans="4:7" ht="14.25" customHeight="1">
      <c r="D298" s="61"/>
      <c r="E298" s="62"/>
      <c r="F298" s="63"/>
      <c r="G298" s="64"/>
    </row>
    <row r="299" spans="4:7" ht="14.25" customHeight="1">
      <c r="D299" s="61"/>
      <c r="E299" s="62"/>
      <c r="F299" s="63"/>
      <c r="G299" s="64"/>
    </row>
    <row r="300" spans="4:7" ht="14.25" customHeight="1">
      <c r="D300" s="61"/>
      <c r="E300" s="62"/>
      <c r="F300" s="63"/>
      <c r="G300" s="64"/>
    </row>
    <row r="301" spans="4:7" ht="14.25" customHeight="1">
      <c r="D301" s="61"/>
      <c r="E301" s="62"/>
      <c r="F301" s="63"/>
      <c r="G301" s="64"/>
    </row>
    <row r="302" spans="4:7" ht="14.25" customHeight="1">
      <c r="D302" s="61"/>
      <c r="E302" s="62"/>
      <c r="F302" s="63"/>
      <c r="G302" s="64"/>
    </row>
    <row r="303" spans="4:7" ht="14.25" customHeight="1">
      <c r="D303" s="61"/>
      <c r="E303" s="62"/>
      <c r="F303" s="63"/>
      <c r="G303" s="64"/>
    </row>
    <row r="304" spans="4:7" ht="14.25" customHeight="1">
      <c r="D304" s="61"/>
      <c r="E304" s="62"/>
      <c r="F304" s="63"/>
      <c r="G304" s="64"/>
    </row>
    <row r="305" spans="4:7" ht="14.25" customHeight="1">
      <c r="D305" s="61"/>
      <c r="E305" s="62"/>
      <c r="F305" s="63"/>
      <c r="G305" s="64"/>
    </row>
    <row r="306" spans="4:7" ht="14.25" customHeight="1">
      <c r="D306" s="61"/>
      <c r="E306" s="62"/>
      <c r="F306" s="63"/>
      <c r="G306" s="64"/>
    </row>
    <row r="307" spans="4:7" ht="14.25" customHeight="1">
      <c r="D307" s="61"/>
      <c r="E307" s="62"/>
      <c r="F307" s="63"/>
      <c r="G307" s="64"/>
    </row>
    <row r="308" spans="4:7" ht="14.25" customHeight="1">
      <c r="D308" s="61"/>
      <c r="E308" s="62"/>
      <c r="F308" s="63"/>
      <c r="G308" s="64"/>
    </row>
    <row r="309" spans="4:7" ht="14.25" customHeight="1">
      <c r="D309" s="61"/>
      <c r="E309" s="62"/>
      <c r="F309" s="63"/>
      <c r="G309" s="64"/>
    </row>
    <row r="310" spans="4:7" ht="14.25" customHeight="1">
      <c r="D310" s="61"/>
      <c r="E310" s="62"/>
      <c r="F310" s="63"/>
      <c r="G310" s="64"/>
    </row>
    <row r="311" spans="4:7" ht="14.25" customHeight="1">
      <c r="D311" s="61"/>
      <c r="E311" s="62"/>
      <c r="F311" s="63"/>
      <c r="G311" s="64"/>
    </row>
    <row r="312" spans="4:7" ht="14.25" customHeight="1">
      <c r="D312" s="61"/>
      <c r="E312" s="62"/>
      <c r="F312" s="63"/>
      <c r="G312" s="64"/>
    </row>
    <row r="313" spans="4:7" ht="14.25" customHeight="1">
      <c r="D313" s="61"/>
      <c r="E313" s="62"/>
      <c r="F313" s="63"/>
      <c r="G313" s="64"/>
    </row>
    <row r="314" spans="4:7" ht="14.25" customHeight="1">
      <c r="D314" s="61"/>
      <c r="E314" s="62"/>
      <c r="F314" s="63"/>
      <c r="G314" s="64"/>
    </row>
    <row r="315" spans="4:7" ht="14.25" customHeight="1">
      <c r="D315" s="61"/>
      <c r="E315" s="62"/>
      <c r="F315" s="63"/>
      <c r="G315" s="64"/>
    </row>
    <row r="316" spans="4:7" ht="14.25" customHeight="1">
      <c r="D316" s="61"/>
      <c r="E316" s="62"/>
      <c r="F316" s="63"/>
      <c r="G316" s="64"/>
    </row>
    <row r="317" spans="4:7" ht="14.25" customHeight="1">
      <c r="D317" s="61"/>
      <c r="E317" s="62"/>
      <c r="F317" s="63"/>
      <c r="G317" s="64"/>
    </row>
    <row r="318" spans="4:7" ht="14.25" customHeight="1">
      <c r="D318" s="61"/>
      <c r="E318" s="62"/>
      <c r="F318" s="63"/>
      <c r="G318" s="64"/>
    </row>
    <row r="319" spans="4:7" ht="14.25" customHeight="1">
      <c r="D319" s="61"/>
      <c r="E319" s="62"/>
      <c r="F319" s="63"/>
      <c r="G319" s="64"/>
    </row>
    <row r="320" spans="4:7" ht="14.25" customHeight="1">
      <c r="D320" s="61"/>
      <c r="E320" s="62"/>
      <c r="F320" s="63"/>
      <c r="G320" s="64"/>
    </row>
    <row r="321" spans="4:7" ht="14.25" customHeight="1">
      <c r="D321" s="61"/>
      <c r="E321" s="62"/>
      <c r="F321" s="63"/>
      <c r="G321" s="64"/>
    </row>
    <row r="322" spans="4:7" ht="14.25" customHeight="1">
      <c r="D322" s="61"/>
      <c r="E322" s="62"/>
      <c r="F322" s="63"/>
      <c r="G322" s="64"/>
    </row>
    <row r="323" spans="4:7" ht="14.25" customHeight="1">
      <c r="D323" s="61"/>
      <c r="E323" s="62"/>
      <c r="F323" s="63"/>
      <c r="G323" s="64"/>
    </row>
    <row r="324" spans="4:7" ht="14.25" customHeight="1">
      <c r="D324" s="61"/>
      <c r="E324" s="62"/>
      <c r="F324" s="63"/>
      <c r="G324" s="64"/>
    </row>
    <row r="325" spans="4:7" ht="14.25" customHeight="1">
      <c r="D325" s="61"/>
      <c r="E325" s="62"/>
      <c r="F325" s="63"/>
      <c r="G325" s="64"/>
    </row>
    <row r="326" spans="4:7" ht="14.25" customHeight="1">
      <c r="D326" s="61"/>
      <c r="E326" s="62"/>
      <c r="F326" s="63"/>
      <c r="G326" s="64"/>
    </row>
    <row r="327" spans="4:7" ht="14.25" customHeight="1">
      <c r="D327" s="61"/>
      <c r="E327" s="62"/>
      <c r="F327" s="63"/>
      <c r="G327" s="64"/>
    </row>
    <row r="328" spans="4:7" ht="14.25" customHeight="1">
      <c r="D328" s="61"/>
      <c r="E328" s="62"/>
      <c r="F328" s="63"/>
      <c r="G328" s="64"/>
    </row>
    <row r="329" spans="4:7" ht="14.25" customHeight="1">
      <c r="D329" s="61"/>
      <c r="E329" s="62"/>
      <c r="F329" s="63"/>
      <c r="G329" s="64"/>
    </row>
    <row r="330" spans="4:7" ht="14.25" customHeight="1">
      <c r="D330" s="61"/>
      <c r="E330" s="62"/>
      <c r="F330" s="63"/>
      <c r="G330" s="64"/>
    </row>
    <row r="331" spans="4:7" ht="14.25" customHeight="1">
      <c r="D331" s="61"/>
      <c r="E331" s="62"/>
      <c r="F331" s="63"/>
      <c r="G331" s="64"/>
    </row>
    <row r="332" spans="4:7" ht="14.25" customHeight="1">
      <c r="D332" s="61"/>
      <c r="E332" s="62"/>
      <c r="F332" s="63"/>
      <c r="G332" s="64"/>
    </row>
    <row r="333" spans="4:7" ht="14.25" customHeight="1">
      <c r="D333" s="61"/>
      <c r="E333" s="62"/>
      <c r="F333" s="63"/>
      <c r="G333" s="64"/>
    </row>
    <row r="334" spans="4:7" ht="14.25" customHeight="1">
      <c r="D334" s="61"/>
      <c r="E334" s="62"/>
      <c r="F334" s="63"/>
      <c r="G334" s="64"/>
    </row>
    <row r="335" spans="4:7" ht="14.25" customHeight="1">
      <c r="D335" s="61"/>
      <c r="E335" s="62"/>
      <c r="F335" s="63"/>
      <c r="G335" s="64"/>
    </row>
    <row r="336" spans="4:7" ht="14.25" customHeight="1">
      <c r="D336" s="61"/>
      <c r="E336" s="62"/>
      <c r="F336" s="63"/>
      <c r="G336" s="64"/>
    </row>
    <row r="337" spans="4:7" ht="14.25" customHeight="1">
      <c r="D337" s="61"/>
      <c r="E337" s="62"/>
      <c r="F337" s="63"/>
      <c r="G337" s="64"/>
    </row>
    <row r="338" spans="4:7" ht="14.25" customHeight="1">
      <c r="D338" s="61"/>
      <c r="E338" s="62"/>
      <c r="F338" s="63"/>
      <c r="G338" s="64"/>
    </row>
    <row r="339" spans="4:7" ht="14.25" customHeight="1">
      <c r="D339" s="61"/>
      <c r="E339" s="62"/>
      <c r="F339" s="63"/>
      <c r="G339" s="64"/>
    </row>
    <row r="340" spans="4:7" ht="14.25" customHeight="1">
      <c r="D340" s="61"/>
      <c r="E340" s="62"/>
      <c r="F340" s="63"/>
      <c r="G340" s="64"/>
    </row>
    <row r="341" spans="4:7" ht="14.25" customHeight="1">
      <c r="D341" s="61"/>
      <c r="E341" s="62"/>
      <c r="F341" s="63"/>
      <c r="G341" s="64"/>
    </row>
    <row r="342" spans="4:7" ht="14.25" customHeight="1">
      <c r="D342" s="61"/>
      <c r="E342" s="62"/>
      <c r="F342" s="63"/>
      <c r="G342" s="64"/>
    </row>
    <row r="343" spans="4:7" ht="14.25" customHeight="1">
      <c r="D343" s="61"/>
      <c r="E343" s="62"/>
      <c r="F343" s="63"/>
      <c r="G343" s="64"/>
    </row>
    <row r="344" spans="4:7" ht="14.25" customHeight="1">
      <c r="D344" s="61"/>
      <c r="E344" s="62"/>
      <c r="F344" s="63"/>
      <c r="G344" s="64"/>
    </row>
    <row r="345" spans="4:7" ht="14.25" customHeight="1">
      <c r="D345" s="61"/>
      <c r="E345" s="62"/>
      <c r="F345" s="63"/>
      <c r="G345" s="64"/>
    </row>
    <row r="346" spans="4:7" ht="14.25" customHeight="1">
      <c r="D346" s="61"/>
      <c r="E346" s="62"/>
      <c r="F346" s="63"/>
      <c r="G346" s="64"/>
    </row>
    <row r="347" spans="4:7" ht="14.25" customHeight="1">
      <c r="D347" s="61"/>
      <c r="E347" s="62"/>
      <c r="F347" s="63"/>
      <c r="G347" s="64"/>
    </row>
    <row r="348" spans="4:7" ht="14.25" customHeight="1">
      <c r="D348" s="61"/>
      <c r="E348" s="62"/>
      <c r="F348" s="63"/>
      <c r="G348" s="64"/>
    </row>
    <row r="349" spans="4:7" ht="14.25" customHeight="1">
      <c r="D349" s="61"/>
      <c r="E349" s="62"/>
      <c r="F349" s="63"/>
      <c r="G349" s="64"/>
    </row>
    <row r="350" spans="4:7" ht="14.25" customHeight="1">
      <c r="D350" s="61"/>
      <c r="E350" s="62"/>
      <c r="F350" s="63"/>
      <c r="G350" s="64"/>
    </row>
    <row r="351" spans="4:7" ht="14.25" customHeight="1">
      <c r="D351" s="61"/>
      <c r="E351" s="62"/>
      <c r="F351" s="63"/>
      <c r="G351" s="64"/>
    </row>
    <row r="352" spans="4:7" ht="14.25" customHeight="1">
      <c r="D352" s="61"/>
      <c r="E352" s="62"/>
      <c r="F352" s="63"/>
      <c r="G352" s="64"/>
    </row>
    <row r="353" spans="4:7" ht="14.25" customHeight="1">
      <c r="D353" s="61"/>
      <c r="E353" s="62"/>
      <c r="F353" s="63"/>
      <c r="G353" s="64"/>
    </row>
    <row r="354" spans="4:7" ht="14.25" customHeight="1">
      <c r="D354" s="61"/>
      <c r="E354" s="62"/>
      <c r="F354" s="63"/>
      <c r="G354" s="64"/>
    </row>
    <row r="355" spans="4:7" ht="14.25" customHeight="1">
      <c r="D355" s="61"/>
      <c r="E355" s="62"/>
      <c r="F355" s="63"/>
      <c r="G355" s="64"/>
    </row>
    <row r="356" spans="4:7" ht="14.25" customHeight="1">
      <c r="D356" s="61"/>
      <c r="E356" s="62"/>
      <c r="F356" s="63"/>
      <c r="G356" s="64"/>
    </row>
    <row r="357" spans="4:7" ht="14.25" customHeight="1">
      <c r="D357" s="61"/>
      <c r="E357" s="62"/>
      <c r="F357" s="63"/>
      <c r="G357" s="64"/>
    </row>
    <row r="358" spans="4:7" ht="14.25" customHeight="1">
      <c r="D358" s="61"/>
      <c r="E358" s="62"/>
      <c r="F358" s="63"/>
      <c r="G358" s="64"/>
    </row>
    <row r="359" spans="4:7" ht="14.25" customHeight="1">
      <c r="D359" s="61"/>
      <c r="E359" s="62"/>
      <c r="F359" s="63"/>
      <c r="G359" s="64"/>
    </row>
    <row r="360" spans="4:7" ht="14.25" customHeight="1">
      <c r="D360" s="61"/>
      <c r="E360" s="62"/>
      <c r="F360" s="63"/>
      <c r="G360" s="64"/>
    </row>
    <row r="361" spans="4:7" ht="14.25" customHeight="1">
      <c r="D361" s="61"/>
      <c r="E361" s="62"/>
      <c r="F361" s="63"/>
      <c r="G361" s="64"/>
    </row>
    <row r="362" spans="4:7" ht="14.25" customHeight="1">
      <c r="D362" s="61"/>
      <c r="E362" s="62"/>
      <c r="F362" s="63"/>
      <c r="G362" s="64"/>
    </row>
    <row r="363" spans="4:7" ht="14.25" customHeight="1">
      <c r="D363" s="61"/>
      <c r="E363" s="62"/>
      <c r="F363" s="63"/>
      <c r="G363" s="64"/>
    </row>
    <row r="364" spans="4:7" ht="14.25" customHeight="1">
      <c r="D364" s="61"/>
      <c r="E364" s="62"/>
      <c r="F364" s="63"/>
      <c r="G364" s="64"/>
    </row>
    <row r="365" spans="4:7" ht="14.25" customHeight="1">
      <c r="D365" s="61"/>
      <c r="E365" s="62"/>
      <c r="F365" s="63"/>
      <c r="G365" s="64"/>
    </row>
    <row r="366" spans="4:7" ht="14.25" customHeight="1">
      <c r="D366" s="61"/>
      <c r="E366" s="62"/>
      <c r="F366" s="63"/>
      <c r="G366" s="64"/>
    </row>
    <row r="367" spans="4:7" ht="14.25" customHeight="1">
      <c r="D367" s="61"/>
      <c r="E367" s="62"/>
      <c r="F367" s="63"/>
      <c r="G367" s="64"/>
    </row>
    <row r="368" spans="4:7" ht="14.25" customHeight="1">
      <c r="D368" s="61"/>
      <c r="E368" s="62"/>
      <c r="F368" s="63"/>
      <c r="G368" s="64"/>
    </row>
    <row r="369" spans="4:7" ht="14.25" customHeight="1">
      <c r="D369" s="61"/>
      <c r="E369" s="62"/>
      <c r="F369" s="63"/>
      <c r="G369" s="64"/>
    </row>
    <row r="370" spans="4:7" ht="14.25" customHeight="1">
      <c r="D370" s="61"/>
      <c r="E370" s="62"/>
      <c r="F370" s="63"/>
      <c r="G370" s="64"/>
    </row>
    <row r="371" spans="4:7" ht="14.25" customHeight="1">
      <c r="D371" s="61"/>
      <c r="E371" s="62"/>
      <c r="F371" s="63"/>
      <c r="G371" s="64"/>
    </row>
    <row r="372" spans="4:7" ht="14.25" customHeight="1">
      <c r="D372" s="61"/>
      <c r="E372" s="62"/>
      <c r="F372" s="63"/>
      <c r="G372" s="64"/>
    </row>
    <row r="373" spans="4:7" ht="14.25" customHeight="1">
      <c r="D373" s="61"/>
      <c r="E373" s="62"/>
      <c r="F373" s="63"/>
      <c r="G373" s="64"/>
    </row>
    <row r="374" spans="4:7" ht="14.25" customHeight="1">
      <c r="D374" s="61"/>
      <c r="E374" s="62"/>
      <c r="F374" s="63"/>
      <c r="G374" s="64"/>
    </row>
    <row r="375" spans="4:7" ht="14.25" customHeight="1">
      <c r="D375" s="61"/>
      <c r="E375" s="62"/>
      <c r="F375" s="63"/>
      <c r="G375" s="64"/>
    </row>
    <row r="376" spans="4:7" ht="14.25" customHeight="1">
      <c r="D376" s="61"/>
      <c r="E376" s="62"/>
      <c r="F376" s="63"/>
      <c r="G376" s="64"/>
    </row>
    <row r="377" spans="4:7" ht="14.25" customHeight="1">
      <c r="D377" s="61"/>
      <c r="E377" s="62"/>
      <c r="F377" s="63"/>
      <c r="G377" s="64"/>
    </row>
    <row r="378" spans="4:7" ht="14.25" customHeight="1">
      <c r="D378" s="61"/>
      <c r="E378" s="62"/>
      <c r="F378" s="63"/>
      <c r="G378" s="64"/>
    </row>
    <row r="379" spans="4:7" ht="14.25" customHeight="1">
      <c r="D379" s="61"/>
      <c r="E379" s="62"/>
      <c r="F379" s="63"/>
      <c r="G379" s="64"/>
    </row>
    <row r="380" spans="4:7" ht="14.25" customHeight="1">
      <c r="D380" s="61"/>
      <c r="E380" s="62"/>
      <c r="F380" s="63"/>
      <c r="G380" s="64"/>
    </row>
    <row r="381" spans="4:7" ht="14.25" customHeight="1">
      <c r="D381" s="61"/>
      <c r="E381" s="62"/>
      <c r="F381" s="63"/>
      <c r="G381" s="64"/>
    </row>
    <row r="382" spans="4:7" ht="14.25" customHeight="1">
      <c r="D382" s="61"/>
      <c r="E382" s="62"/>
      <c r="F382" s="63"/>
      <c r="G382" s="64"/>
    </row>
    <row r="383" spans="4:7" ht="14.25" customHeight="1">
      <c r="D383" s="61"/>
      <c r="E383" s="62"/>
      <c r="F383" s="63"/>
      <c r="G383" s="64"/>
    </row>
    <row r="384" spans="4:7" ht="14.25" customHeight="1">
      <c r="D384" s="61"/>
      <c r="E384" s="62"/>
      <c r="F384" s="63"/>
      <c r="G384" s="64"/>
    </row>
    <row r="385" spans="4:7" ht="14.25" customHeight="1">
      <c r="D385" s="61"/>
      <c r="E385" s="62"/>
      <c r="F385" s="63"/>
      <c r="G385" s="64"/>
    </row>
    <row r="386" spans="4:7" ht="14.25" customHeight="1">
      <c r="D386" s="61"/>
      <c r="E386" s="62"/>
      <c r="F386" s="63"/>
      <c r="G386" s="64"/>
    </row>
    <row r="387" spans="4:7" ht="14.25" customHeight="1">
      <c r="D387" s="61"/>
      <c r="E387" s="62"/>
      <c r="F387" s="63"/>
      <c r="G387" s="64"/>
    </row>
    <row r="388" spans="4:7" ht="14.25" customHeight="1">
      <c r="D388" s="61"/>
      <c r="E388" s="62"/>
      <c r="F388" s="63"/>
      <c r="G388" s="64"/>
    </row>
    <row r="389" spans="4:7" ht="14.25" customHeight="1">
      <c r="D389" s="61"/>
      <c r="E389" s="62"/>
      <c r="F389" s="63"/>
      <c r="G389" s="64"/>
    </row>
    <row r="390" spans="4:7" ht="14.25" customHeight="1">
      <c r="D390" s="61"/>
      <c r="E390" s="62"/>
      <c r="F390" s="63"/>
      <c r="G390" s="64"/>
    </row>
    <row r="391" spans="4:7" ht="14.25" customHeight="1">
      <c r="D391" s="61"/>
      <c r="E391" s="62"/>
      <c r="F391" s="63"/>
      <c r="G391" s="64"/>
    </row>
    <row r="392" spans="4:7" ht="14.25" customHeight="1">
      <c r="D392" s="61"/>
      <c r="E392" s="62"/>
      <c r="F392" s="63"/>
      <c r="G392" s="64"/>
    </row>
    <row r="393" spans="4:7" ht="14.25" customHeight="1">
      <c r="D393" s="61"/>
      <c r="E393" s="62"/>
      <c r="F393" s="63"/>
      <c r="G393" s="64"/>
    </row>
    <row r="394" spans="4:7" ht="14.25" customHeight="1">
      <c r="D394" s="61"/>
      <c r="E394" s="62"/>
      <c r="F394" s="63"/>
      <c r="G394" s="64"/>
    </row>
    <row r="395" spans="4:7" ht="14.25" customHeight="1">
      <c r="D395" s="61"/>
      <c r="E395" s="62"/>
      <c r="F395" s="63"/>
      <c r="G395" s="64"/>
    </row>
    <row r="396" spans="4:7" ht="14.25" customHeight="1">
      <c r="D396" s="61"/>
      <c r="E396" s="62"/>
      <c r="F396" s="63"/>
      <c r="G396" s="64"/>
    </row>
    <row r="397" spans="4:7" ht="14.25" customHeight="1">
      <c r="D397" s="61"/>
      <c r="E397" s="62"/>
      <c r="F397" s="63"/>
      <c r="G397" s="64"/>
    </row>
    <row r="398" spans="4:7" ht="14.25" customHeight="1">
      <c r="D398" s="61"/>
      <c r="E398" s="62"/>
      <c r="F398" s="63"/>
      <c r="G398" s="64"/>
    </row>
    <row r="399" spans="4:7" ht="14.25" customHeight="1">
      <c r="D399" s="61"/>
      <c r="E399" s="62"/>
      <c r="F399" s="63"/>
      <c r="G399" s="64"/>
    </row>
    <row r="400" spans="4:7" ht="14.25" customHeight="1">
      <c r="D400" s="61"/>
      <c r="E400" s="62"/>
      <c r="F400" s="63"/>
      <c r="G400" s="64"/>
    </row>
    <row r="401" spans="4:7" ht="14.25" customHeight="1">
      <c r="D401" s="61"/>
      <c r="E401" s="62"/>
      <c r="F401" s="63"/>
      <c r="G401" s="64"/>
    </row>
    <row r="402" spans="4:7" ht="14.25" customHeight="1">
      <c r="D402" s="61"/>
      <c r="E402" s="62"/>
      <c r="F402" s="63"/>
      <c r="G402" s="64"/>
    </row>
    <row r="403" spans="4:7" ht="14.25" customHeight="1">
      <c r="D403" s="61"/>
      <c r="E403" s="62"/>
      <c r="F403" s="63"/>
      <c r="G403" s="64"/>
    </row>
    <row r="404" spans="4:7" ht="14.25" customHeight="1">
      <c r="D404" s="61"/>
      <c r="E404" s="62"/>
      <c r="F404" s="63"/>
      <c r="G404" s="64"/>
    </row>
    <row r="405" spans="4:7" ht="14.25" customHeight="1">
      <c r="D405" s="61"/>
      <c r="E405" s="62"/>
      <c r="F405" s="63"/>
      <c r="G405" s="64"/>
    </row>
    <row r="406" spans="4:7" ht="14.25" customHeight="1">
      <c r="D406" s="61"/>
      <c r="E406" s="62"/>
      <c r="F406" s="63"/>
      <c r="G406" s="64"/>
    </row>
    <row r="407" spans="4:7" ht="14.25" customHeight="1">
      <c r="D407" s="61"/>
      <c r="E407" s="62"/>
      <c r="F407" s="63"/>
      <c r="G407" s="64"/>
    </row>
    <row r="408" spans="4:7" ht="14.25" customHeight="1">
      <c r="D408" s="61"/>
      <c r="E408" s="62"/>
      <c r="F408" s="63"/>
      <c r="G408" s="64"/>
    </row>
    <row r="409" spans="4:7" ht="14.25" customHeight="1">
      <c r="D409" s="61"/>
      <c r="E409" s="62"/>
      <c r="F409" s="63"/>
      <c r="G409" s="64"/>
    </row>
    <row r="410" spans="4:7" ht="14.25" customHeight="1">
      <c r="D410" s="61"/>
      <c r="E410" s="62"/>
      <c r="F410" s="63"/>
      <c r="G410" s="64"/>
    </row>
    <row r="411" spans="4:7" ht="14.25" customHeight="1">
      <c r="D411" s="61"/>
      <c r="E411" s="62"/>
      <c r="F411" s="63"/>
      <c r="G411" s="64"/>
    </row>
    <row r="412" spans="4:7" ht="14.25" customHeight="1">
      <c r="D412" s="61"/>
      <c r="E412" s="62"/>
      <c r="F412" s="63"/>
      <c r="G412" s="64"/>
    </row>
    <row r="413" spans="4:7" ht="14.25" customHeight="1">
      <c r="D413" s="61"/>
      <c r="E413" s="62"/>
      <c r="F413" s="63"/>
      <c r="G413" s="64"/>
    </row>
    <row r="414" spans="4:7" ht="14.25" customHeight="1">
      <c r="D414" s="61"/>
      <c r="E414" s="62"/>
      <c r="F414" s="63"/>
      <c r="G414" s="64"/>
    </row>
    <row r="415" spans="4:7" ht="14.25" customHeight="1">
      <c r="D415" s="61"/>
      <c r="E415" s="62"/>
      <c r="F415" s="63"/>
      <c r="G415" s="64"/>
    </row>
    <row r="416" spans="4:7" ht="14.25" customHeight="1">
      <c r="D416" s="61"/>
      <c r="E416" s="62"/>
      <c r="F416" s="63"/>
      <c r="G416" s="64"/>
    </row>
    <row r="417" spans="4:7" ht="14.25" customHeight="1">
      <c r="D417" s="61"/>
      <c r="E417" s="62"/>
      <c r="F417" s="63"/>
      <c r="G417" s="64"/>
    </row>
    <row r="418" spans="4:7" ht="14.25" customHeight="1">
      <c r="D418" s="61"/>
      <c r="E418" s="62"/>
      <c r="F418" s="63"/>
      <c r="G418" s="64"/>
    </row>
    <row r="419" spans="4:7" ht="14.25" customHeight="1">
      <c r="D419" s="61"/>
      <c r="E419" s="62"/>
      <c r="F419" s="63"/>
      <c r="G419" s="64"/>
    </row>
    <row r="420" spans="4:7" ht="14.25" customHeight="1">
      <c r="D420" s="61"/>
      <c r="E420" s="62"/>
      <c r="F420" s="63"/>
      <c r="G420" s="64"/>
    </row>
    <row r="421" spans="4:7" ht="14.25" customHeight="1">
      <c r="D421" s="61"/>
      <c r="E421" s="62"/>
      <c r="F421" s="63"/>
      <c r="G421" s="64"/>
    </row>
    <row r="422" spans="4:7" ht="14.25" customHeight="1">
      <c r="D422" s="61"/>
      <c r="E422" s="62"/>
      <c r="F422" s="63"/>
      <c r="G422" s="64"/>
    </row>
    <row r="423" spans="4:7" ht="14.25" customHeight="1">
      <c r="D423" s="61"/>
      <c r="E423" s="62"/>
      <c r="F423" s="63"/>
      <c r="G423" s="64"/>
    </row>
    <row r="424" spans="4:7" ht="14.25" customHeight="1">
      <c r="D424" s="61"/>
      <c r="E424" s="62"/>
      <c r="F424" s="63"/>
      <c r="G424" s="64"/>
    </row>
    <row r="425" spans="4:7" ht="14.25" customHeight="1">
      <c r="D425" s="61"/>
      <c r="E425" s="62"/>
      <c r="F425" s="63"/>
      <c r="G425" s="64"/>
    </row>
    <row r="426" spans="4:7" ht="14.25" customHeight="1">
      <c r="D426" s="61"/>
      <c r="E426" s="62"/>
      <c r="F426" s="63"/>
      <c r="G426" s="64"/>
    </row>
    <row r="427" spans="4:7" ht="14.25" customHeight="1">
      <c r="D427" s="61"/>
      <c r="E427" s="62"/>
      <c r="F427" s="63"/>
      <c r="G427" s="64"/>
    </row>
    <row r="428" spans="4:7" ht="14.25" customHeight="1">
      <c r="D428" s="61"/>
      <c r="E428" s="62"/>
      <c r="F428" s="63"/>
      <c r="G428" s="64"/>
    </row>
    <row r="429" spans="4:7" ht="14.25" customHeight="1">
      <c r="D429" s="61"/>
      <c r="E429" s="62"/>
      <c r="F429" s="63"/>
      <c r="G429" s="64"/>
    </row>
    <row r="430" spans="4:7" ht="14.25" customHeight="1">
      <c r="D430" s="61"/>
      <c r="E430" s="62"/>
      <c r="F430" s="63"/>
      <c r="G430" s="64"/>
    </row>
    <row r="431" spans="4:7" ht="14.25" customHeight="1">
      <c r="D431" s="61"/>
      <c r="E431" s="62"/>
      <c r="F431" s="63"/>
      <c r="G431" s="64"/>
    </row>
    <row r="432" spans="4:7" ht="14.25" customHeight="1">
      <c r="D432" s="61"/>
      <c r="E432" s="62"/>
      <c r="F432" s="63"/>
      <c r="G432" s="64"/>
    </row>
    <row r="433" spans="4:7" ht="14.25" customHeight="1">
      <c r="D433" s="61"/>
      <c r="E433" s="62"/>
      <c r="F433" s="63"/>
      <c r="G433" s="64"/>
    </row>
    <row r="434" spans="4:7" ht="14.25" customHeight="1">
      <c r="D434" s="61"/>
      <c r="E434" s="62"/>
      <c r="F434" s="63"/>
      <c r="G434" s="64"/>
    </row>
    <row r="435" spans="4:7" ht="14.25" customHeight="1">
      <c r="D435" s="61"/>
      <c r="E435" s="62"/>
      <c r="F435" s="63"/>
      <c r="G435" s="64"/>
    </row>
    <row r="436" spans="4:7" ht="14.25" customHeight="1">
      <c r="D436" s="61"/>
      <c r="E436" s="62"/>
      <c r="F436" s="63"/>
      <c r="G436" s="64"/>
    </row>
    <row r="437" spans="4:7" ht="14.25" customHeight="1">
      <c r="D437" s="61"/>
      <c r="E437" s="62"/>
      <c r="F437" s="63"/>
      <c r="G437" s="64"/>
    </row>
    <row r="438" spans="4:7" ht="14.25" customHeight="1">
      <c r="D438" s="61"/>
      <c r="E438" s="62"/>
      <c r="F438" s="63"/>
      <c r="G438" s="64"/>
    </row>
    <row r="439" spans="4:7" ht="14.25" customHeight="1">
      <c r="D439" s="61"/>
      <c r="E439" s="62"/>
      <c r="F439" s="63"/>
      <c r="G439" s="64"/>
    </row>
    <row r="440" spans="4:7" ht="14.25" customHeight="1">
      <c r="D440" s="61"/>
      <c r="E440" s="62"/>
      <c r="F440" s="63"/>
      <c r="G440" s="64"/>
    </row>
    <row r="441" spans="4:7" ht="14.25" customHeight="1">
      <c r="D441" s="61"/>
      <c r="E441" s="62"/>
      <c r="F441" s="63"/>
      <c r="G441" s="64"/>
    </row>
    <row r="442" spans="4:7" ht="14.25" customHeight="1">
      <c r="D442" s="61"/>
      <c r="E442" s="62"/>
      <c r="F442" s="63"/>
      <c r="G442" s="64"/>
    </row>
    <row r="443" spans="4:7" ht="14.25" customHeight="1">
      <c r="D443" s="61"/>
      <c r="E443" s="62"/>
      <c r="F443" s="63"/>
      <c r="G443" s="64"/>
    </row>
    <row r="444" spans="4:7" ht="14.25" customHeight="1">
      <c r="D444" s="61"/>
      <c r="E444" s="62"/>
      <c r="F444" s="63"/>
      <c r="G444" s="64"/>
    </row>
    <row r="445" spans="4:7" ht="14.25" customHeight="1">
      <c r="D445" s="61"/>
      <c r="E445" s="62"/>
      <c r="F445" s="63"/>
      <c r="G445" s="64"/>
    </row>
    <row r="446" spans="4:7" ht="14.25" customHeight="1">
      <c r="D446" s="61"/>
      <c r="E446" s="62"/>
      <c r="F446" s="63"/>
      <c r="G446" s="64"/>
    </row>
    <row r="447" spans="4:7" ht="14.25" customHeight="1">
      <c r="D447" s="61"/>
      <c r="E447" s="62"/>
      <c r="F447" s="63"/>
      <c r="G447" s="64"/>
    </row>
    <row r="448" spans="4:7" ht="14.25" customHeight="1">
      <c r="D448" s="61"/>
      <c r="E448" s="62"/>
      <c r="F448" s="63"/>
      <c r="G448" s="64"/>
    </row>
    <row r="449" spans="4:7" ht="14.25" customHeight="1">
      <c r="D449" s="61"/>
      <c r="E449" s="62"/>
      <c r="F449" s="63"/>
      <c r="G449" s="64"/>
    </row>
    <row r="450" spans="4:7" ht="14.25" customHeight="1">
      <c r="D450" s="61"/>
      <c r="E450" s="62"/>
      <c r="F450" s="63"/>
      <c r="G450" s="64"/>
    </row>
    <row r="451" spans="4:7" ht="14.25" customHeight="1">
      <c r="D451" s="61"/>
      <c r="E451" s="62"/>
      <c r="F451" s="63"/>
      <c r="G451" s="64"/>
    </row>
    <row r="452" spans="4:7" ht="14.25" customHeight="1">
      <c r="D452" s="61"/>
      <c r="E452" s="62"/>
      <c r="F452" s="63"/>
      <c r="G452" s="64"/>
    </row>
    <row r="453" spans="4:7" ht="14.25" customHeight="1">
      <c r="D453" s="61"/>
      <c r="E453" s="62"/>
      <c r="F453" s="63"/>
      <c r="G453" s="64"/>
    </row>
    <row r="454" spans="4:7" ht="14.25" customHeight="1">
      <c r="D454" s="61"/>
      <c r="E454" s="62"/>
      <c r="F454" s="63"/>
      <c r="G454" s="64"/>
    </row>
    <row r="455" spans="4:7" ht="14.25" customHeight="1">
      <c r="D455" s="61"/>
      <c r="E455" s="62"/>
      <c r="F455" s="63"/>
      <c r="G455" s="64"/>
    </row>
    <row r="456" spans="4:7" ht="14.25" customHeight="1">
      <c r="D456" s="61"/>
      <c r="E456" s="62"/>
      <c r="F456" s="63"/>
      <c r="G456" s="64"/>
    </row>
    <row r="457" spans="4:7" ht="14.25" customHeight="1">
      <c r="D457" s="61"/>
      <c r="E457" s="62"/>
      <c r="F457" s="63"/>
      <c r="G457" s="64"/>
    </row>
    <row r="458" spans="4:7" ht="14.25" customHeight="1">
      <c r="D458" s="61"/>
      <c r="E458" s="62"/>
      <c r="F458" s="63"/>
      <c r="G458" s="64"/>
    </row>
    <row r="459" spans="4:7" ht="14.25" customHeight="1">
      <c r="D459" s="61"/>
      <c r="E459" s="62"/>
      <c r="F459" s="63"/>
      <c r="G459" s="64"/>
    </row>
    <row r="460" spans="4:7" ht="14.25" customHeight="1">
      <c r="D460" s="61"/>
      <c r="E460" s="62"/>
      <c r="F460" s="63"/>
      <c r="G460" s="64"/>
    </row>
    <row r="461" spans="4:7" ht="14.25" customHeight="1">
      <c r="D461" s="61"/>
      <c r="E461" s="62"/>
      <c r="F461" s="63"/>
      <c r="G461" s="64"/>
    </row>
    <row r="462" spans="4:7" ht="14.25" customHeight="1">
      <c r="D462" s="61"/>
      <c r="E462" s="62"/>
      <c r="F462" s="63"/>
      <c r="G462" s="64"/>
    </row>
    <row r="463" spans="4:7" ht="14.25" customHeight="1">
      <c r="D463" s="61"/>
      <c r="E463" s="62"/>
      <c r="F463" s="63"/>
      <c r="G463" s="64"/>
    </row>
    <row r="464" spans="4:7" ht="14.25" customHeight="1">
      <c r="D464" s="61"/>
      <c r="E464" s="62"/>
      <c r="F464" s="63"/>
      <c r="G464" s="64"/>
    </row>
    <row r="465" spans="4:7" ht="14.25" customHeight="1">
      <c r="D465" s="61"/>
      <c r="E465" s="62"/>
      <c r="F465" s="63"/>
      <c r="G465" s="64"/>
    </row>
    <row r="466" spans="4:7" ht="14.25" customHeight="1">
      <c r="D466" s="61"/>
      <c r="E466" s="62"/>
      <c r="F466" s="63"/>
      <c r="G466" s="64"/>
    </row>
    <row r="467" spans="4:7" ht="14.25" customHeight="1">
      <c r="D467" s="61"/>
      <c r="E467" s="62"/>
      <c r="F467" s="63"/>
      <c r="G467" s="64"/>
    </row>
    <row r="468" spans="4:7" ht="14.25" customHeight="1">
      <c r="D468" s="61"/>
      <c r="E468" s="62"/>
      <c r="F468" s="63"/>
      <c r="G468" s="64"/>
    </row>
    <row r="469" spans="4:7" ht="14.25" customHeight="1">
      <c r="D469" s="61"/>
      <c r="E469" s="62"/>
      <c r="F469" s="63"/>
      <c r="G469" s="64"/>
    </row>
    <row r="470" spans="4:7" ht="14.25" customHeight="1">
      <c r="D470" s="61"/>
      <c r="E470" s="62"/>
      <c r="F470" s="63"/>
      <c r="G470" s="64"/>
    </row>
    <row r="471" spans="4:7" ht="14.25" customHeight="1">
      <c r="D471" s="61"/>
      <c r="E471" s="62"/>
      <c r="F471" s="63"/>
      <c r="G471" s="64"/>
    </row>
    <row r="472" spans="4:7" ht="14.25" customHeight="1">
      <c r="D472" s="61"/>
      <c r="E472" s="62"/>
      <c r="F472" s="63"/>
      <c r="G472" s="64"/>
    </row>
    <row r="473" spans="4:7" ht="14.25" customHeight="1">
      <c r="D473" s="61"/>
      <c r="E473" s="62"/>
      <c r="F473" s="63"/>
      <c r="G473" s="64"/>
    </row>
    <row r="474" spans="4:7" ht="14.25" customHeight="1">
      <c r="D474" s="61"/>
      <c r="E474" s="62"/>
      <c r="F474" s="63"/>
      <c r="G474" s="64"/>
    </row>
    <row r="475" spans="4:7" ht="14.25" customHeight="1">
      <c r="D475" s="61"/>
      <c r="E475" s="62"/>
      <c r="F475" s="63"/>
      <c r="G475" s="64"/>
    </row>
    <row r="476" spans="4:7" ht="14.25" customHeight="1">
      <c r="D476" s="61"/>
      <c r="E476" s="62"/>
      <c r="F476" s="63"/>
      <c r="G476" s="64"/>
    </row>
    <row r="477" spans="4:7" ht="14.25" customHeight="1">
      <c r="D477" s="61"/>
      <c r="E477" s="62"/>
      <c r="F477" s="63"/>
      <c r="G477" s="64"/>
    </row>
    <row r="478" spans="4:7" ht="14.25" customHeight="1">
      <c r="D478" s="61"/>
      <c r="E478" s="62"/>
      <c r="F478" s="63"/>
      <c r="G478" s="64"/>
    </row>
    <row r="479" spans="4:7" ht="14.25" customHeight="1">
      <c r="D479" s="61"/>
      <c r="E479" s="62"/>
      <c r="F479" s="63"/>
      <c r="G479" s="64"/>
    </row>
    <row r="480" spans="4:7" ht="14.25" customHeight="1">
      <c r="D480" s="61"/>
      <c r="E480" s="62"/>
      <c r="F480" s="63"/>
      <c r="G480" s="64"/>
    </row>
    <row r="481" spans="4:7" ht="14.25" customHeight="1">
      <c r="D481" s="61"/>
      <c r="E481" s="62"/>
      <c r="F481" s="63"/>
      <c r="G481" s="64"/>
    </row>
    <row r="482" spans="4:7" ht="14.25" customHeight="1">
      <c r="D482" s="61"/>
      <c r="E482" s="62"/>
      <c r="F482" s="63"/>
      <c r="G482" s="64"/>
    </row>
    <row r="483" spans="4:7" ht="14.25" customHeight="1">
      <c r="D483" s="61"/>
      <c r="E483" s="62"/>
      <c r="F483" s="63"/>
      <c r="G483" s="64"/>
    </row>
    <row r="484" spans="4:7" ht="14.25" customHeight="1">
      <c r="D484" s="61"/>
      <c r="E484" s="62"/>
      <c r="F484" s="63"/>
      <c r="G484" s="64"/>
    </row>
    <row r="485" spans="4:7" ht="14.25" customHeight="1">
      <c r="D485" s="61"/>
      <c r="E485" s="62"/>
      <c r="F485" s="63"/>
      <c r="G485" s="64"/>
    </row>
    <row r="486" spans="4:7" ht="14.25" customHeight="1">
      <c r="D486" s="61"/>
      <c r="E486" s="62"/>
      <c r="F486" s="63"/>
      <c r="G486" s="64"/>
    </row>
    <row r="487" spans="4:7" ht="14.25" customHeight="1">
      <c r="D487" s="61"/>
      <c r="E487" s="62"/>
      <c r="F487" s="63"/>
      <c r="G487" s="64"/>
    </row>
    <row r="488" spans="4:7" ht="14.25" customHeight="1">
      <c r="D488" s="61"/>
      <c r="E488" s="62"/>
      <c r="F488" s="63"/>
      <c r="G488" s="64"/>
    </row>
    <row r="489" spans="4:7" ht="14.25" customHeight="1">
      <c r="D489" s="61"/>
      <c r="E489" s="62"/>
      <c r="F489" s="63"/>
      <c r="G489" s="64"/>
    </row>
    <row r="490" spans="4:7" ht="14.25" customHeight="1">
      <c r="D490" s="61"/>
      <c r="E490" s="62"/>
      <c r="F490" s="63"/>
      <c r="G490" s="64"/>
    </row>
    <row r="491" spans="4:7" ht="14.25" customHeight="1">
      <c r="D491" s="61"/>
      <c r="E491" s="62"/>
      <c r="F491" s="63"/>
      <c r="G491" s="64"/>
    </row>
    <row r="492" spans="4:7" ht="14.25" customHeight="1">
      <c r="D492" s="61"/>
      <c r="E492" s="62"/>
      <c r="F492" s="63"/>
      <c r="G492" s="64"/>
    </row>
    <row r="493" spans="4:7" ht="14.25" customHeight="1">
      <c r="D493" s="61"/>
      <c r="E493" s="62"/>
      <c r="F493" s="63"/>
      <c r="G493" s="64"/>
    </row>
    <row r="494" spans="4:7" ht="14.25" customHeight="1">
      <c r="D494" s="61"/>
      <c r="E494" s="62"/>
      <c r="F494" s="63"/>
      <c r="G494" s="64"/>
    </row>
    <row r="495" spans="4:7" ht="14.25" customHeight="1">
      <c r="D495" s="61"/>
      <c r="E495" s="62"/>
      <c r="F495" s="63"/>
      <c r="G495" s="64"/>
    </row>
    <row r="496" spans="4:7" ht="14.25" customHeight="1">
      <c r="D496" s="61"/>
      <c r="E496" s="62"/>
      <c r="F496" s="63"/>
      <c r="G496" s="64"/>
    </row>
    <row r="497" spans="4:7" ht="14.25" customHeight="1">
      <c r="D497" s="61"/>
      <c r="E497" s="62"/>
      <c r="F497" s="63"/>
      <c r="G497" s="64"/>
    </row>
    <row r="498" spans="4:7" ht="14.25" customHeight="1">
      <c r="D498" s="61"/>
      <c r="E498" s="62"/>
      <c r="F498" s="63"/>
      <c r="G498" s="64"/>
    </row>
    <row r="499" spans="4:7" ht="14.25" customHeight="1">
      <c r="D499" s="61"/>
      <c r="E499" s="62"/>
      <c r="F499" s="63"/>
      <c r="G499" s="64"/>
    </row>
    <row r="500" spans="4:7" ht="14.25" customHeight="1">
      <c r="D500" s="61"/>
      <c r="E500" s="62"/>
      <c r="F500" s="63"/>
      <c r="G500" s="64"/>
    </row>
    <row r="501" spans="4:7" ht="14.25" customHeight="1">
      <c r="D501" s="61"/>
      <c r="E501" s="62"/>
      <c r="F501" s="63"/>
      <c r="G501" s="64"/>
    </row>
    <row r="502" spans="4:7" ht="14.25" customHeight="1">
      <c r="D502" s="61"/>
      <c r="E502" s="62"/>
      <c r="F502" s="63"/>
      <c r="G502" s="64"/>
    </row>
    <row r="503" spans="4:7" ht="14.25" customHeight="1">
      <c r="D503" s="61"/>
      <c r="E503" s="62"/>
      <c r="F503" s="63"/>
      <c r="G503" s="64"/>
    </row>
    <row r="504" spans="4:7" ht="14.25" customHeight="1">
      <c r="D504" s="61"/>
      <c r="E504" s="62"/>
      <c r="F504" s="63"/>
      <c r="G504" s="64"/>
    </row>
    <row r="505" spans="4:7" ht="14.25" customHeight="1">
      <c r="D505" s="61"/>
      <c r="E505" s="62"/>
      <c r="F505" s="63"/>
      <c r="G505" s="64"/>
    </row>
    <row r="506" spans="4:7" ht="14.25" customHeight="1">
      <c r="D506" s="61"/>
      <c r="E506" s="62"/>
      <c r="F506" s="63"/>
      <c r="G506" s="64"/>
    </row>
    <row r="507" spans="4:7" ht="14.25" customHeight="1">
      <c r="D507" s="61"/>
      <c r="E507" s="62"/>
      <c r="F507" s="63"/>
      <c r="G507" s="64"/>
    </row>
    <row r="508" spans="4:7" ht="14.25" customHeight="1">
      <c r="D508" s="61"/>
      <c r="E508" s="62"/>
      <c r="F508" s="63"/>
      <c r="G508" s="64"/>
    </row>
    <row r="509" spans="4:7" ht="14.25" customHeight="1">
      <c r="D509" s="61"/>
      <c r="E509" s="62"/>
      <c r="F509" s="63"/>
      <c r="G509" s="64"/>
    </row>
    <row r="510" spans="4:7" ht="14.25" customHeight="1">
      <c r="D510" s="61"/>
      <c r="E510" s="62"/>
      <c r="F510" s="63"/>
      <c r="G510" s="64"/>
    </row>
    <row r="511" spans="4:7" ht="14.25" customHeight="1">
      <c r="D511" s="61"/>
      <c r="E511" s="62"/>
      <c r="F511" s="63"/>
      <c r="G511" s="64"/>
    </row>
    <row r="512" spans="4:7" ht="14.25" customHeight="1">
      <c r="D512" s="61"/>
      <c r="E512" s="62"/>
      <c r="F512" s="63"/>
      <c r="G512" s="64"/>
    </row>
    <row r="513" spans="4:7" ht="14.25" customHeight="1">
      <c r="D513" s="61"/>
      <c r="E513" s="62"/>
      <c r="F513" s="63"/>
      <c r="G513" s="64"/>
    </row>
    <row r="514" spans="4:7" ht="14.25" customHeight="1">
      <c r="D514" s="61"/>
      <c r="E514" s="62"/>
      <c r="F514" s="63"/>
      <c r="G514" s="64"/>
    </row>
    <row r="515" spans="4:7" ht="14.25" customHeight="1">
      <c r="D515" s="61"/>
      <c r="E515" s="62"/>
      <c r="F515" s="63"/>
      <c r="G515" s="64"/>
    </row>
    <row r="516" spans="4:7" ht="14.25" customHeight="1">
      <c r="D516" s="61"/>
      <c r="E516" s="62"/>
      <c r="F516" s="63"/>
      <c r="G516" s="64"/>
    </row>
    <row r="517" spans="4:7" ht="14.25" customHeight="1">
      <c r="D517" s="61"/>
      <c r="E517" s="62"/>
      <c r="F517" s="63"/>
      <c r="G517" s="64"/>
    </row>
    <row r="518" spans="4:7" ht="14.25" customHeight="1">
      <c r="D518" s="61"/>
      <c r="E518" s="62"/>
      <c r="F518" s="63"/>
      <c r="G518" s="64"/>
    </row>
    <row r="519" spans="4:7" ht="14.25" customHeight="1">
      <c r="D519" s="61"/>
      <c r="E519" s="62"/>
      <c r="F519" s="63"/>
      <c r="G519" s="64"/>
    </row>
    <row r="520" spans="4:7" ht="14.25" customHeight="1">
      <c r="D520" s="61"/>
      <c r="E520" s="62"/>
      <c r="F520" s="63"/>
      <c r="G520" s="64"/>
    </row>
    <row r="521" spans="4:7" ht="14.25" customHeight="1">
      <c r="D521" s="61"/>
      <c r="E521" s="62"/>
      <c r="F521" s="63"/>
      <c r="G521" s="64"/>
    </row>
    <row r="522" spans="4:7" ht="14.25" customHeight="1">
      <c r="D522" s="61"/>
      <c r="E522" s="62"/>
      <c r="F522" s="63"/>
      <c r="G522" s="64"/>
    </row>
    <row r="523" spans="4:7" ht="14.25" customHeight="1">
      <c r="D523" s="61"/>
      <c r="E523" s="62"/>
      <c r="F523" s="63"/>
      <c r="G523" s="64"/>
    </row>
    <row r="524" spans="4:7" ht="14.25" customHeight="1">
      <c r="D524" s="61"/>
      <c r="E524" s="62"/>
      <c r="F524" s="63"/>
      <c r="G524" s="64"/>
    </row>
    <row r="525" spans="4:7" ht="14.25" customHeight="1">
      <c r="D525" s="61"/>
      <c r="E525" s="62"/>
      <c r="F525" s="63"/>
      <c r="G525" s="64"/>
    </row>
    <row r="526" spans="4:7" ht="14.25" customHeight="1">
      <c r="D526" s="61"/>
      <c r="E526" s="62"/>
      <c r="F526" s="63"/>
      <c r="G526" s="64"/>
    </row>
    <row r="527" spans="4:7" ht="14.25" customHeight="1">
      <c r="D527" s="61"/>
      <c r="E527" s="62"/>
      <c r="F527" s="63"/>
      <c r="G527" s="64"/>
    </row>
    <row r="528" spans="4:7" ht="14.25" customHeight="1">
      <c r="D528" s="61"/>
      <c r="E528" s="62"/>
      <c r="F528" s="63"/>
      <c r="G528" s="64"/>
    </row>
    <row r="529" spans="4:7" ht="14.25" customHeight="1">
      <c r="D529" s="61"/>
      <c r="E529" s="62"/>
      <c r="F529" s="63"/>
      <c r="G529" s="64"/>
    </row>
    <row r="530" spans="4:7" ht="14.25" customHeight="1">
      <c r="D530" s="61"/>
      <c r="E530" s="62"/>
      <c r="F530" s="63"/>
      <c r="G530" s="64"/>
    </row>
    <row r="531" spans="4:7" ht="14.25" customHeight="1">
      <c r="D531" s="61"/>
      <c r="E531" s="62"/>
      <c r="F531" s="63"/>
      <c r="G531" s="64"/>
    </row>
    <row r="532" spans="4:7" ht="14.25" customHeight="1">
      <c r="D532" s="61"/>
      <c r="E532" s="62"/>
      <c r="F532" s="63"/>
      <c r="G532" s="64"/>
    </row>
    <row r="533" spans="4:7" ht="14.25" customHeight="1">
      <c r="D533" s="61"/>
      <c r="E533" s="62"/>
      <c r="F533" s="63"/>
      <c r="G533" s="64"/>
    </row>
    <row r="534" spans="4:7" ht="14.25" customHeight="1">
      <c r="D534" s="61"/>
      <c r="E534" s="62"/>
      <c r="F534" s="63"/>
      <c r="G534" s="64"/>
    </row>
    <row r="535" spans="4:7" ht="14.25" customHeight="1">
      <c r="D535" s="61"/>
      <c r="E535" s="62"/>
      <c r="F535" s="63"/>
      <c r="G535" s="64"/>
    </row>
    <row r="536" spans="4:7" ht="14.25" customHeight="1">
      <c r="D536" s="61"/>
      <c r="E536" s="62"/>
      <c r="F536" s="63"/>
      <c r="G536" s="64"/>
    </row>
    <row r="537" spans="4:7" ht="14.25" customHeight="1">
      <c r="D537" s="61"/>
      <c r="E537" s="62"/>
      <c r="F537" s="63"/>
      <c r="G537" s="64"/>
    </row>
    <row r="538" spans="4:7" ht="14.25" customHeight="1">
      <c r="D538" s="61"/>
      <c r="E538" s="62"/>
      <c r="F538" s="63"/>
      <c r="G538" s="64"/>
    </row>
    <row r="539" spans="4:7" ht="14.25" customHeight="1">
      <c r="D539" s="61"/>
      <c r="E539" s="62"/>
      <c r="F539" s="63"/>
      <c r="G539" s="64"/>
    </row>
    <row r="540" spans="4:7" ht="14.25" customHeight="1">
      <c r="D540" s="61"/>
      <c r="E540" s="62"/>
      <c r="F540" s="63"/>
      <c r="G540" s="64"/>
    </row>
    <row r="541" spans="4:7" ht="14.25" customHeight="1">
      <c r="D541" s="61"/>
      <c r="E541" s="62"/>
      <c r="F541" s="63"/>
      <c r="G541" s="64"/>
    </row>
    <row r="542" spans="4:7" ht="14.25" customHeight="1">
      <c r="D542" s="61"/>
      <c r="E542" s="62"/>
      <c r="F542" s="63"/>
      <c r="G542" s="64"/>
    </row>
    <row r="543" spans="4:7" ht="14.25" customHeight="1">
      <c r="D543" s="61"/>
      <c r="E543" s="62"/>
      <c r="F543" s="63"/>
      <c r="G543" s="64"/>
    </row>
    <row r="544" spans="4:7" ht="14.25" customHeight="1">
      <c r="D544" s="61"/>
      <c r="E544" s="62"/>
      <c r="F544" s="63"/>
      <c r="G544" s="64"/>
    </row>
    <row r="545" spans="4:7" ht="14.25" customHeight="1">
      <c r="D545" s="61"/>
      <c r="E545" s="62"/>
      <c r="F545" s="63"/>
      <c r="G545" s="64"/>
    </row>
    <row r="546" spans="4:7" ht="14.25" customHeight="1">
      <c r="D546" s="61"/>
      <c r="E546" s="62"/>
      <c r="F546" s="63"/>
      <c r="G546" s="64"/>
    </row>
    <row r="547" spans="4:7" ht="14.25" customHeight="1">
      <c r="D547" s="61"/>
      <c r="E547" s="62"/>
      <c r="F547" s="63"/>
      <c r="G547" s="64"/>
    </row>
    <row r="548" spans="4:7" ht="14.25" customHeight="1">
      <c r="D548" s="61"/>
      <c r="E548" s="62"/>
      <c r="F548" s="63"/>
      <c r="G548" s="64"/>
    </row>
    <row r="549" spans="4:7" ht="14.25" customHeight="1">
      <c r="D549" s="61"/>
      <c r="E549" s="62"/>
      <c r="F549" s="63"/>
      <c r="G549" s="64"/>
    </row>
    <row r="550" spans="4:7" ht="14.25" customHeight="1">
      <c r="D550" s="61"/>
      <c r="E550" s="62"/>
      <c r="F550" s="63"/>
      <c r="G550" s="64"/>
    </row>
    <row r="551" spans="4:7" ht="14.25" customHeight="1">
      <c r="D551" s="61"/>
      <c r="E551" s="62"/>
      <c r="F551" s="63"/>
      <c r="G551" s="64"/>
    </row>
    <row r="552" spans="4:7" ht="14.25" customHeight="1">
      <c r="D552" s="61"/>
      <c r="E552" s="62"/>
      <c r="F552" s="63"/>
      <c r="G552" s="64"/>
    </row>
    <row r="553" spans="4:7" ht="14.25" customHeight="1">
      <c r="D553" s="61"/>
      <c r="E553" s="62"/>
      <c r="F553" s="63"/>
      <c r="G553" s="64"/>
    </row>
    <row r="554" spans="4:7" ht="14.25" customHeight="1">
      <c r="D554" s="61"/>
      <c r="E554" s="62"/>
      <c r="F554" s="63"/>
      <c r="G554" s="64"/>
    </row>
    <row r="555" spans="4:7" ht="14.25" customHeight="1">
      <c r="D555" s="61"/>
      <c r="E555" s="62"/>
      <c r="F555" s="63"/>
      <c r="G555" s="64"/>
    </row>
    <row r="556" spans="4:7" ht="14.25" customHeight="1">
      <c r="D556" s="61"/>
      <c r="E556" s="62"/>
      <c r="F556" s="63"/>
      <c r="G556" s="64"/>
    </row>
    <row r="557" spans="4:7" ht="14.25" customHeight="1">
      <c r="D557" s="61"/>
      <c r="E557" s="62"/>
      <c r="F557" s="63"/>
      <c r="G557" s="64"/>
    </row>
    <row r="558" spans="4:7" ht="14.25" customHeight="1">
      <c r="D558" s="61"/>
      <c r="E558" s="62"/>
      <c r="F558" s="63"/>
      <c r="G558" s="64"/>
    </row>
    <row r="559" spans="4:7" ht="14.25" customHeight="1">
      <c r="D559" s="61"/>
      <c r="E559" s="62"/>
      <c r="F559" s="63"/>
      <c r="G559" s="64"/>
    </row>
    <row r="560" spans="4:7" ht="14.25" customHeight="1">
      <c r="D560" s="61"/>
      <c r="E560" s="62"/>
      <c r="F560" s="63"/>
      <c r="G560" s="64"/>
    </row>
    <row r="561" spans="4:7" ht="14.25" customHeight="1">
      <c r="D561" s="61"/>
      <c r="E561" s="62"/>
      <c r="F561" s="63"/>
      <c r="G561" s="64"/>
    </row>
    <row r="562" spans="4:7" ht="14.25" customHeight="1">
      <c r="D562" s="61"/>
      <c r="E562" s="62"/>
      <c r="F562" s="63"/>
      <c r="G562" s="64"/>
    </row>
    <row r="563" spans="4:7" ht="14.25" customHeight="1">
      <c r="D563" s="61"/>
      <c r="E563" s="62"/>
      <c r="F563" s="63"/>
      <c r="G563" s="64"/>
    </row>
    <row r="564" spans="4:7" ht="14.25" customHeight="1">
      <c r="D564" s="61"/>
      <c r="E564" s="62"/>
      <c r="F564" s="63"/>
      <c r="G564" s="64"/>
    </row>
    <row r="565" spans="4:7" ht="14.25" customHeight="1">
      <c r="D565" s="61"/>
      <c r="E565" s="62"/>
      <c r="F565" s="63"/>
      <c r="G565" s="64"/>
    </row>
    <row r="566" spans="4:7" ht="14.25" customHeight="1">
      <c r="D566" s="61"/>
      <c r="E566" s="62"/>
      <c r="F566" s="63"/>
      <c r="G566" s="64"/>
    </row>
    <row r="567" spans="4:7" ht="14.25" customHeight="1">
      <c r="D567" s="61"/>
      <c r="E567" s="62"/>
      <c r="F567" s="63"/>
      <c r="G567" s="64"/>
    </row>
    <row r="568" spans="4:7" ht="14.25" customHeight="1">
      <c r="D568" s="61"/>
      <c r="E568" s="62"/>
      <c r="F568" s="63"/>
      <c r="G568" s="64"/>
    </row>
    <row r="569" spans="4:7" ht="14.25" customHeight="1">
      <c r="D569" s="61"/>
      <c r="E569" s="62"/>
      <c r="F569" s="63"/>
      <c r="G569" s="64"/>
    </row>
    <row r="570" spans="4:7" ht="14.25" customHeight="1">
      <c r="D570" s="61"/>
      <c r="E570" s="62"/>
      <c r="F570" s="63"/>
      <c r="G570" s="64"/>
    </row>
    <row r="571" spans="4:7" ht="14.25" customHeight="1">
      <c r="D571" s="61"/>
      <c r="E571" s="62"/>
      <c r="F571" s="63"/>
      <c r="G571" s="64"/>
    </row>
    <row r="572" spans="4:7" ht="14.25" customHeight="1">
      <c r="D572" s="61"/>
      <c r="E572" s="62"/>
      <c r="F572" s="63"/>
      <c r="G572" s="64"/>
    </row>
    <row r="573" spans="4:7" ht="14.25" customHeight="1">
      <c r="D573" s="61"/>
      <c r="E573" s="62"/>
      <c r="F573" s="63"/>
      <c r="G573" s="64"/>
    </row>
    <row r="574" spans="4:7" ht="14.25" customHeight="1">
      <c r="D574" s="61"/>
      <c r="E574" s="62"/>
      <c r="F574" s="63"/>
      <c r="G574" s="64"/>
    </row>
    <row r="575" spans="4:7" ht="14.25" customHeight="1">
      <c r="D575" s="61"/>
      <c r="E575" s="62"/>
      <c r="F575" s="63"/>
      <c r="G575" s="64"/>
    </row>
    <row r="576" spans="4:7" ht="14.25" customHeight="1">
      <c r="D576" s="61"/>
      <c r="E576" s="62"/>
      <c r="F576" s="63"/>
      <c r="G576" s="64"/>
    </row>
    <row r="577" spans="4:7" ht="14.25" customHeight="1">
      <c r="D577" s="61"/>
      <c r="E577" s="62"/>
      <c r="F577" s="63"/>
      <c r="G577" s="64"/>
    </row>
    <row r="578" spans="4:7" ht="14.25" customHeight="1">
      <c r="D578" s="61"/>
      <c r="E578" s="62"/>
      <c r="F578" s="63"/>
      <c r="G578" s="64"/>
    </row>
    <row r="579" spans="4:7" ht="14.25" customHeight="1">
      <c r="D579" s="61"/>
      <c r="E579" s="62"/>
      <c r="F579" s="63"/>
      <c r="G579" s="64"/>
    </row>
    <row r="580" spans="4:7" ht="14.25" customHeight="1">
      <c r="D580" s="61"/>
      <c r="E580" s="62"/>
      <c r="F580" s="63"/>
      <c r="G580" s="64"/>
    </row>
    <row r="581" spans="4:7" ht="14.25" customHeight="1">
      <c r="D581" s="61"/>
      <c r="E581" s="62"/>
      <c r="F581" s="63"/>
      <c r="G581" s="64"/>
    </row>
    <row r="582" spans="4:7" ht="14.25" customHeight="1">
      <c r="D582" s="61"/>
      <c r="E582" s="62"/>
      <c r="F582" s="63"/>
      <c r="G582" s="64"/>
    </row>
    <row r="583" spans="4:7" ht="14.25" customHeight="1">
      <c r="D583" s="61"/>
      <c r="E583" s="62"/>
      <c r="F583" s="63"/>
      <c r="G583" s="64"/>
    </row>
    <row r="584" spans="4:7" ht="14.25" customHeight="1">
      <c r="D584" s="61"/>
      <c r="E584" s="62"/>
      <c r="F584" s="63"/>
      <c r="G584" s="64"/>
    </row>
    <row r="585" spans="4:7" ht="14.25" customHeight="1">
      <c r="D585" s="61"/>
      <c r="E585" s="62"/>
      <c r="F585" s="63"/>
      <c r="G585" s="64"/>
    </row>
    <row r="586" spans="4:7" ht="14.25" customHeight="1">
      <c r="D586" s="61"/>
      <c r="E586" s="62"/>
      <c r="F586" s="63"/>
      <c r="G586" s="64"/>
    </row>
    <row r="587" spans="4:7" ht="14.25" customHeight="1">
      <c r="D587" s="61"/>
      <c r="E587" s="62"/>
      <c r="F587" s="63"/>
      <c r="G587" s="64"/>
    </row>
    <row r="588" spans="4:7" ht="14.25" customHeight="1">
      <c r="D588" s="61"/>
      <c r="E588" s="62"/>
      <c r="F588" s="63"/>
      <c r="G588" s="64"/>
    </row>
    <row r="589" spans="4:7" ht="14.25" customHeight="1">
      <c r="D589" s="61"/>
      <c r="E589" s="62"/>
      <c r="F589" s="63"/>
      <c r="G589" s="64"/>
    </row>
    <row r="590" spans="4:7" ht="14.25" customHeight="1">
      <c r="D590" s="61"/>
      <c r="E590" s="62"/>
      <c r="F590" s="63"/>
      <c r="G590" s="64"/>
    </row>
    <row r="591" spans="4:7" ht="14.25" customHeight="1">
      <c r="D591" s="61"/>
      <c r="E591" s="62"/>
      <c r="F591" s="63"/>
      <c r="G591" s="64"/>
    </row>
    <row r="592" spans="4:7" ht="14.25" customHeight="1">
      <c r="D592" s="61"/>
      <c r="E592" s="62"/>
      <c r="F592" s="63"/>
      <c r="G592" s="64"/>
    </row>
    <row r="593" spans="4:7" ht="14.25" customHeight="1">
      <c r="D593" s="61"/>
      <c r="E593" s="62"/>
      <c r="F593" s="63"/>
      <c r="G593" s="64"/>
    </row>
    <row r="594" spans="4:7" ht="14.25" customHeight="1">
      <c r="D594" s="61"/>
      <c r="E594" s="62"/>
      <c r="F594" s="63"/>
      <c r="G594" s="64"/>
    </row>
    <row r="595" spans="4:7" ht="14.25" customHeight="1">
      <c r="D595" s="61"/>
      <c r="E595" s="62"/>
      <c r="F595" s="63"/>
      <c r="G595" s="64"/>
    </row>
    <row r="596" spans="4:7" ht="14.25" customHeight="1">
      <c r="D596" s="61"/>
      <c r="E596" s="62"/>
      <c r="F596" s="63"/>
      <c r="G596" s="64"/>
    </row>
    <row r="597" spans="4:7" ht="14.25" customHeight="1">
      <c r="D597" s="61"/>
      <c r="E597" s="62"/>
      <c r="F597" s="63"/>
      <c r="G597" s="64"/>
    </row>
    <row r="598" spans="4:7" ht="14.25" customHeight="1">
      <c r="D598" s="61"/>
      <c r="E598" s="62"/>
      <c r="F598" s="63"/>
      <c r="G598" s="64"/>
    </row>
    <row r="599" spans="4:7" ht="14.25" customHeight="1">
      <c r="D599" s="61"/>
      <c r="E599" s="62"/>
      <c r="F599" s="63"/>
      <c r="G599" s="64"/>
    </row>
    <row r="600" spans="4:7" ht="14.25" customHeight="1">
      <c r="D600" s="61"/>
      <c r="E600" s="62"/>
      <c r="F600" s="63"/>
      <c r="G600" s="64"/>
    </row>
    <row r="601" spans="4:7" ht="14.25" customHeight="1">
      <c r="D601" s="61"/>
      <c r="E601" s="62"/>
      <c r="F601" s="63"/>
      <c r="G601" s="64"/>
    </row>
    <row r="602" spans="4:7" ht="14.25" customHeight="1">
      <c r="D602" s="61"/>
      <c r="E602" s="62"/>
      <c r="F602" s="63"/>
      <c r="G602" s="64"/>
    </row>
    <row r="603" spans="4:7" ht="14.25" customHeight="1">
      <c r="D603" s="61"/>
      <c r="E603" s="62"/>
      <c r="F603" s="63"/>
      <c r="G603" s="64"/>
    </row>
    <row r="604" spans="4:7" ht="14.25" customHeight="1">
      <c r="D604" s="61"/>
      <c r="E604" s="62"/>
      <c r="F604" s="63"/>
      <c r="G604" s="64"/>
    </row>
    <row r="605" spans="4:7" ht="14.25" customHeight="1">
      <c r="D605" s="61"/>
      <c r="E605" s="62"/>
      <c r="F605" s="63"/>
      <c r="G605" s="64"/>
    </row>
    <row r="606" spans="4:7" ht="14.25" customHeight="1">
      <c r="D606" s="61"/>
      <c r="E606" s="62"/>
      <c r="F606" s="63"/>
      <c r="G606" s="64"/>
    </row>
    <row r="607" spans="4:7" ht="14.25" customHeight="1">
      <c r="D607" s="61"/>
      <c r="E607" s="62"/>
      <c r="F607" s="63"/>
      <c r="G607" s="64"/>
    </row>
    <row r="608" spans="4:7" ht="14.25" customHeight="1">
      <c r="D608" s="61"/>
      <c r="E608" s="62"/>
      <c r="F608" s="63"/>
      <c r="G608" s="64"/>
    </row>
    <row r="609" spans="4:7" ht="14.25" customHeight="1">
      <c r="D609" s="61"/>
      <c r="E609" s="62"/>
      <c r="F609" s="63"/>
      <c r="G609" s="64"/>
    </row>
    <row r="610" spans="4:7" ht="14.25" customHeight="1">
      <c r="D610" s="61"/>
      <c r="E610" s="62"/>
      <c r="F610" s="63"/>
      <c r="G610" s="64"/>
    </row>
    <row r="611" spans="4:7" ht="14.25" customHeight="1">
      <c r="D611" s="61"/>
      <c r="E611" s="62"/>
      <c r="F611" s="63"/>
      <c r="G611" s="64"/>
    </row>
    <row r="612" spans="4:7" ht="14.25" customHeight="1">
      <c r="D612" s="61"/>
      <c r="E612" s="62"/>
      <c r="F612" s="63"/>
      <c r="G612" s="64"/>
    </row>
    <row r="613" spans="4:7" ht="14.25" customHeight="1">
      <c r="D613" s="61"/>
      <c r="E613" s="62"/>
      <c r="F613" s="63"/>
      <c r="G613" s="64"/>
    </row>
    <row r="614" spans="4:7" ht="14.25" customHeight="1">
      <c r="D614" s="61"/>
      <c r="E614" s="62"/>
      <c r="F614" s="63"/>
      <c r="G614" s="64"/>
    </row>
    <row r="615" spans="4:7" ht="14.25" customHeight="1">
      <c r="D615" s="61"/>
      <c r="E615" s="62"/>
      <c r="F615" s="63"/>
      <c r="G615" s="64"/>
    </row>
    <row r="616" spans="4:7" ht="14.25" customHeight="1">
      <c r="D616" s="61"/>
      <c r="E616" s="62"/>
      <c r="F616" s="63"/>
      <c r="G616" s="64"/>
    </row>
    <row r="617" spans="4:7" ht="14.25" customHeight="1">
      <c r="D617" s="61"/>
      <c r="E617" s="62"/>
      <c r="F617" s="63"/>
      <c r="G617" s="64"/>
    </row>
    <row r="618" spans="4:7" ht="14.25" customHeight="1">
      <c r="D618" s="61"/>
      <c r="E618" s="62"/>
      <c r="F618" s="63"/>
      <c r="G618" s="64"/>
    </row>
    <row r="619" spans="4:7" ht="14.25" customHeight="1">
      <c r="D619" s="61"/>
      <c r="E619" s="62"/>
      <c r="F619" s="63"/>
      <c r="G619" s="64"/>
    </row>
    <row r="620" spans="4:7" ht="14.25" customHeight="1">
      <c r="D620" s="61"/>
      <c r="E620" s="62"/>
      <c r="F620" s="63"/>
      <c r="G620" s="64"/>
    </row>
    <row r="621" spans="4:7" ht="14.25" customHeight="1">
      <c r="D621" s="61"/>
      <c r="E621" s="62"/>
      <c r="F621" s="63"/>
      <c r="G621" s="64"/>
    </row>
    <row r="622" spans="4:7" ht="14.25" customHeight="1">
      <c r="D622" s="61"/>
      <c r="E622" s="62"/>
      <c r="F622" s="63"/>
      <c r="G622" s="64"/>
    </row>
    <row r="623" spans="4:7" ht="14.25" customHeight="1">
      <c r="D623" s="61"/>
      <c r="E623" s="62"/>
      <c r="F623" s="63"/>
      <c r="G623" s="64"/>
    </row>
    <row r="624" spans="4:7" ht="14.25" customHeight="1">
      <c r="D624" s="61"/>
      <c r="E624" s="62"/>
      <c r="F624" s="63"/>
      <c r="G624" s="64"/>
    </row>
    <row r="625" spans="4:7" ht="14.25" customHeight="1">
      <c r="D625" s="61"/>
      <c r="E625" s="62"/>
      <c r="F625" s="63"/>
      <c r="G625" s="64"/>
    </row>
    <row r="626" spans="4:7" ht="14.25" customHeight="1">
      <c r="D626" s="61"/>
      <c r="E626" s="62"/>
      <c r="F626" s="63"/>
      <c r="G626" s="64"/>
    </row>
    <row r="627" spans="4:7" ht="14.25" customHeight="1">
      <c r="D627" s="61"/>
      <c r="E627" s="62"/>
      <c r="F627" s="63"/>
      <c r="G627" s="64"/>
    </row>
    <row r="628" spans="4:7" ht="14.25" customHeight="1">
      <c r="D628" s="61"/>
      <c r="E628" s="62"/>
      <c r="F628" s="63"/>
      <c r="G628" s="64"/>
    </row>
    <row r="629" spans="4:7" ht="14.25" customHeight="1">
      <c r="D629" s="61"/>
      <c r="E629" s="62"/>
      <c r="F629" s="63"/>
      <c r="G629" s="64"/>
    </row>
    <row r="630" spans="4:7" ht="14.25" customHeight="1">
      <c r="D630" s="61"/>
      <c r="E630" s="62"/>
      <c r="F630" s="63"/>
      <c r="G630" s="64"/>
    </row>
    <row r="631" spans="4:7" ht="14.25" customHeight="1">
      <c r="D631" s="61"/>
      <c r="E631" s="62"/>
      <c r="F631" s="63"/>
      <c r="G631" s="64"/>
    </row>
    <row r="632" spans="4:7" ht="14.25" customHeight="1">
      <c r="D632" s="61"/>
      <c r="E632" s="62"/>
      <c r="F632" s="63"/>
      <c r="G632" s="64"/>
    </row>
    <row r="633" spans="4:7" ht="14.25" customHeight="1">
      <c r="D633" s="61"/>
      <c r="E633" s="62"/>
      <c r="F633" s="63"/>
      <c r="G633" s="64"/>
    </row>
    <row r="634" spans="4:7" ht="14.25" customHeight="1">
      <c r="D634" s="61"/>
      <c r="E634" s="62"/>
      <c r="F634" s="63"/>
      <c r="G634" s="64"/>
    </row>
    <row r="635" spans="4:7" ht="14.25" customHeight="1">
      <c r="D635" s="61"/>
      <c r="E635" s="62"/>
      <c r="F635" s="63"/>
      <c r="G635" s="64"/>
    </row>
    <row r="636" spans="4:7" ht="14.25" customHeight="1">
      <c r="D636" s="61"/>
      <c r="E636" s="62"/>
      <c r="F636" s="63"/>
      <c r="G636" s="64"/>
    </row>
    <row r="637" spans="4:7" ht="14.25" customHeight="1">
      <c r="D637" s="61"/>
      <c r="E637" s="62"/>
      <c r="F637" s="63"/>
      <c r="G637" s="64"/>
    </row>
    <row r="638" spans="4:7" ht="14.25" customHeight="1">
      <c r="D638" s="61"/>
      <c r="E638" s="62"/>
      <c r="F638" s="63"/>
      <c r="G638" s="64"/>
    </row>
    <row r="639" spans="4:7" ht="14.25" customHeight="1">
      <c r="D639" s="61"/>
      <c r="E639" s="62"/>
      <c r="F639" s="63"/>
      <c r="G639" s="64"/>
    </row>
    <row r="640" spans="4:7" ht="14.25" customHeight="1">
      <c r="D640" s="61"/>
      <c r="E640" s="62"/>
      <c r="F640" s="63"/>
      <c r="G640" s="64"/>
    </row>
    <row r="641" spans="4:7" ht="14.25" customHeight="1">
      <c r="D641" s="61"/>
      <c r="E641" s="62"/>
      <c r="F641" s="63"/>
      <c r="G641" s="64"/>
    </row>
    <row r="642" spans="4:7" ht="14.25" customHeight="1">
      <c r="D642" s="61"/>
      <c r="E642" s="62"/>
      <c r="F642" s="63"/>
      <c r="G642" s="64"/>
    </row>
    <row r="643" spans="4:7" ht="14.25" customHeight="1">
      <c r="D643" s="61"/>
      <c r="E643" s="62"/>
      <c r="F643" s="63"/>
      <c r="G643" s="64"/>
    </row>
    <row r="644" spans="4:7" ht="14.25" customHeight="1">
      <c r="D644" s="61"/>
      <c r="E644" s="62"/>
      <c r="F644" s="63"/>
      <c r="G644" s="64"/>
    </row>
    <row r="645" spans="4:7" ht="14.25" customHeight="1">
      <c r="D645" s="61"/>
      <c r="E645" s="62"/>
      <c r="F645" s="63"/>
      <c r="G645" s="64"/>
    </row>
    <row r="646" spans="4:7" ht="14.25" customHeight="1">
      <c r="D646" s="61"/>
      <c r="E646" s="62"/>
      <c r="F646" s="63"/>
      <c r="G646" s="64"/>
    </row>
    <row r="647" spans="4:7" ht="14.25" customHeight="1">
      <c r="D647" s="61"/>
      <c r="E647" s="62"/>
      <c r="F647" s="63"/>
      <c r="G647" s="64"/>
    </row>
    <row r="648" spans="4:7" ht="14.25" customHeight="1">
      <c r="D648" s="61"/>
      <c r="E648" s="62"/>
      <c r="F648" s="63"/>
      <c r="G648" s="64"/>
    </row>
    <row r="649" spans="4:7" ht="14.25" customHeight="1">
      <c r="D649" s="61"/>
      <c r="E649" s="62"/>
      <c r="F649" s="63"/>
      <c r="G649" s="64"/>
    </row>
    <row r="650" spans="4:7" ht="14.25" customHeight="1">
      <c r="D650" s="61"/>
      <c r="E650" s="62"/>
      <c r="F650" s="63"/>
      <c r="G650" s="64"/>
    </row>
    <row r="651" spans="4:7" ht="14.25" customHeight="1">
      <c r="D651" s="61"/>
      <c r="E651" s="62"/>
      <c r="F651" s="63"/>
      <c r="G651" s="64"/>
    </row>
    <row r="652" spans="4:7" ht="14.25" customHeight="1">
      <c r="D652" s="61"/>
      <c r="E652" s="62"/>
      <c r="F652" s="63"/>
      <c r="G652" s="64"/>
    </row>
    <row r="653" spans="4:7" ht="14.25" customHeight="1">
      <c r="D653" s="61"/>
      <c r="E653" s="62"/>
      <c r="F653" s="63"/>
      <c r="G653" s="64"/>
    </row>
    <row r="654" spans="4:7" ht="14.25" customHeight="1">
      <c r="D654" s="61"/>
      <c r="E654" s="62"/>
      <c r="F654" s="63"/>
      <c r="G654" s="64"/>
    </row>
    <row r="655" spans="4:7" ht="14.25" customHeight="1">
      <c r="D655" s="61"/>
      <c r="E655" s="62"/>
      <c r="F655" s="63"/>
      <c r="G655" s="64"/>
    </row>
    <row r="656" spans="4:7" ht="14.25" customHeight="1">
      <c r="D656" s="61"/>
      <c r="E656" s="62"/>
      <c r="F656" s="63"/>
      <c r="G656" s="64"/>
    </row>
    <row r="657" spans="4:7" ht="14.25" customHeight="1">
      <c r="D657" s="61"/>
      <c r="E657" s="62"/>
      <c r="F657" s="63"/>
      <c r="G657" s="64"/>
    </row>
    <row r="658" spans="4:7" ht="14.25" customHeight="1">
      <c r="D658" s="61"/>
      <c r="E658" s="62"/>
      <c r="F658" s="63"/>
      <c r="G658" s="64"/>
    </row>
    <row r="659" spans="4:7" ht="14.25" customHeight="1">
      <c r="D659" s="61"/>
      <c r="E659" s="62"/>
      <c r="F659" s="63"/>
      <c r="G659" s="64"/>
    </row>
    <row r="660" spans="4:7" ht="14.25" customHeight="1">
      <c r="D660" s="61"/>
      <c r="E660" s="62"/>
      <c r="F660" s="63"/>
      <c r="G660" s="64"/>
    </row>
    <row r="661" spans="4:7" ht="14.25" customHeight="1">
      <c r="D661" s="61"/>
      <c r="E661" s="62"/>
      <c r="F661" s="63"/>
      <c r="G661" s="64"/>
    </row>
    <row r="662" spans="4:7" ht="14.25" customHeight="1">
      <c r="D662" s="61"/>
      <c r="E662" s="62"/>
      <c r="F662" s="63"/>
      <c r="G662" s="64"/>
    </row>
    <row r="663" spans="4:7" ht="14.25" customHeight="1">
      <c r="D663" s="61"/>
      <c r="E663" s="62"/>
      <c r="F663" s="63"/>
      <c r="G663" s="64"/>
    </row>
    <row r="664" spans="4:7" ht="14.25" customHeight="1">
      <c r="D664" s="61"/>
      <c r="E664" s="62"/>
      <c r="F664" s="63"/>
      <c r="G664" s="64"/>
    </row>
    <row r="665" spans="4:7" ht="14.25" customHeight="1">
      <c r="D665" s="61"/>
      <c r="E665" s="62"/>
      <c r="F665" s="63"/>
      <c r="G665" s="64"/>
    </row>
    <row r="666" spans="4:7" ht="14.25" customHeight="1">
      <c r="D666" s="61"/>
      <c r="E666" s="62"/>
      <c r="F666" s="63"/>
      <c r="G666" s="64"/>
    </row>
    <row r="667" spans="4:7" ht="14.25" customHeight="1">
      <c r="D667" s="61"/>
      <c r="E667" s="62"/>
      <c r="F667" s="63"/>
      <c r="G667" s="64"/>
    </row>
    <row r="668" spans="4:7" ht="14.25" customHeight="1">
      <c r="D668" s="61"/>
      <c r="E668" s="62"/>
      <c r="F668" s="63"/>
      <c r="G668" s="64"/>
    </row>
    <row r="669" spans="4:7" ht="14.25" customHeight="1">
      <c r="D669" s="61"/>
      <c r="E669" s="62"/>
      <c r="F669" s="63"/>
      <c r="G669" s="64"/>
    </row>
    <row r="670" spans="4:7" ht="14.25" customHeight="1">
      <c r="D670" s="61"/>
      <c r="E670" s="62"/>
      <c r="F670" s="63"/>
      <c r="G670" s="64"/>
    </row>
    <row r="671" spans="4:7" ht="14.25" customHeight="1">
      <c r="D671" s="61"/>
      <c r="E671" s="62"/>
      <c r="F671" s="63"/>
      <c r="G671" s="64"/>
    </row>
    <row r="672" spans="4:7" ht="14.25" customHeight="1">
      <c r="D672" s="61"/>
      <c r="E672" s="62"/>
      <c r="F672" s="63"/>
      <c r="G672" s="64"/>
    </row>
    <row r="673" spans="4:7" ht="14.25" customHeight="1">
      <c r="D673" s="61"/>
      <c r="E673" s="62"/>
      <c r="F673" s="63"/>
      <c r="G673" s="64"/>
    </row>
    <row r="674" spans="4:7" ht="14.25" customHeight="1">
      <c r="D674" s="61"/>
      <c r="E674" s="62"/>
      <c r="F674" s="63"/>
      <c r="G674" s="64"/>
    </row>
    <row r="675" spans="4:7" ht="14.25" customHeight="1">
      <c r="D675" s="61"/>
      <c r="E675" s="62"/>
      <c r="F675" s="63"/>
      <c r="G675" s="64"/>
    </row>
    <row r="676" spans="4:7" ht="14.25" customHeight="1">
      <c r="D676" s="61"/>
      <c r="E676" s="62"/>
      <c r="F676" s="63"/>
      <c r="G676" s="64"/>
    </row>
    <row r="677" spans="4:7" ht="14.25" customHeight="1">
      <c r="D677" s="61"/>
      <c r="E677" s="62"/>
      <c r="F677" s="63"/>
      <c r="G677" s="64"/>
    </row>
    <row r="678" spans="4:7" ht="14.25" customHeight="1">
      <c r="D678" s="61"/>
      <c r="E678" s="62"/>
      <c r="F678" s="63"/>
      <c r="G678" s="64"/>
    </row>
    <row r="679" spans="4:7" ht="14.25" customHeight="1">
      <c r="D679" s="61"/>
      <c r="E679" s="62"/>
      <c r="F679" s="63"/>
      <c r="G679" s="64"/>
    </row>
    <row r="680" spans="4:7" ht="14.25" customHeight="1">
      <c r="D680" s="61"/>
      <c r="E680" s="62"/>
      <c r="F680" s="63"/>
      <c r="G680" s="64"/>
    </row>
    <row r="681" spans="4:7" ht="14.25" customHeight="1">
      <c r="D681" s="61"/>
      <c r="E681" s="62"/>
      <c r="F681" s="63"/>
      <c r="G681" s="64"/>
    </row>
    <row r="682" spans="4:7" ht="14.25" customHeight="1">
      <c r="D682" s="61"/>
      <c r="E682" s="62"/>
      <c r="F682" s="63"/>
      <c r="G682" s="64"/>
    </row>
    <row r="683" spans="4:7" ht="14.25" customHeight="1">
      <c r="D683" s="61"/>
      <c r="E683" s="62"/>
      <c r="F683" s="63"/>
      <c r="G683" s="64"/>
    </row>
    <row r="684" spans="4:7" ht="14.25" customHeight="1">
      <c r="D684" s="61"/>
      <c r="E684" s="62"/>
      <c r="F684" s="63"/>
      <c r="G684" s="64"/>
    </row>
    <row r="685" spans="4:7" ht="14.25" customHeight="1">
      <c r="D685" s="61"/>
      <c r="E685" s="62"/>
      <c r="F685" s="63"/>
      <c r="G685" s="64"/>
    </row>
    <row r="686" spans="4:7" ht="14.25" customHeight="1">
      <c r="D686" s="61"/>
      <c r="E686" s="62"/>
      <c r="F686" s="63"/>
      <c r="G686" s="64"/>
    </row>
    <row r="687" spans="4:7" ht="14.25" customHeight="1">
      <c r="D687" s="61"/>
      <c r="E687" s="62"/>
      <c r="F687" s="63"/>
      <c r="G687" s="64"/>
    </row>
    <row r="688" spans="4:7" ht="14.25" customHeight="1">
      <c r="D688" s="61"/>
      <c r="E688" s="62"/>
      <c r="F688" s="63"/>
      <c r="G688" s="64"/>
    </row>
    <row r="689" spans="4:7" ht="14.25" customHeight="1">
      <c r="D689" s="61"/>
      <c r="E689" s="62"/>
      <c r="F689" s="63"/>
      <c r="G689" s="64"/>
    </row>
    <row r="690" spans="4:7" ht="14.25" customHeight="1">
      <c r="D690" s="61"/>
      <c r="E690" s="62"/>
      <c r="F690" s="63"/>
      <c r="G690" s="64"/>
    </row>
    <row r="691" spans="4:7" ht="14.25" customHeight="1">
      <c r="D691" s="61"/>
      <c r="E691" s="62"/>
      <c r="F691" s="63"/>
      <c r="G691" s="64"/>
    </row>
    <row r="692" spans="4:7" ht="14.25" customHeight="1">
      <c r="D692" s="61"/>
      <c r="E692" s="62"/>
      <c r="F692" s="63"/>
      <c r="G692" s="64"/>
    </row>
    <row r="693" spans="4:7" ht="14.25" customHeight="1">
      <c r="D693" s="61"/>
      <c r="E693" s="62"/>
      <c r="F693" s="63"/>
      <c r="G693" s="64"/>
    </row>
    <row r="694" spans="4:7" ht="14.25" customHeight="1">
      <c r="D694" s="61"/>
      <c r="E694" s="62"/>
      <c r="F694" s="63"/>
      <c r="G694" s="64"/>
    </row>
    <row r="695" spans="4:7" ht="14.25" customHeight="1">
      <c r="D695" s="61"/>
      <c r="E695" s="62"/>
      <c r="F695" s="63"/>
      <c r="G695" s="64"/>
    </row>
    <row r="696" spans="4:7" ht="14.25" customHeight="1">
      <c r="D696" s="61"/>
      <c r="E696" s="62"/>
      <c r="F696" s="63"/>
      <c r="G696" s="64"/>
    </row>
    <row r="697" spans="4:7" ht="14.25" customHeight="1">
      <c r="D697" s="61"/>
      <c r="E697" s="62"/>
      <c r="F697" s="63"/>
      <c r="G697" s="64"/>
    </row>
    <row r="698" spans="4:7" ht="14.25" customHeight="1">
      <c r="D698" s="61"/>
      <c r="E698" s="62"/>
      <c r="F698" s="63"/>
      <c r="G698" s="64"/>
    </row>
    <row r="699" spans="4:7" ht="14.25" customHeight="1">
      <c r="D699" s="61"/>
      <c r="E699" s="62"/>
      <c r="F699" s="63"/>
      <c r="G699" s="64"/>
    </row>
    <row r="700" spans="4:7" ht="14.25" customHeight="1">
      <c r="D700" s="61"/>
      <c r="E700" s="62"/>
      <c r="F700" s="63"/>
      <c r="G700" s="64"/>
    </row>
    <row r="701" spans="4:7" ht="14.25" customHeight="1">
      <c r="D701" s="61"/>
      <c r="E701" s="62"/>
      <c r="F701" s="63"/>
      <c r="G701" s="64"/>
    </row>
    <row r="702" spans="4:7" ht="14.25" customHeight="1">
      <c r="D702" s="61"/>
      <c r="E702" s="62"/>
      <c r="F702" s="63"/>
      <c r="G702" s="64"/>
    </row>
    <row r="703" spans="4:7" ht="14.25" customHeight="1">
      <c r="D703" s="61"/>
      <c r="E703" s="62"/>
      <c r="F703" s="63"/>
      <c r="G703" s="64"/>
    </row>
    <row r="704" spans="4:7" ht="14.25" customHeight="1">
      <c r="D704" s="61"/>
      <c r="E704" s="62"/>
      <c r="F704" s="63"/>
      <c r="G704" s="64"/>
    </row>
    <row r="705" spans="4:7" ht="14.25" customHeight="1">
      <c r="D705" s="61"/>
      <c r="E705" s="62"/>
      <c r="F705" s="63"/>
      <c r="G705" s="64"/>
    </row>
    <row r="706" spans="4:7" ht="14.25" customHeight="1">
      <c r="D706" s="61"/>
      <c r="E706" s="62"/>
      <c r="F706" s="63"/>
      <c r="G706" s="64"/>
    </row>
    <row r="707" spans="4:7" ht="14.25" customHeight="1">
      <c r="D707" s="61"/>
      <c r="E707" s="62"/>
      <c r="F707" s="63"/>
      <c r="G707" s="64"/>
    </row>
    <row r="708" spans="4:7" ht="14.25" customHeight="1">
      <c r="D708" s="61"/>
      <c r="E708" s="62"/>
      <c r="F708" s="63"/>
      <c r="G708" s="64"/>
    </row>
    <row r="709" spans="4:7" ht="14.25" customHeight="1">
      <c r="D709" s="61"/>
      <c r="E709" s="62"/>
      <c r="F709" s="63"/>
      <c r="G709" s="64"/>
    </row>
    <row r="710" spans="4:7" ht="14.25" customHeight="1">
      <c r="D710" s="61"/>
      <c r="E710" s="62"/>
      <c r="F710" s="63"/>
      <c r="G710" s="64"/>
    </row>
    <row r="711" spans="4:7" ht="14.25" customHeight="1">
      <c r="D711" s="61"/>
      <c r="E711" s="62"/>
      <c r="F711" s="63"/>
      <c r="G711" s="64"/>
    </row>
    <row r="712" spans="4:7" ht="14.25" customHeight="1">
      <c r="D712" s="61"/>
      <c r="E712" s="62"/>
      <c r="F712" s="63"/>
      <c r="G712" s="64"/>
    </row>
    <row r="713" spans="4:7" ht="14.25" customHeight="1">
      <c r="D713" s="61"/>
      <c r="E713" s="62"/>
      <c r="F713" s="63"/>
      <c r="G713" s="64"/>
    </row>
    <row r="714" spans="4:7" ht="14.25" customHeight="1">
      <c r="D714" s="61"/>
      <c r="E714" s="62"/>
      <c r="F714" s="63"/>
      <c r="G714" s="64"/>
    </row>
    <row r="715" spans="4:7" ht="14.25" customHeight="1">
      <c r="D715" s="61"/>
      <c r="E715" s="62"/>
      <c r="F715" s="63"/>
      <c r="G715" s="64"/>
    </row>
    <row r="716" spans="4:7" ht="14.25" customHeight="1">
      <c r="D716" s="61"/>
      <c r="E716" s="62"/>
      <c r="F716" s="63"/>
      <c r="G716" s="64"/>
    </row>
    <row r="717" spans="4:7" ht="14.25" customHeight="1">
      <c r="D717" s="61"/>
      <c r="E717" s="62"/>
      <c r="F717" s="63"/>
      <c r="G717" s="64"/>
    </row>
    <row r="718" spans="4:7" ht="14.25" customHeight="1">
      <c r="D718" s="61"/>
      <c r="E718" s="62"/>
      <c r="F718" s="63"/>
      <c r="G718" s="64"/>
    </row>
    <row r="719" spans="4:7" ht="14.25" customHeight="1">
      <c r="D719" s="61"/>
      <c r="E719" s="62"/>
      <c r="F719" s="63"/>
      <c r="G719" s="64"/>
    </row>
    <row r="720" spans="4:7" ht="14.25" customHeight="1">
      <c r="D720" s="61"/>
      <c r="E720" s="62"/>
      <c r="F720" s="63"/>
      <c r="G720" s="64"/>
    </row>
    <row r="721" spans="4:7" ht="14.25" customHeight="1">
      <c r="D721" s="61"/>
      <c r="E721" s="62"/>
      <c r="F721" s="63"/>
      <c r="G721" s="64"/>
    </row>
    <row r="722" spans="4:7" ht="14.25" customHeight="1">
      <c r="D722" s="61"/>
      <c r="E722" s="62"/>
      <c r="F722" s="63"/>
      <c r="G722" s="64"/>
    </row>
    <row r="723" spans="4:7" ht="14.25" customHeight="1">
      <c r="D723" s="61"/>
      <c r="E723" s="62"/>
      <c r="F723" s="63"/>
      <c r="G723" s="64"/>
    </row>
    <row r="724" spans="4:7" ht="14.25" customHeight="1">
      <c r="D724" s="61"/>
      <c r="E724" s="62"/>
      <c r="F724" s="63"/>
      <c r="G724" s="64"/>
    </row>
    <row r="725" spans="4:7" ht="14.25" customHeight="1">
      <c r="D725" s="61"/>
      <c r="E725" s="62"/>
      <c r="F725" s="63"/>
      <c r="G725" s="64"/>
    </row>
    <row r="726" spans="4:7" ht="14.25" customHeight="1">
      <c r="D726" s="61"/>
      <c r="E726" s="62"/>
      <c r="F726" s="63"/>
      <c r="G726" s="64"/>
    </row>
    <row r="727" spans="4:7" ht="14.25" customHeight="1">
      <c r="D727" s="61"/>
      <c r="E727" s="62"/>
      <c r="F727" s="63"/>
      <c r="G727" s="64"/>
    </row>
    <row r="728" spans="4:7" ht="14.25" customHeight="1">
      <c r="D728" s="61"/>
      <c r="E728" s="62"/>
      <c r="F728" s="63"/>
      <c r="G728" s="64"/>
    </row>
    <row r="729" spans="4:7" ht="14.25" customHeight="1">
      <c r="D729" s="61"/>
      <c r="E729" s="62"/>
      <c r="F729" s="63"/>
      <c r="G729" s="64"/>
    </row>
    <row r="730" spans="4:7" ht="14.25" customHeight="1">
      <c r="D730" s="61"/>
      <c r="E730" s="62"/>
      <c r="F730" s="63"/>
      <c r="G730" s="64"/>
    </row>
    <row r="731" spans="4:7" ht="14.25" customHeight="1">
      <c r="D731" s="61"/>
      <c r="E731" s="62"/>
      <c r="F731" s="63"/>
      <c r="G731" s="64"/>
    </row>
    <row r="732" spans="4:7" ht="14.25" customHeight="1">
      <c r="D732" s="61"/>
      <c r="E732" s="62"/>
      <c r="F732" s="63"/>
      <c r="G732" s="64"/>
    </row>
    <row r="733" spans="4:7" ht="14.25" customHeight="1">
      <c r="D733" s="61"/>
      <c r="E733" s="62"/>
      <c r="F733" s="63"/>
      <c r="G733" s="64"/>
    </row>
    <row r="734" spans="4:7" ht="14.25" customHeight="1">
      <c r="D734" s="61"/>
      <c r="E734" s="62"/>
      <c r="F734" s="63"/>
      <c r="G734" s="64"/>
    </row>
    <row r="735" spans="4:7" ht="14.25" customHeight="1">
      <c r="D735" s="61"/>
      <c r="E735" s="62"/>
      <c r="F735" s="63"/>
      <c r="G735" s="64"/>
    </row>
    <row r="736" spans="4:7" ht="14.25" customHeight="1">
      <c r="D736" s="61"/>
      <c r="E736" s="62"/>
      <c r="F736" s="63"/>
      <c r="G736" s="64"/>
    </row>
    <row r="737" spans="4:7" ht="14.25" customHeight="1">
      <c r="D737" s="61"/>
      <c r="E737" s="62"/>
      <c r="F737" s="63"/>
      <c r="G737" s="64"/>
    </row>
    <row r="738" spans="4:7" ht="14.25" customHeight="1">
      <c r="D738" s="61"/>
      <c r="E738" s="62"/>
      <c r="F738" s="63"/>
      <c r="G738" s="64"/>
    </row>
    <row r="739" spans="4:7" ht="14.25" customHeight="1">
      <c r="D739" s="61"/>
      <c r="E739" s="62"/>
      <c r="F739" s="63"/>
      <c r="G739" s="64"/>
    </row>
    <row r="740" spans="4:7" ht="14.25" customHeight="1">
      <c r="D740" s="61"/>
      <c r="E740" s="62"/>
      <c r="F740" s="63"/>
      <c r="G740" s="64"/>
    </row>
    <row r="741" spans="4:7" ht="14.25" customHeight="1">
      <c r="D741" s="61"/>
      <c r="E741" s="62"/>
      <c r="F741" s="63"/>
      <c r="G741" s="64"/>
    </row>
    <row r="742" spans="4:7" ht="14.25" customHeight="1">
      <c r="D742" s="61"/>
      <c r="E742" s="62"/>
      <c r="F742" s="63"/>
      <c r="G742" s="64"/>
    </row>
    <row r="743" spans="4:7" ht="14.25" customHeight="1">
      <c r="D743" s="61"/>
      <c r="E743" s="62"/>
      <c r="F743" s="63"/>
      <c r="G743" s="64"/>
    </row>
    <row r="744" spans="4:7" ht="14.25" customHeight="1">
      <c r="D744" s="61"/>
      <c r="E744" s="62"/>
      <c r="F744" s="63"/>
      <c r="G744" s="64"/>
    </row>
    <row r="745" spans="4:7" ht="14.25" customHeight="1">
      <c r="D745" s="61"/>
      <c r="E745" s="62"/>
      <c r="F745" s="63"/>
      <c r="G745" s="64"/>
    </row>
    <row r="746" spans="4:7" ht="14.25" customHeight="1">
      <c r="D746" s="61"/>
      <c r="E746" s="62"/>
      <c r="F746" s="63"/>
      <c r="G746" s="64"/>
    </row>
    <row r="747" spans="4:7" ht="14.25" customHeight="1">
      <c r="D747" s="61"/>
      <c r="E747" s="62"/>
      <c r="F747" s="63"/>
      <c r="G747" s="64"/>
    </row>
    <row r="748" spans="4:7" ht="14.25" customHeight="1">
      <c r="D748" s="61"/>
      <c r="E748" s="62"/>
      <c r="F748" s="63"/>
      <c r="G748" s="64"/>
    </row>
    <row r="749" spans="4:7" ht="14.25" customHeight="1">
      <c r="D749" s="61"/>
      <c r="E749" s="62"/>
      <c r="F749" s="63"/>
      <c r="G749" s="64"/>
    </row>
    <row r="750" spans="4:7" ht="14.25" customHeight="1">
      <c r="D750" s="61"/>
      <c r="E750" s="62"/>
      <c r="F750" s="63"/>
      <c r="G750" s="64"/>
    </row>
    <row r="751" spans="4:7" ht="14.25" customHeight="1">
      <c r="D751" s="61"/>
      <c r="E751" s="62"/>
      <c r="F751" s="63"/>
      <c r="G751" s="64"/>
    </row>
    <row r="752" spans="4:7" ht="14.25" customHeight="1">
      <c r="D752" s="61"/>
      <c r="E752" s="62"/>
      <c r="F752" s="63"/>
      <c r="G752" s="64"/>
    </row>
    <row r="753" spans="4:7" ht="14.25" customHeight="1">
      <c r="D753" s="61"/>
      <c r="E753" s="62"/>
      <c r="F753" s="63"/>
      <c r="G753" s="64"/>
    </row>
    <row r="754" spans="4:7" ht="14.25" customHeight="1">
      <c r="D754" s="61"/>
      <c r="E754" s="62"/>
      <c r="F754" s="63"/>
      <c r="G754" s="64"/>
    </row>
    <row r="755" spans="4:7" ht="14.25" customHeight="1">
      <c r="D755" s="61"/>
      <c r="E755" s="62"/>
      <c r="F755" s="63"/>
      <c r="G755" s="64"/>
    </row>
    <row r="756" spans="4:7" ht="14.25" customHeight="1">
      <c r="D756" s="61"/>
      <c r="E756" s="62"/>
      <c r="F756" s="63"/>
      <c r="G756" s="64"/>
    </row>
    <row r="757" spans="4:7" ht="14.25" customHeight="1">
      <c r="D757" s="61"/>
      <c r="E757" s="62"/>
      <c r="F757" s="63"/>
      <c r="G757" s="64"/>
    </row>
    <row r="758" spans="4:7" ht="14.25" customHeight="1">
      <c r="D758" s="61"/>
      <c r="E758" s="62"/>
      <c r="F758" s="63"/>
      <c r="G758" s="64"/>
    </row>
    <row r="759" spans="4:7" ht="14.25" customHeight="1">
      <c r="D759" s="61"/>
      <c r="E759" s="62"/>
      <c r="F759" s="63"/>
      <c r="G759" s="64"/>
    </row>
    <row r="760" spans="4:7" ht="14.25" customHeight="1">
      <c r="D760" s="61"/>
      <c r="E760" s="62"/>
      <c r="F760" s="63"/>
      <c r="G760" s="64"/>
    </row>
    <row r="761" spans="4:7" ht="14.25" customHeight="1">
      <c r="D761" s="61"/>
      <c r="E761" s="62"/>
      <c r="F761" s="63"/>
      <c r="G761" s="64"/>
    </row>
    <row r="762" spans="4:7" ht="14.25" customHeight="1">
      <c r="D762" s="61"/>
      <c r="E762" s="62"/>
      <c r="F762" s="63"/>
      <c r="G762" s="64"/>
    </row>
    <row r="763" spans="4:7" ht="14.25" customHeight="1">
      <c r="D763" s="61"/>
      <c r="E763" s="62"/>
      <c r="F763" s="63"/>
      <c r="G763" s="64"/>
    </row>
    <row r="764" spans="4:7" ht="14.25" customHeight="1">
      <c r="D764" s="61"/>
      <c r="E764" s="62"/>
      <c r="F764" s="63"/>
      <c r="G764" s="64"/>
    </row>
    <row r="765" spans="4:7" ht="14.25" customHeight="1">
      <c r="D765" s="61"/>
      <c r="E765" s="62"/>
      <c r="F765" s="63"/>
      <c r="G765" s="64"/>
    </row>
    <row r="766" spans="4:7" ht="14.25" customHeight="1">
      <c r="D766" s="61"/>
      <c r="E766" s="62"/>
      <c r="F766" s="63"/>
      <c r="G766" s="64"/>
    </row>
    <row r="767" spans="4:7" ht="14.25" customHeight="1">
      <c r="D767" s="61"/>
      <c r="E767" s="62"/>
      <c r="F767" s="63"/>
      <c r="G767" s="64"/>
    </row>
    <row r="768" spans="4:7" ht="14.25" customHeight="1">
      <c r="D768" s="61"/>
      <c r="E768" s="62"/>
      <c r="F768" s="63"/>
      <c r="G768" s="64"/>
    </row>
    <row r="769" spans="4:7" ht="14.25" customHeight="1">
      <c r="D769" s="61"/>
      <c r="E769" s="62"/>
      <c r="F769" s="63"/>
      <c r="G769" s="64"/>
    </row>
    <row r="770" spans="4:7" ht="14.25" customHeight="1">
      <c r="D770" s="61"/>
      <c r="E770" s="62"/>
      <c r="F770" s="63"/>
      <c r="G770" s="64"/>
    </row>
    <row r="771" spans="4:7" ht="14.25" customHeight="1">
      <c r="D771" s="61"/>
      <c r="E771" s="62"/>
      <c r="F771" s="63"/>
      <c r="G771" s="64"/>
    </row>
    <row r="772" spans="4:7" ht="14.25" customHeight="1">
      <c r="D772" s="61"/>
      <c r="E772" s="62"/>
      <c r="F772" s="63"/>
      <c r="G772" s="64"/>
    </row>
    <row r="773" spans="4:7" ht="14.25" customHeight="1">
      <c r="D773" s="61"/>
      <c r="E773" s="62"/>
      <c r="F773" s="63"/>
      <c r="G773" s="64"/>
    </row>
    <row r="774" spans="4:7" ht="14.25" customHeight="1">
      <c r="D774" s="61"/>
      <c r="E774" s="62"/>
      <c r="F774" s="63"/>
      <c r="G774" s="64"/>
    </row>
    <row r="775" spans="4:7" ht="14.25" customHeight="1">
      <c r="D775" s="61"/>
      <c r="E775" s="62"/>
      <c r="F775" s="63"/>
      <c r="G775" s="64"/>
    </row>
    <row r="776" spans="4:7" ht="14.25" customHeight="1">
      <c r="D776" s="61"/>
      <c r="E776" s="62"/>
      <c r="F776" s="63"/>
      <c r="G776" s="64"/>
    </row>
    <row r="777" spans="4:7" ht="14.25" customHeight="1">
      <c r="D777" s="61"/>
      <c r="E777" s="62"/>
      <c r="F777" s="63"/>
      <c r="G777" s="64"/>
    </row>
    <row r="778" spans="4:7" ht="14.25" customHeight="1">
      <c r="D778" s="61"/>
      <c r="E778" s="62"/>
      <c r="F778" s="63"/>
      <c r="G778" s="64"/>
    </row>
    <row r="779" spans="4:7" ht="14.25" customHeight="1">
      <c r="D779" s="61"/>
      <c r="E779" s="62"/>
      <c r="F779" s="63"/>
      <c r="G779" s="64"/>
    </row>
    <row r="780" spans="4:7" ht="14.25" customHeight="1">
      <c r="D780" s="61"/>
      <c r="E780" s="62"/>
      <c r="F780" s="63"/>
      <c r="G780" s="64"/>
    </row>
    <row r="781" spans="4:7" ht="14.25" customHeight="1">
      <c r="D781" s="61"/>
      <c r="E781" s="62"/>
      <c r="F781" s="63"/>
      <c r="G781" s="64"/>
    </row>
    <row r="782" spans="4:7" ht="14.25" customHeight="1">
      <c r="D782" s="61"/>
      <c r="E782" s="62"/>
      <c r="F782" s="63"/>
      <c r="G782" s="64"/>
    </row>
    <row r="783" spans="4:7" ht="14.25" customHeight="1">
      <c r="D783" s="61"/>
      <c r="E783" s="62"/>
      <c r="F783" s="63"/>
      <c r="G783" s="64"/>
    </row>
    <row r="784" spans="4:7" ht="14.25" customHeight="1">
      <c r="D784" s="61"/>
      <c r="E784" s="62"/>
      <c r="F784" s="63"/>
      <c r="G784" s="64"/>
    </row>
    <row r="785" spans="4:7" ht="14.25" customHeight="1">
      <c r="D785" s="61"/>
      <c r="E785" s="62"/>
      <c r="F785" s="63"/>
      <c r="G785" s="64"/>
    </row>
    <row r="786" spans="4:7" ht="14.25" customHeight="1">
      <c r="D786" s="61"/>
      <c r="E786" s="62"/>
      <c r="F786" s="63"/>
      <c r="G786" s="64"/>
    </row>
    <row r="787" spans="4:7" ht="14.25" customHeight="1">
      <c r="D787" s="61"/>
      <c r="E787" s="62"/>
      <c r="F787" s="63"/>
      <c r="G787" s="64"/>
    </row>
    <row r="788" spans="4:7" ht="14.25" customHeight="1">
      <c r="D788" s="61"/>
      <c r="E788" s="62"/>
      <c r="F788" s="63"/>
      <c r="G788" s="64"/>
    </row>
    <row r="789" spans="4:7" ht="14.25" customHeight="1">
      <c r="D789" s="61"/>
      <c r="E789" s="62"/>
      <c r="F789" s="63"/>
      <c r="G789" s="64"/>
    </row>
    <row r="790" spans="4:7" ht="14.25" customHeight="1">
      <c r="D790" s="61"/>
      <c r="E790" s="62"/>
      <c r="F790" s="63"/>
      <c r="G790" s="64"/>
    </row>
    <row r="791" spans="4:7" ht="14.25" customHeight="1">
      <c r="D791" s="61"/>
      <c r="E791" s="62"/>
      <c r="F791" s="63"/>
      <c r="G791" s="64"/>
    </row>
    <row r="792" spans="4:7" ht="14.25" customHeight="1">
      <c r="D792" s="61"/>
      <c r="E792" s="62"/>
      <c r="F792" s="63"/>
      <c r="G792" s="64"/>
    </row>
    <row r="793" spans="4:7" ht="14.25" customHeight="1">
      <c r="D793" s="61"/>
      <c r="E793" s="62"/>
      <c r="F793" s="63"/>
      <c r="G793" s="64"/>
    </row>
    <row r="794" spans="4:7" ht="14.25" customHeight="1">
      <c r="D794" s="61"/>
      <c r="E794" s="62"/>
      <c r="F794" s="63"/>
      <c r="G794" s="64"/>
    </row>
    <row r="795" spans="4:7" ht="14.25" customHeight="1">
      <c r="D795" s="61"/>
      <c r="E795" s="62"/>
      <c r="F795" s="63"/>
      <c r="G795" s="64"/>
    </row>
    <row r="796" spans="4:7" ht="14.25" customHeight="1">
      <c r="D796" s="61"/>
      <c r="E796" s="62"/>
      <c r="F796" s="63"/>
      <c r="G796" s="64"/>
    </row>
    <row r="797" spans="4:7" ht="14.25" customHeight="1">
      <c r="D797" s="61"/>
      <c r="E797" s="62"/>
      <c r="F797" s="63"/>
      <c r="G797" s="64"/>
    </row>
    <row r="798" spans="4:7" ht="14.25" customHeight="1">
      <c r="D798" s="61"/>
      <c r="E798" s="62"/>
      <c r="F798" s="63"/>
      <c r="G798" s="64"/>
    </row>
    <row r="799" spans="4:7" ht="14.25" customHeight="1">
      <c r="D799" s="61"/>
      <c r="E799" s="62"/>
      <c r="F799" s="63"/>
      <c r="G799" s="64"/>
    </row>
    <row r="800" spans="4:7" ht="14.25" customHeight="1">
      <c r="D800" s="61"/>
      <c r="E800" s="62"/>
      <c r="F800" s="63"/>
      <c r="G800" s="64"/>
    </row>
    <row r="801" spans="4:7" ht="14.25" customHeight="1">
      <c r="D801" s="61"/>
      <c r="E801" s="62"/>
      <c r="F801" s="63"/>
      <c r="G801" s="64"/>
    </row>
    <row r="802" spans="4:7" ht="14.25" customHeight="1">
      <c r="D802" s="61"/>
      <c r="E802" s="62"/>
      <c r="F802" s="63"/>
      <c r="G802" s="64"/>
    </row>
    <row r="803" spans="4:7" ht="14.25" customHeight="1">
      <c r="D803" s="61"/>
      <c r="E803" s="62"/>
      <c r="F803" s="63"/>
      <c r="G803" s="64"/>
    </row>
    <row r="804" spans="4:7" ht="14.25" customHeight="1">
      <c r="D804" s="61"/>
      <c r="E804" s="62"/>
      <c r="F804" s="63"/>
      <c r="G804" s="64"/>
    </row>
    <row r="805" spans="4:7" ht="14.25" customHeight="1">
      <c r="D805" s="61"/>
      <c r="E805" s="62"/>
      <c r="F805" s="63"/>
      <c r="G805" s="64"/>
    </row>
    <row r="806" spans="4:7" ht="14.25" customHeight="1">
      <c r="D806" s="61"/>
      <c r="E806" s="62"/>
      <c r="F806" s="63"/>
      <c r="G806" s="64"/>
    </row>
    <row r="807" spans="4:7" ht="14.25" customHeight="1">
      <c r="D807" s="61"/>
      <c r="E807" s="62"/>
      <c r="F807" s="63"/>
      <c r="G807" s="64"/>
    </row>
    <row r="808" spans="4:7" ht="14.25" customHeight="1">
      <c r="D808" s="61"/>
      <c r="E808" s="62"/>
      <c r="F808" s="63"/>
      <c r="G808" s="64"/>
    </row>
    <row r="809" spans="4:7" ht="14.25" customHeight="1">
      <c r="D809" s="61"/>
      <c r="E809" s="62"/>
      <c r="F809" s="63"/>
      <c r="G809" s="64"/>
    </row>
    <row r="810" spans="4:7" ht="14.25" customHeight="1">
      <c r="D810" s="61"/>
      <c r="E810" s="62"/>
      <c r="F810" s="63"/>
      <c r="G810" s="64"/>
    </row>
    <row r="811" spans="4:7" ht="14.25" customHeight="1">
      <c r="D811" s="61"/>
      <c r="E811" s="62"/>
      <c r="F811" s="63"/>
      <c r="G811" s="64"/>
    </row>
    <row r="812" spans="4:7" ht="14.25" customHeight="1">
      <c r="D812" s="61"/>
      <c r="E812" s="62"/>
      <c r="F812" s="63"/>
      <c r="G812" s="64"/>
    </row>
    <row r="813" spans="4:7" ht="14.25" customHeight="1">
      <c r="D813" s="61"/>
      <c r="E813" s="62"/>
      <c r="F813" s="63"/>
      <c r="G813" s="64"/>
    </row>
    <row r="814" spans="4:7" ht="14.25" customHeight="1">
      <c r="D814" s="61"/>
      <c r="E814" s="62"/>
      <c r="F814" s="63"/>
      <c r="G814" s="64"/>
    </row>
    <row r="815" spans="4:7" ht="14.25" customHeight="1">
      <c r="D815" s="61"/>
      <c r="E815" s="62"/>
      <c r="F815" s="63"/>
      <c r="G815" s="64"/>
    </row>
    <row r="816" spans="4:7" ht="14.25" customHeight="1">
      <c r="D816" s="61"/>
      <c r="E816" s="62"/>
      <c r="F816" s="63"/>
      <c r="G816" s="64"/>
    </row>
    <row r="817" spans="4:7" ht="14.25" customHeight="1">
      <c r="D817" s="61"/>
      <c r="E817" s="62"/>
      <c r="F817" s="63"/>
      <c r="G817" s="64"/>
    </row>
    <row r="818" spans="4:7" ht="14.25" customHeight="1">
      <c r="D818" s="61"/>
      <c r="E818" s="62"/>
      <c r="F818" s="63"/>
      <c r="G818" s="64"/>
    </row>
    <row r="819" spans="4:7" ht="14.25" customHeight="1">
      <c r="D819" s="61"/>
      <c r="E819" s="62"/>
      <c r="F819" s="63"/>
      <c r="G819" s="64"/>
    </row>
    <row r="820" spans="4:7" ht="14.25" customHeight="1">
      <c r="D820" s="61"/>
      <c r="E820" s="62"/>
      <c r="F820" s="63"/>
      <c r="G820" s="64"/>
    </row>
    <row r="821" spans="4:7" ht="14.25" customHeight="1">
      <c r="D821" s="61"/>
      <c r="E821" s="62"/>
      <c r="F821" s="63"/>
      <c r="G821" s="64"/>
    </row>
    <row r="822" spans="4:7" ht="14.25" customHeight="1">
      <c r="D822" s="61"/>
      <c r="E822" s="62"/>
      <c r="F822" s="63"/>
      <c r="G822" s="64"/>
    </row>
    <row r="823" spans="4:7" ht="14.25" customHeight="1">
      <c r="D823" s="61"/>
      <c r="E823" s="62"/>
      <c r="F823" s="63"/>
      <c r="G823" s="64"/>
    </row>
    <row r="824" spans="4:7" ht="14.25" customHeight="1">
      <c r="D824" s="61"/>
      <c r="E824" s="62"/>
      <c r="F824" s="63"/>
      <c r="G824" s="64"/>
    </row>
    <row r="825" spans="4:7" ht="14.25" customHeight="1">
      <c r="D825" s="61"/>
      <c r="E825" s="62"/>
      <c r="F825" s="63"/>
      <c r="G825" s="64"/>
    </row>
    <row r="826" spans="4:7" ht="14.25" customHeight="1">
      <c r="D826" s="61"/>
      <c r="E826" s="62"/>
      <c r="F826" s="63"/>
      <c r="G826" s="64"/>
    </row>
    <row r="827" spans="4:7" ht="14.25" customHeight="1">
      <c r="D827" s="61"/>
      <c r="E827" s="62"/>
      <c r="F827" s="63"/>
      <c r="G827" s="64"/>
    </row>
    <row r="828" spans="4:7" ht="14.25" customHeight="1">
      <c r="D828" s="61"/>
      <c r="E828" s="62"/>
      <c r="F828" s="63"/>
      <c r="G828" s="64"/>
    </row>
    <row r="829" spans="4:7" ht="14.25" customHeight="1">
      <c r="D829" s="61"/>
      <c r="E829" s="62"/>
      <c r="F829" s="63"/>
      <c r="G829" s="64"/>
    </row>
    <row r="830" spans="4:7" ht="14.25" customHeight="1">
      <c r="D830" s="61"/>
      <c r="E830" s="62"/>
      <c r="F830" s="63"/>
      <c r="G830" s="64"/>
    </row>
    <row r="831" spans="4:7" ht="14.25" customHeight="1">
      <c r="D831" s="61"/>
      <c r="E831" s="62"/>
      <c r="F831" s="63"/>
      <c r="G831" s="64"/>
    </row>
    <row r="832" spans="4:7" ht="14.25" customHeight="1">
      <c r="D832" s="61"/>
      <c r="E832" s="62"/>
      <c r="F832" s="63"/>
      <c r="G832" s="64"/>
    </row>
    <row r="833" spans="4:7" ht="14.25" customHeight="1">
      <c r="D833" s="61"/>
      <c r="E833" s="62"/>
      <c r="F833" s="63"/>
      <c r="G833" s="64"/>
    </row>
    <row r="834" spans="4:7" ht="14.25" customHeight="1">
      <c r="D834" s="61"/>
      <c r="E834" s="62"/>
      <c r="F834" s="63"/>
      <c r="G834" s="64"/>
    </row>
    <row r="835" spans="4:7" ht="14.25" customHeight="1">
      <c r="D835" s="61"/>
      <c r="E835" s="62"/>
      <c r="F835" s="63"/>
      <c r="G835" s="64"/>
    </row>
    <row r="836" spans="4:7" ht="14.25" customHeight="1">
      <c r="D836" s="61"/>
      <c r="E836" s="62"/>
      <c r="F836" s="63"/>
      <c r="G836" s="64"/>
    </row>
    <row r="837" spans="4:7" ht="14.25" customHeight="1">
      <c r="D837" s="61"/>
      <c r="E837" s="62"/>
      <c r="F837" s="63"/>
      <c r="G837" s="64"/>
    </row>
    <row r="838" spans="4:7" ht="14.25" customHeight="1">
      <c r="D838" s="61"/>
      <c r="E838" s="62"/>
      <c r="F838" s="63"/>
      <c r="G838" s="64"/>
    </row>
    <row r="839" spans="4:7" ht="14.25" customHeight="1">
      <c r="D839" s="61"/>
      <c r="E839" s="62"/>
      <c r="F839" s="63"/>
      <c r="G839" s="64"/>
    </row>
    <row r="840" spans="4:7" ht="14.25" customHeight="1">
      <c r="D840" s="61"/>
      <c r="E840" s="62"/>
      <c r="F840" s="63"/>
      <c r="G840" s="64"/>
    </row>
    <row r="841" spans="4:7" ht="14.25" customHeight="1">
      <c r="D841" s="61"/>
      <c r="E841" s="62"/>
      <c r="F841" s="63"/>
      <c r="G841" s="64"/>
    </row>
    <row r="842" spans="4:7" ht="14.25" customHeight="1">
      <c r="D842" s="61"/>
      <c r="E842" s="62"/>
      <c r="F842" s="63"/>
      <c r="G842" s="64"/>
    </row>
    <row r="843" spans="4:7" ht="14.25" customHeight="1">
      <c r="D843" s="61"/>
      <c r="E843" s="62"/>
      <c r="F843" s="63"/>
      <c r="G843" s="64"/>
    </row>
    <row r="844" spans="4:7" ht="14.25" customHeight="1">
      <c r="D844" s="61"/>
      <c r="E844" s="62"/>
      <c r="F844" s="63"/>
      <c r="G844" s="64"/>
    </row>
    <row r="845" spans="4:7" ht="14.25" customHeight="1">
      <c r="D845" s="61"/>
      <c r="E845" s="62"/>
      <c r="F845" s="63"/>
      <c r="G845" s="64"/>
    </row>
    <row r="846" spans="4:7" ht="14.25" customHeight="1">
      <c r="D846" s="61"/>
      <c r="E846" s="62"/>
      <c r="F846" s="63"/>
      <c r="G846" s="64"/>
    </row>
    <row r="847" spans="4:7" ht="14.25" customHeight="1">
      <c r="D847" s="61"/>
      <c r="E847" s="62"/>
      <c r="F847" s="63"/>
      <c r="G847" s="64"/>
    </row>
    <row r="848" spans="4:7" ht="14.25" customHeight="1">
      <c r="D848" s="61"/>
      <c r="E848" s="62"/>
      <c r="F848" s="63"/>
      <c r="G848" s="64"/>
    </row>
    <row r="849" spans="4:7" ht="14.25" customHeight="1">
      <c r="D849" s="61"/>
      <c r="E849" s="62"/>
      <c r="F849" s="63"/>
      <c r="G849" s="64"/>
    </row>
    <row r="850" spans="4:7" ht="14.25" customHeight="1">
      <c r="D850" s="61"/>
      <c r="E850" s="62"/>
      <c r="F850" s="63"/>
      <c r="G850" s="64"/>
    </row>
    <row r="851" spans="4:7" ht="14.25" customHeight="1">
      <c r="D851" s="61"/>
      <c r="E851" s="62"/>
      <c r="F851" s="63"/>
      <c r="G851" s="64"/>
    </row>
    <row r="852" spans="4:7" ht="14.25" customHeight="1">
      <c r="D852" s="61"/>
      <c r="E852" s="62"/>
      <c r="F852" s="63"/>
      <c r="G852" s="64"/>
    </row>
    <row r="853" spans="4:7" ht="14.25" customHeight="1">
      <c r="D853" s="61"/>
      <c r="E853" s="62"/>
      <c r="F853" s="63"/>
      <c r="G853" s="64"/>
    </row>
    <row r="854" spans="4:7" ht="14.25" customHeight="1">
      <c r="D854" s="61"/>
      <c r="E854" s="62"/>
      <c r="F854" s="63"/>
      <c r="G854" s="64"/>
    </row>
    <row r="855" spans="4:7" ht="14.25" customHeight="1">
      <c r="D855" s="61"/>
      <c r="E855" s="62"/>
      <c r="F855" s="63"/>
      <c r="G855" s="64"/>
    </row>
    <row r="856" spans="4:7" ht="14.25" customHeight="1">
      <c r="D856" s="61"/>
      <c r="E856" s="62"/>
      <c r="F856" s="63"/>
      <c r="G856" s="64"/>
    </row>
    <row r="857" spans="4:7" ht="14.25" customHeight="1">
      <c r="D857" s="61"/>
      <c r="E857" s="62"/>
      <c r="F857" s="63"/>
      <c r="G857" s="64"/>
    </row>
    <row r="858" spans="4:7" ht="14.25" customHeight="1">
      <c r="D858" s="61"/>
      <c r="E858" s="62"/>
      <c r="F858" s="63"/>
      <c r="G858" s="64"/>
    </row>
    <row r="859" spans="4:7" ht="14.25" customHeight="1">
      <c r="D859" s="61"/>
      <c r="E859" s="62"/>
      <c r="F859" s="63"/>
      <c r="G859" s="64"/>
    </row>
    <row r="860" spans="4:7" ht="14.25" customHeight="1">
      <c r="D860" s="61"/>
      <c r="E860" s="62"/>
      <c r="F860" s="63"/>
      <c r="G860" s="64"/>
    </row>
    <row r="861" spans="4:7" ht="14.25" customHeight="1">
      <c r="D861" s="61"/>
      <c r="E861" s="62"/>
      <c r="F861" s="63"/>
      <c r="G861" s="64"/>
    </row>
    <row r="862" spans="4:7" ht="14.25" customHeight="1">
      <c r="D862" s="61"/>
      <c r="E862" s="62"/>
      <c r="F862" s="63"/>
      <c r="G862" s="64"/>
    </row>
    <row r="863" spans="4:7" ht="14.25" customHeight="1">
      <c r="D863" s="61"/>
      <c r="E863" s="62"/>
      <c r="F863" s="63"/>
      <c r="G863" s="64"/>
    </row>
    <row r="864" spans="4:7" ht="14.25" customHeight="1">
      <c r="D864" s="61"/>
      <c r="E864" s="62"/>
      <c r="F864" s="63"/>
      <c r="G864" s="64"/>
    </row>
    <row r="865" spans="4:7" ht="14.25" customHeight="1">
      <c r="D865" s="61"/>
      <c r="E865" s="62"/>
      <c r="F865" s="63"/>
      <c r="G865" s="64"/>
    </row>
    <row r="866" spans="4:7" ht="14.25" customHeight="1">
      <c r="D866" s="61"/>
      <c r="E866" s="62"/>
      <c r="F866" s="63"/>
      <c r="G866" s="64"/>
    </row>
    <row r="867" spans="4:7" ht="14.25" customHeight="1">
      <c r="D867" s="61"/>
      <c r="E867" s="62"/>
      <c r="F867" s="63"/>
      <c r="G867" s="64"/>
    </row>
    <row r="868" spans="4:7" ht="14.25" customHeight="1">
      <c r="D868" s="61"/>
      <c r="E868" s="62"/>
      <c r="F868" s="63"/>
      <c r="G868" s="64"/>
    </row>
    <row r="869" spans="4:7" ht="14.25" customHeight="1">
      <c r="D869" s="61"/>
      <c r="E869" s="62"/>
      <c r="F869" s="63"/>
      <c r="G869" s="64"/>
    </row>
    <row r="870" spans="4:7" ht="14.25" customHeight="1">
      <c r="D870" s="61"/>
      <c r="E870" s="62"/>
      <c r="F870" s="63"/>
      <c r="G870" s="64"/>
    </row>
    <row r="871" spans="4:7" ht="14.25" customHeight="1">
      <c r="D871" s="61"/>
      <c r="E871" s="62"/>
      <c r="F871" s="63"/>
      <c r="G871" s="64"/>
    </row>
    <row r="872" spans="4:7" ht="14.25" customHeight="1">
      <c r="D872" s="61"/>
      <c r="E872" s="62"/>
      <c r="F872" s="63"/>
      <c r="G872" s="64"/>
    </row>
    <row r="873" spans="4:7" ht="14.25" customHeight="1">
      <c r="D873" s="61"/>
      <c r="E873" s="62"/>
      <c r="F873" s="63"/>
      <c r="G873" s="64"/>
    </row>
    <row r="874" spans="4:7" ht="14.25" customHeight="1">
      <c r="D874" s="61"/>
      <c r="E874" s="62"/>
      <c r="F874" s="63"/>
      <c r="G874" s="64"/>
    </row>
    <row r="875" spans="4:7" ht="14.25" customHeight="1">
      <c r="D875" s="61"/>
      <c r="E875" s="62"/>
      <c r="F875" s="63"/>
      <c r="G875" s="64"/>
    </row>
    <row r="876" spans="4:7" ht="14.25" customHeight="1">
      <c r="D876" s="61"/>
      <c r="E876" s="62"/>
      <c r="F876" s="63"/>
      <c r="G876" s="64"/>
    </row>
    <row r="877" spans="4:7" ht="14.25" customHeight="1">
      <c r="D877" s="61"/>
      <c r="E877" s="62"/>
      <c r="F877" s="63"/>
      <c r="G877" s="64"/>
    </row>
    <row r="878" spans="4:7" ht="14.25" customHeight="1">
      <c r="D878" s="61"/>
      <c r="E878" s="62"/>
      <c r="F878" s="63"/>
      <c r="G878" s="64"/>
    </row>
    <row r="879" spans="4:7" ht="14.25" customHeight="1">
      <c r="D879" s="61"/>
      <c r="E879" s="62"/>
      <c r="F879" s="63"/>
      <c r="G879" s="64"/>
    </row>
    <row r="880" spans="4:7" ht="14.25" customHeight="1">
      <c r="D880" s="61"/>
      <c r="E880" s="62"/>
      <c r="F880" s="63"/>
      <c r="G880" s="64"/>
    </row>
    <row r="881" spans="4:7" ht="14.25" customHeight="1">
      <c r="D881" s="61"/>
      <c r="E881" s="62"/>
      <c r="F881" s="63"/>
      <c r="G881" s="64"/>
    </row>
    <row r="882" spans="4:7" ht="14.25" customHeight="1">
      <c r="D882" s="61"/>
      <c r="E882" s="62"/>
      <c r="F882" s="63"/>
      <c r="G882" s="64"/>
    </row>
    <row r="883" spans="4:7" ht="14.25" customHeight="1">
      <c r="D883" s="61"/>
      <c r="E883" s="62"/>
      <c r="F883" s="63"/>
      <c r="G883" s="64"/>
    </row>
    <row r="884" spans="4:7" ht="14.25" customHeight="1">
      <c r="D884" s="61"/>
      <c r="E884" s="62"/>
      <c r="F884" s="63"/>
      <c r="G884" s="64"/>
    </row>
    <row r="885" spans="4:7" ht="14.25" customHeight="1">
      <c r="D885" s="61"/>
      <c r="E885" s="62"/>
      <c r="F885" s="63"/>
      <c r="G885" s="64"/>
    </row>
    <row r="886" spans="4:7" ht="14.25" customHeight="1">
      <c r="D886" s="61"/>
      <c r="E886" s="62"/>
      <c r="F886" s="63"/>
      <c r="G886" s="64"/>
    </row>
    <row r="887" spans="4:7" ht="14.25" customHeight="1">
      <c r="D887" s="61"/>
      <c r="E887" s="62"/>
      <c r="F887" s="63"/>
      <c r="G887" s="64"/>
    </row>
    <row r="888" spans="4:7" ht="14.25" customHeight="1">
      <c r="D888" s="61"/>
      <c r="E888" s="62"/>
      <c r="F888" s="63"/>
      <c r="G888" s="64"/>
    </row>
    <row r="889" spans="4:7" ht="14.25" customHeight="1">
      <c r="D889" s="61"/>
      <c r="E889" s="62"/>
      <c r="F889" s="63"/>
      <c r="G889" s="64"/>
    </row>
    <row r="890" spans="4:7" ht="14.25" customHeight="1">
      <c r="D890" s="61"/>
      <c r="E890" s="62"/>
      <c r="F890" s="63"/>
      <c r="G890" s="64"/>
    </row>
    <row r="891" spans="4:7" ht="14.25" customHeight="1">
      <c r="D891" s="61"/>
      <c r="E891" s="62"/>
      <c r="F891" s="63"/>
      <c r="G891" s="64"/>
    </row>
    <row r="892" spans="4:7" ht="14.25" customHeight="1">
      <c r="D892" s="61"/>
      <c r="E892" s="62"/>
      <c r="F892" s="63"/>
      <c r="G892" s="64"/>
    </row>
    <row r="893" spans="4:7" ht="14.25" customHeight="1">
      <c r="D893" s="61"/>
      <c r="E893" s="62"/>
      <c r="F893" s="63"/>
      <c r="G893" s="64"/>
    </row>
    <row r="894" spans="4:7" ht="14.25" customHeight="1">
      <c r="D894" s="61"/>
      <c r="E894" s="62"/>
      <c r="F894" s="63"/>
      <c r="G894" s="64"/>
    </row>
    <row r="895" spans="4:7" ht="14.25" customHeight="1">
      <c r="D895" s="61"/>
      <c r="E895" s="62"/>
      <c r="F895" s="63"/>
      <c r="G895" s="64"/>
    </row>
    <row r="896" spans="4:7" ht="14.25" customHeight="1">
      <c r="D896" s="61"/>
      <c r="E896" s="62"/>
      <c r="F896" s="63"/>
      <c r="G896" s="64"/>
    </row>
    <row r="897" spans="4:7" ht="14.25" customHeight="1">
      <c r="D897" s="61"/>
      <c r="E897" s="62"/>
      <c r="F897" s="63"/>
      <c r="G897" s="64"/>
    </row>
    <row r="898" spans="4:7" ht="14.25" customHeight="1">
      <c r="D898" s="61"/>
      <c r="E898" s="62"/>
      <c r="F898" s="63"/>
      <c r="G898" s="64"/>
    </row>
    <row r="899" spans="4:7" ht="14.25" customHeight="1">
      <c r="D899" s="61"/>
      <c r="E899" s="62"/>
      <c r="F899" s="63"/>
      <c r="G899" s="64"/>
    </row>
    <row r="900" spans="4:7" ht="14.25" customHeight="1">
      <c r="D900" s="61"/>
      <c r="E900" s="62"/>
      <c r="F900" s="63"/>
      <c r="G900" s="64"/>
    </row>
    <row r="901" spans="4:7" ht="14.25" customHeight="1">
      <c r="D901" s="61"/>
      <c r="E901" s="62"/>
      <c r="F901" s="63"/>
      <c r="G901" s="64"/>
    </row>
    <row r="902" spans="4:7" ht="14.25" customHeight="1">
      <c r="D902" s="61"/>
      <c r="E902" s="62"/>
      <c r="F902" s="63"/>
      <c r="G902" s="64"/>
    </row>
    <row r="903" spans="4:7" ht="14.25" customHeight="1">
      <c r="D903" s="61"/>
      <c r="E903" s="62"/>
      <c r="F903" s="63"/>
      <c r="G903" s="64"/>
    </row>
    <row r="904" spans="4:7" ht="14.25" customHeight="1">
      <c r="D904" s="61"/>
      <c r="E904" s="62"/>
      <c r="F904" s="63"/>
      <c r="G904" s="64"/>
    </row>
    <row r="905" spans="4:7" ht="14.25" customHeight="1">
      <c r="D905" s="61"/>
      <c r="E905" s="62"/>
      <c r="F905" s="63"/>
      <c r="G905" s="64"/>
    </row>
    <row r="906" spans="4:7" ht="14.25" customHeight="1">
      <c r="D906" s="61"/>
      <c r="E906" s="62"/>
      <c r="F906" s="63"/>
      <c r="G906" s="64"/>
    </row>
    <row r="907" spans="4:7" ht="14.25" customHeight="1">
      <c r="D907" s="61"/>
      <c r="E907" s="62"/>
      <c r="F907" s="63"/>
      <c r="G907" s="64"/>
    </row>
    <row r="908" spans="4:7" ht="14.25" customHeight="1">
      <c r="D908" s="61"/>
      <c r="E908" s="62"/>
      <c r="F908" s="63"/>
      <c r="G908" s="64"/>
    </row>
    <row r="909" spans="4:7" ht="14.25" customHeight="1">
      <c r="D909" s="61"/>
      <c r="E909" s="62"/>
      <c r="F909" s="63"/>
      <c r="G909" s="64"/>
    </row>
    <row r="910" spans="4:7" ht="14.25" customHeight="1">
      <c r="D910" s="61"/>
      <c r="E910" s="62"/>
      <c r="F910" s="63"/>
      <c r="G910" s="64"/>
    </row>
    <row r="911" spans="4:7" ht="14.25" customHeight="1">
      <c r="D911" s="61"/>
      <c r="E911" s="62"/>
      <c r="F911" s="63"/>
      <c r="G911" s="64"/>
    </row>
    <row r="912" spans="4:7" ht="14.25" customHeight="1">
      <c r="D912" s="61"/>
      <c r="E912" s="62"/>
      <c r="F912" s="63"/>
      <c r="G912" s="64"/>
    </row>
    <row r="913" spans="4:7" ht="14.25" customHeight="1">
      <c r="D913" s="61"/>
      <c r="E913" s="62"/>
      <c r="F913" s="63"/>
      <c r="G913" s="64"/>
    </row>
    <row r="914" spans="4:7" ht="14.25" customHeight="1">
      <c r="D914" s="61"/>
      <c r="E914" s="62"/>
      <c r="F914" s="63"/>
      <c r="G914" s="64"/>
    </row>
    <row r="915" spans="4:7" ht="14.25" customHeight="1">
      <c r="D915" s="61"/>
      <c r="E915" s="62"/>
      <c r="F915" s="63"/>
      <c r="G915" s="64"/>
    </row>
    <row r="916" spans="4:7" ht="14.25" customHeight="1">
      <c r="D916" s="61"/>
      <c r="E916" s="62"/>
      <c r="F916" s="63"/>
      <c r="G916" s="64"/>
    </row>
    <row r="917" spans="4:7" ht="14.25" customHeight="1">
      <c r="D917" s="61"/>
      <c r="E917" s="62"/>
      <c r="F917" s="63"/>
      <c r="G917" s="64"/>
    </row>
    <row r="918" spans="4:7" ht="14.25" customHeight="1">
      <c r="D918" s="61"/>
      <c r="E918" s="62"/>
      <c r="F918" s="63"/>
      <c r="G918" s="64"/>
    </row>
    <row r="919" spans="4:7" ht="14.25" customHeight="1">
      <c r="D919" s="61"/>
      <c r="E919" s="62"/>
      <c r="F919" s="63"/>
      <c r="G919" s="64"/>
    </row>
    <row r="920" spans="4:7" ht="14.25" customHeight="1">
      <c r="D920" s="61"/>
      <c r="E920" s="62"/>
      <c r="F920" s="63"/>
      <c r="G920" s="64"/>
    </row>
    <row r="921" spans="4:7" ht="14.25" customHeight="1">
      <c r="D921" s="61"/>
      <c r="E921" s="62"/>
      <c r="F921" s="63"/>
      <c r="G921" s="64"/>
    </row>
    <row r="922" spans="4:7" ht="14.25" customHeight="1">
      <c r="D922" s="61"/>
      <c r="E922" s="62"/>
      <c r="F922" s="63"/>
      <c r="G922" s="64"/>
    </row>
    <row r="923" spans="4:7" ht="14.25" customHeight="1">
      <c r="D923" s="61"/>
      <c r="E923" s="62"/>
      <c r="F923" s="63"/>
      <c r="G923" s="64"/>
    </row>
    <row r="924" spans="4:7" ht="14.25" customHeight="1">
      <c r="D924" s="61"/>
      <c r="E924" s="62"/>
      <c r="F924" s="63"/>
      <c r="G924" s="64"/>
    </row>
    <row r="925" spans="4:7" ht="14.25" customHeight="1">
      <c r="D925" s="61"/>
      <c r="E925" s="62"/>
      <c r="F925" s="63"/>
      <c r="G925" s="64"/>
    </row>
    <row r="926" spans="4:7" ht="14.25" customHeight="1">
      <c r="D926" s="61"/>
      <c r="E926" s="62"/>
      <c r="F926" s="63"/>
      <c r="G926" s="64"/>
    </row>
    <row r="927" spans="4:7" ht="14.25" customHeight="1">
      <c r="D927" s="61"/>
      <c r="E927" s="62"/>
      <c r="F927" s="63"/>
      <c r="G927" s="64"/>
    </row>
    <row r="928" spans="4:7" ht="14.25" customHeight="1">
      <c r="D928" s="61"/>
      <c r="E928" s="62"/>
      <c r="F928" s="63"/>
      <c r="G928" s="64"/>
    </row>
    <row r="929" spans="4:7" ht="14.25" customHeight="1">
      <c r="D929" s="61"/>
      <c r="E929" s="62"/>
      <c r="F929" s="63"/>
      <c r="G929" s="64"/>
    </row>
    <row r="930" spans="4:7" ht="14.25" customHeight="1">
      <c r="D930" s="61"/>
      <c r="E930" s="62"/>
      <c r="F930" s="63"/>
      <c r="G930" s="64"/>
    </row>
    <row r="931" spans="4:7" ht="14.25" customHeight="1">
      <c r="D931" s="61"/>
      <c r="E931" s="62"/>
      <c r="F931" s="63"/>
      <c r="G931" s="64"/>
    </row>
    <row r="932" spans="4:7" ht="14.25" customHeight="1">
      <c r="D932" s="61"/>
      <c r="E932" s="62"/>
      <c r="F932" s="63"/>
      <c r="G932" s="64"/>
    </row>
    <row r="933" spans="4:7" ht="14.25" customHeight="1">
      <c r="D933" s="61"/>
      <c r="E933" s="62"/>
      <c r="F933" s="63"/>
      <c r="G933" s="64"/>
    </row>
    <row r="934" spans="4:7" ht="14.25" customHeight="1">
      <c r="D934" s="61"/>
      <c r="E934" s="62"/>
      <c r="F934" s="63"/>
      <c r="G934" s="64"/>
    </row>
    <row r="935" spans="4:7" ht="14.25" customHeight="1">
      <c r="D935" s="61"/>
      <c r="E935" s="62"/>
      <c r="F935" s="63"/>
      <c r="G935" s="64"/>
    </row>
    <row r="936" spans="4:7" ht="14.25" customHeight="1">
      <c r="D936" s="61"/>
      <c r="E936" s="62"/>
      <c r="F936" s="63"/>
      <c r="G936" s="64"/>
    </row>
    <row r="937" spans="4:7" ht="14.25" customHeight="1">
      <c r="D937" s="61"/>
      <c r="E937" s="62"/>
      <c r="F937" s="63"/>
      <c r="G937" s="64"/>
    </row>
    <row r="938" spans="4:7" ht="14.25" customHeight="1">
      <c r="D938" s="61"/>
      <c r="E938" s="62"/>
      <c r="F938" s="63"/>
      <c r="G938" s="64"/>
    </row>
    <row r="939" spans="4:7" ht="14.25" customHeight="1">
      <c r="D939" s="61"/>
      <c r="E939" s="62"/>
      <c r="F939" s="63"/>
      <c r="G939" s="64"/>
    </row>
    <row r="940" spans="4:7" ht="14.25" customHeight="1">
      <c r="D940" s="61"/>
      <c r="E940" s="62"/>
      <c r="F940" s="63"/>
      <c r="G940" s="64"/>
    </row>
    <row r="941" spans="4:7" ht="14.25" customHeight="1">
      <c r="D941" s="61"/>
      <c r="E941" s="62"/>
      <c r="F941" s="63"/>
      <c r="G941" s="64"/>
    </row>
    <row r="942" spans="4:7" ht="14.25" customHeight="1">
      <c r="D942" s="61"/>
      <c r="E942" s="62"/>
      <c r="F942" s="63"/>
      <c r="G942" s="64"/>
    </row>
    <row r="943" spans="4:7" ht="14.25" customHeight="1">
      <c r="D943" s="61"/>
      <c r="E943" s="62"/>
      <c r="F943" s="63"/>
      <c r="G943" s="64"/>
    </row>
    <row r="944" spans="4:7" ht="14.25" customHeight="1">
      <c r="D944" s="61"/>
      <c r="E944" s="62"/>
      <c r="F944" s="63"/>
      <c r="G944" s="64"/>
    </row>
    <row r="945" spans="4:7" ht="14.25" customHeight="1">
      <c r="D945" s="61"/>
      <c r="E945" s="62"/>
      <c r="F945" s="63"/>
      <c r="G945" s="64"/>
    </row>
    <row r="946" spans="4:7" ht="14.25" customHeight="1">
      <c r="D946" s="61"/>
      <c r="E946" s="62"/>
      <c r="F946" s="63"/>
      <c r="G946" s="64"/>
    </row>
    <row r="947" spans="4:7" ht="14.25" customHeight="1">
      <c r="D947" s="61"/>
      <c r="E947" s="62"/>
      <c r="F947" s="63"/>
      <c r="G947" s="64"/>
    </row>
    <row r="948" spans="4:7" ht="14.25" customHeight="1">
      <c r="D948" s="61"/>
      <c r="E948" s="62"/>
      <c r="F948" s="63"/>
      <c r="G948" s="64"/>
    </row>
    <row r="949" spans="4:7" ht="14.25" customHeight="1">
      <c r="D949" s="61"/>
      <c r="E949" s="62"/>
      <c r="F949" s="63"/>
      <c r="G949" s="64"/>
    </row>
    <row r="950" spans="4:7" ht="14.25" customHeight="1">
      <c r="D950" s="61"/>
      <c r="E950" s="62"/>
      <c r="F950" s="63"/>
      <c r="G950" s="64"/>
    </row>
    <row r="951" spans="4:7" ht="14.25" customHeight="1">
      <c r="D951" s="61"/>
      <c r="E951" s="62"/>
      <c r="F951" s="63"/>
      <c r="G951" s="64"/>
    </row>
    <row r="952" spans="4:7" ht="14.25" customHeight="1">
      <c r="D952" s="61"/>
      <c r="E952" s="62"/>
      <c r="F952" s="63"/>
      <c r="G952" s="64"/>
    </row>
    <row r="953" spans="4:7" ht="14.25" customHeight="1">
      <c r="D953" s="61"/>
      <c r="E953" s="62"/>
      <c r="F953" s="63"/>
      <c r="G953" s="64"/>
    </row>
    <row r="954" spans="4:7" ht="14.25" customHeight="1">
      <c r="D954" s="61"/>
      <c r="E954" s="62"/>
      <c r="F954" s="63"/>
      <c r="G954" s="64"/>
    </row>
    <row r="955" spans="4:7" ht="14.25" customHeight="1">
      <c r="D955" s="61"/>
      <c r="E955" s="62"/>
      <c r="F955" s="63"/>
      <c r="G955" s="64"/>
    </row>
    <row r="956" spans="4:7" ht="14.25" customHeight="1">
      <c r="D956" s="61"/>
      <c r="E956" s="62"/>
      <c r="F956" s="63"/>
      <c r="G956" s="64"/>
    </row>
    <row r="957" spans="4:7" ht="14.25" customHeight="1">
      <c r="D957" s="61"/>
      <c r="E957" s="62"/>
      <c r="F957" s="63"/>
      <c r="G957" s="64"/>
    </row>
    <row r="958" spans="4:7" ht="14.25" customHeight="1">
      <c r="D958" s="61"/>
      <c r="E958" s="62"/>
      <c r="F958" s="63"/>
      <c r="G958" s="64"/>
    </row>
    <row r="959" spans="4:7" ht="14.25" customHeight="1">
      <c r="D959" s="61"/>
      <c r="E959" s="62"/>
      <c r="F959" s="63"/>
      <c r="G959" s="64"/>
    </row>
    <row r="960" spans="4:7" ht="14.25" customHeight="1">
      <c r="D960" s="61"/>
      <c r="E960" s="62"/>
      <c r="F960" s="63"/>
      <c r="G960" s="64"/>
    </row>
    <row r="961" spans="4:7" ht="14.25" customHeight="1">
      <c r="D961" s="61"/>
      <c r="E961" s="62"/>
      <c r="F961" s="63"/>
      <c r="G961" s="64"/>
    </row>
    <row r="962" spans="4:7" ht="14.25" customHeight="1">
      <c r="D962" s="61"/>
      <c r="E962" s="62"/>
      <c r="F962" s="63"/>
      <c r="G962" s="64"/>
    </row>
    <row r="963" spans="4:7" ht="14.25" customHeight="1">
      <c r="D963" s="61"/>
      <c r="E963" s="62"/>
      <c r="F963" s="63"/>
      <c r="G963" s="64"/>
    </row>
    <row r="964" spans="4:7" ht="14.25" customHeight="1">
      <c r="D964" s="61"/>
      <c r="E964" s="62"/>
      <c r="F964" s="63"/>
      <c r="G964" s="64"/>
    </row>
    <row r="965" spans="4:7" ht="14.25" customHeight="1">
      <c r="D965" s="61"/>
      <c r="E965" s="62"/>
      <c r="F965" s="63"/>
      <c r="G965" s="64"/>
    </row>
    <row r="966" spans="4:7" ht="14.25" customHeight="1">
      <c r="D966" s="61"/>
      <c r="E966" s="62"/>
      <c r="F966" s="63"/>
      <c r="G966" s="64"/>
    </row>
    <row r="967" spans="4:7" ht="14.25" customHeight="1">
      <c r="D967" s="61"/>
      <c r="E967" s="62"/>
      <c r="F967" s="63"/>
      <c r="G967" s="64"/>
    </row>
    <row r="968" spans="4:7" ht="14.25" customHeight="1">
      <c r="D968" s="61"/>
      <c r="E968" s="62"/>
      <c r="F968" s="63"/>
      <c r="G968" s="64"/>
    </row>
    <row r="969" spans="4:7" ht="14.25" customHeight="1">
      <c r="D969" s="61"/>
      <c r="E969" s="62"/>
      <c r="F969" s="63"/>
      <c r="G969" s="64"/>
    </row>
    <row r="970" spans="4:7" ht="14.25" customHeight="1">
      <c r="D970" s="61"/>
      <c r="E970" s="62"/>
      <c r="F970" s="63"/>
      <c r="G970" s="64"/>
    </row>
    <row r="971" spans="4:7" ht="14.25" customHeight="1">
      <c r="D971" s="61"/>
      <c r="E971" s="62"/>
      <c r="F971" s="63"/>
      <c r="G971" s="64"/>
    </row>
    <row r="972" spans="4:7" ht="14.25" customHeight="1">
      <c r="D972" s="61"/>
      <c r="E972" s="62"/>
      <c r="F972" s="63"/>
      <c r="G972" s="64"/>
    </row>
    <row r="973" spans="4:7" ht="14.25" customHeight="1">
      <c r="D973" s="61"/>
      <c r="E973" s="62"/>
      <c r="F973" s="63"/>
      <c r="G973" s="64"/>
    </row>
    <row r="974" spans="4:7" ht="14.25" customHeight="1">
      <c r="D974" s="61"/>
      <c r="E974" s="62"/>
      <c r="F974" s="63"/>
      <c r="G974" s="64"/>
    </row>
    <row r="975" spans="4:7" ht="14.25" customHeight="1">
      <c r="D975" s="61"/>
      <c r="E975" s="62"/>
      <c r="F975" s="63"/>
      <c r="G975" s="64"/>
    </row>
    <row r="976" spans="4:7" ht="14.25" customHeight="1">
      <c r="D976" s="61"/>
      <c r="E976" s="62"/>
      <c r="F976" s="63"/>
      <c r="G976" s="64"/>
    </row>
    <row r="977" spans="4:7" ht="14.25" customHeight="1">
      <c r="D977" s="61"/>
      <c r="E977" s="62"/>
      <c r="F977" s="63"/>
      <c r="G977" s="64"/>
    </row>
    <row r="978" spans="4:7" ht="14.25" customHeight="1">
      <c r="D978" s="61"/>
      <c r="E978" s="62"/>
      <c r="F978" s="63"/>
      <c r="G978" s="64"/>
    </row>
    <row r="979" spans="4:7" ht="14.25" customHeight="1">
      <c r="D979" s="61"/>
      <c r="E979" s="62"/>
      <c r="F979" s="63"/>
      <c r="G979" s="64"/>
    </row>
    <row r="980" spans="4:7" ht="14.25" customHeight="1">
      <c r="D980" s="61"/>
      <c r="E980" s="62"/>
      <c r="F980" s="63"/>
      <c r="G980" s="64"/>
    </row>
    <row r="981" spans="4:7" ht="14.25" customHeight="1">
      <c r="D981" s="61"/>
      <c r="E981" s="62"/>
      <c r="F981" s="63"/>
      <c r="G981" s="64"/>
    </row>
    <row r="982" spans="4:7" ht="14.25" customHeight="1">
      <c r="D982" s="61"/>
      <c r="E982" s="62"/>
      <c r="F982" s="63"/>
      <c r="G982" s="64"/>
    </row>
    <row r="983" spans="4:7" ht="14.25" customHeight="1">
      <c r="D983" s="61"/>
      <c r="E983" s="62"/>
      <c r="F983" s="63"/>
      <c r="G983" s="64"/>
    </row>
    <row r="984" spans="4:7" ht="14.25" customHeight="1">
      <c r="D984" s="61"/>
      <c r="E984" s="62"/>
      <c r="F984" s="63"/>
      <c r="G984" s="64"/>
    </row>
    <row r="985" spans="4:7" ht="14.25" customHeight="1">
      <c r="D985" s="61"/>
      <c r="E985" s="62"/>
      <c r="F985" s="63"/>
      <c r="G985" s="64"/>
    </row>
    <row r="986" spans="4:7" ht="14.25" customHeight="1">
      <c r="D986" s="61"/>
      <c r="E986" s="62"/>
      <c r="F986" s="63"/>
      <c r="G986" s="64"/>
    </row>
    <row r="987" spans="4:7" ht="14.25" customHeight="1">
      <c r="D987" s="61"/>
      <c r="E987" s="62"/>
      <c r="F987" s="63"/>
      <c r="G987" s="64"/>
    </row>
    <row r="988" spans="4:7" ht="14.25" customHeight="1">
      <c r="D988" s="61"/>
      <c r="E988" s="62"/>
      <c r="F988" s="63"/>
      <c r="G988" s="64"/>
    </row>
    <row r="989" spans="4:7" ht="14.25" customHeight="1">
      <c r="D989" s="61"/>
      <c r="E989" s="62"/>
      <c r="F989" s="63"/>
      <c r="G989" s="64"/>
    </row>
    <row r="990" spans="4:7" ht="14.25" customHeight="1">
      <c r="D990" s="61"/>
      <c r="E990" s="62"/>
      <c r="F990" s="63"/>
      <c r="G990" s="64"/>
    </row>
    <row r="991" spans="4:7" ht="14.25" customHeight="1">
      <c r="D991" s="61"/>
      <c r="E991" s="62"/>
      <c r="F991" s="63"/>
      <c r="G991" s="64"/>
    </row>
    <row r="992" spans="4:7" ht="14.25" customHeight="1">
      <c r="D992" s="61"/>
      <c r="E992" s="62"/>
      <c r="F992" s="63"/>
      <c r="G992" s="64"/>
    </row>
    <row r="993" spans="4:7" ht="14.25" customHeight="1">
      <c r="D993" s="61"/>
      <c r="E993" s="62"/>
      <c r="F993" s="63"/>
      <c r="G993" s="64"/>
    </row>
    <row r="994" spans="4:7" ht="14.25" customHeight="1">
      <c r="D994" s="61"/>
      <c r="E994" s="62"/>
      <c r="F994" s="63"/>
      <c r="G994" s="64"/>
    </row>
    <row r="995" spans="4:7" ht="14.25" customHeight="1">
      <c r="D995" s="61"/>
      <c r="E995" s="62"/>
      <c r="F995" s="63"/>
      <c r="G995" s="64"/>
    </row>
    <row r="996" spans="4:7" ht="14.25" customHeight="1">
      <c r="D996" s="61"/>
      <c r="E996" s="62"/>
      <c r="F996" s="63"/>
      <c r="G996" s="64"/>
    </row>
    <row r="997" spans="4:7" ht="14.25" customHeight="1">
      <c r="D997" s="61"/>
      <c r="E997" s="62"/>
      <c r="F997" s="63"/>
      <c r="G997" s="64"/>
    </row>
    <row r="998" spans="4:7" ht="14.25" customHeight="1">
      <c r="D998" s="61"/>
      <c r="E998" s="62"/>
      <c r="F998" s="63"/>
      <c r="G998" s="64"/>
    </row>
    <row r="999" spans="4:7" ht="14.25" customHeight="1">
      <c r="D999" s="61"/>
      <c r="E999" s="62"/>
      <c r="F999" s="63"/>
      <c r="G999" s="64"/>
    </row>
    <row r="1000" spans="4:7" ht="14.25" customHeight="1">
      <c r="D1000" s="61"/>
      <c r="E1000" s="62"/>
      <c r="F1000" s="63"/>
      <c r="G1000" s="64"/>
    </row>
    <row r="1001" spans="4:7" ht="14.25" customHeight="1">
      <c r="D1001" s="61"/>
      <c r="E1001" s="62"/>
      <c r="F1001" s="63"/>
      <c r="G1001" s="64"/>
    </row>
    <row r="1002" spans="4:7" ht="14.25" customHeight="1">
      <c r="D1002" s="61"/>
      <c r="E1002" s="62"/>
      <c r="F1002" s="63"/>
      <c r="G1002" s="64"/>
    </row>
    <row r="1003" spans="4:7" ht="14.25" customHeight="1">
      <c r="D1003" s="61"/>
      <c r="E1003" s="62"/>
      <c r="F1003" s="63"/>
      <c r="G1003" s="64"/>
    </row>
    <row r="1004" spans="4:7" ht="14.25" customHeight="1">
      <c r="D1004" s="61"/>
      <c r="E1004" s="62"/>
      <c r="F1004" s="63"/>
      <c r="G1004" s="64"/>
    </row>
    <row r="1005" spans="4:7" ht="14.25" customHeight="1">
      <c r="D1005" s="61"/>
      <c r="E1005" s="62"/>
      <c r="F1005" s="63"/>
      <c r="G1005" s="64"/>
    </row>
    <row r="1006" spans="4:7" ht="14.25" customHeight="1">
      <c r="D1006" s="61"/>
      <c r="E1006" s="62"/>
      <c r="F1006" s="63"/>
      <c r="G1006" s="64"/>
    </row>
    <row r="1007" spans="4:7" ht="14.25" customHeight="1">
      <c r="D1007" s="61"/>
      <c r="E1007" s="62"/>
      <c r="F1007" s="63"/>
      <c r="G1007" s="64"/>
    </row>
    <row r="1008" spans="4:7" ht="14.25" customHeight="1">
      <c r="D1008" s="61"/>
      <c r="E1008" s="62"/>
      <c r="F1008" s="63"/>
      <c r="G1008" s="64"/>
    </row>
    <row r="1009" ht="14.25" customHeight="1"/>
    <row r="1010" ht="14.25" customHeight="1"/>
  </sheetData>
  <mergeCells count="10">
    <mergeCell ref="A14:A21"/>
    <mergeCell ref="A22:O22"/>
    <mergeCell ref="A23:A31"/>
    <mergeCell ref="A1:B3"/>
    <mergeCell ref="D1:G1"/>
    <mergeCell ref="H1:K1"/>
    <mergeCell ref="L1:O1"/>
    <mergeCell ref="D4:O4"/>
    <mergeCell ref="A5:A12"/>
    <mergeCell ref="A13:O1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Z33"/>
  <sheetViews>
    <sheetView zoomScaleNormal="100" workbookViewId="0">
      <pane ySplit="1" topLeftCell="A2" activePane="bottomLeft" state="frozen"/>
      <selection pane="bottomLeft" activeCell="A5" sqref="A5:XFD5"/>
    </sheetView>
  </sheetViews>
  <sheetFormatPr defaultColWidth="14.42578125" defaultRowHeight="15" customHeight="1"/>
  <cols>
    <col min="3" max="3" width="14.42578125" style="207"/>
    <col min="6" max="6" width="13.140625" customWidth="1"/>
    <col min="10" max="10" width="18.28515625" customWidth="1"/>
    <col min="11" max="11" width="11.85546875" customWidth="1"/>
    <col min="12" max="12" width="23.28515625" customWidth="1"/>
    <col min="13" max="13" width="14.5703125" customWidth="1"/>
    <col min="14" max="14" width="23.7109375" customWidth="1"/>
  </cols>
  <sheetData>
    <row r="1" spans="1:26">
      <c r="A1" s="65" t="s">
        <v>37</v>
      </c>
      <c r="B1" s="65" t="s">
        <v>38</v>
      </c>
      <c r="C1" s="206" t="s">
        <v>39</v>
      </c>
      <c r="D1" s="65" t="s">
        <v>11</v>
      </c>
      <c r="E1" s="65" t="s">
        <v>13</v>
      </c>
      <c r="F1" s="65" t="s">
        <v>28</v>
      </c>
      <c r="G1" s="65" t="s">
        <v>15</v>
      </c>
      <c r="H1" s="65" t="s">
        <v>17</v>
      </c>
      <c r="I1" s="65" t="s">
        <v>19</v>
      </c>
      <c r="J1" s="65" t="s">
        <v>21</v>
      </c>
      <c r="K1" s="65" t="s">
        <v>23</v>
      </c>
      <c r="L1" s="65" t="s">
        <v>25</v>
      </c>
      <c r="M1" s="65" t="s">
        <v>40</v>
      </c>
      <c r="N1" s="65" t="s">
        <v>41</v>
      </c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>
      <c r="A2" s="67" t="s">
        <v>42</v>
      </c>
      <c r="B2" s="67" t="s">
        <v>5</v>
      </c>
      <c r="C2" s="210">
        <v>45310</v>
      </c>
      <c r="D2" s="67">
        <v>0</v>
      </c>
      <c r="E2" s="67">
        <v>0</v>
      </c>
      <c r="F2" s="67">
        <v>104</v>
      </c>
      <c r="G2" s="67">
        <v>0</v>
      </c>
      <c r="H2" s="67">
        <v>0</v>
      </c>
      <c r="I2" s="67">
        <v>69</v>
      </c>
      <c r="J2" s="67">
        <v>191</v>
      </c>
      <c r="K2" s="67">
        <v>0</v>
      </c>
      <c r="L2" s="67">
        <v>0</v>
      </c>
      <c r="M2" s="67">
        <v>364</v>
      </c>
      <c r="N2" s="69">
        <v>14560</v>
      </c>
    </row>
    <row r="3" spans="1:26">
      <c r="A3" s="67" t="s">
        <v>42</v>
      </c>
      <c r="B3" s="67" t="s">
        <v>2</v>
      </c>
      <c r="C3" s="207" t="s">
        <v>43</v>
      </c>
      <c r="D3" s="216" t="s">
        <v>43</v>
      </c>
      <c r="E3" s="216" t="s">
        <v>43</v>
      </c>
      <c r="F3" s="216" t="s">
        <v>43</v>
      </c>
      <c r="G3" s="216" t="s">
        <v>43</v>
      </c>
      <c r="H3" s="216" t="s">
        <v>43</v>
      </c>
      <c r="I3" s="216" t="s">
        <v>43</v>
      </c>
      <c r="J3" s="216" t="s">
        <v>43</v>
      </c>
      <c r="K3" s="216" t="s">
        <v>43</v>
      </c>
      <c r="L3" s="216" t="s">
        <v>43</v>
      </c>
      <c r="M3" s="216" t="s">
        <v>43</v>
      </c>
      <c r="N3" s="216" t="s">
        <v>43</v>
      </c>
    </row>
    <row r="4" spans="1:26">
      <c r="A4" s="67" t="s">
        <v>42</v>
      </c>
      <c r="B4" s="67" t="s">
        <v>44</v>
      </c>
      <c r="C4" s="208">
        <v>45560</v>
      </c>
      <c r="D4" s="69">
        <v>0</v>
      </c>
      <c r="E4" s="69">
        <v>0</v>
      </c>
      <c r="F4" s="69">
        <v>68</v>
      </c>
      <c r="G4" s="69">
        <v>10</v>
      </c>
      <c r="H4" s="69">
        <v>2</v>
      </c>
      <c r="I4" s="69">
        <v>21</v>
      </c>
      <c r="J4" s="69">
        <v>414</v>
      </c>
      <c r="K4" s="69">
        <v>3</v>
      </c>
      <c r="L4" s="69">
        <v>10</v>
      </c>
      <c r="M4" s="69">
        <v>528</v>
      </c>
      <c r="N4" s="69">
        <v>21120</v>
      </c>
    </row>
    <row r="5" spans="1:26">
      <c r="A5" s="67" t="s">
        <v>42</v>
      </c>
      <c r="B5" s="67" t="s">
        <v>4</v>
      </c>
      <c r="C5" s="211">
        <v>45622</v>
      </c>
      <c r="D5" s="69">
        <v>0</v>
      </c>
      <c r="E5" s="69">
        <v>0</v>
      </c>
      <c r="F5" s="67">
        <v>0</v>
      </c>
      <c r="G5" s="69">
        <v>5</v>
      </c>
      <c r="H5" s="69">
        <v>1</v>
      </c>
      <c r="I5" s="67">
        <v>0</v>
      </c>
      <c r="J5" s="69">
        <v>271</v>
      </c>
      <c r="K5" s="69">
        <v>0</v>
      </c>
      <c r="L5" s="69">
        <v>11</v>
      </c>
      <c r="M5" s="69">
        <v>288</v>
      </c>
      <c r="N5" s="69">
        <v>11520</v>
      </c>
    </row>
    <row r="6" spans="1:26">
      <c r="A6" s="67" t="s">
        <v>45</v>
      </c>
      <c r="B6" s="67" t="s">
        <v>5</v>
      </c>
      <c r="C6" s="210">
        <v>45334</v>
      </c>
      <c r="D6" s="69">
        <v>0</v>
      </c>
      <c r="E6" s="69">
        <v>0</v>
      </c>
      <c r="F6" s="69">
        <v>0</v>
      </c>
      <c r="G6" s="69">
        <v>0</v>
      </c>
      <c r="H6" s="69">
        <v>1</v>
      </c>
      <c r="I6" s="69">
        <v>0</v>
      </c>
      <c r="J6" s="69">
        <v>13</v>
      </c>
      <c r="K6" s="69">
        <v>0</v>
      </c>
      <c r="L6" s="69">
        <v>1</v>
      </c>
      <c r="M6" s="69">
        <v>15</v>
      </c>
      <c r="N6" s="69">
        <v>600</v>
      </c>
    </row>
    <row r="7" spans="1:26">
      <c r="A7" s="67" t="s">
        <v>45</v>
      </c>
      <c r="B7" s="67" t="s">
        <v>2</v>
      </c>
      <c r="C7" s="209">
        <v>45466</v>
      </c>
      <c r="D7" s="69">
        <v>0</v>
      </c>
      <c r="E7" s="69">
        <v>0</v>
      </c>
      <c r="F7" s="69">
        <v>4</v>
      </c>
      <c r="G7" s="69">
        <v>1</v>
      </c>
      <c r="H7" s="69">
        <v>0</v>
      </c>
      <c r="I7" s="69">
        <v>4</v>
      </c>
      <c r="J7" s="69">
        <v>9</v>
      </c>
      <c r="K7" s="69">
        <v>0</v>
      </c>
      <c r="L7" s="69">
        <v>0</v>
      </c>
      <c r="M7" s="69">
        <v>18</v>
      </c>
      <c r="N7" s="69">
        <v>720</v>
      </c>
    </row>
    <row r="8" spans="1:26">
      <c r="A8" s="67" t="s">
        <v>45</v>
      </c>
      <c r="B8" s="67" t="s">
        <v>44</v>
      </c>
      <c r="C8" s="212">
        <v>45545</v>
      </c>
      <c r="D8" s="69">
        <v>0</v>
      </c>
      <c r="E8" s="69">
        <v>0</v>
      </c>
      <c r="F8" s="69">
        <v>2</v>
      </c>
      <c r="G8" s="69">
        <v>0</v>
      </c>
      <c r="H8" s="69">
        <v>0</v>
      </c>
      <c r="I8" s="69">
        <v>17</v>
      </c>
      <c r="J8" s="69">
        <v>35</v>
      </c>
      <c r="K8" s="69">
        <v>1</v>
      </c>
      <c r="L8" s="69">
        <v>1</v>
      </c>
      <c r="M8" s="69">
        <v>56</v>
      </c>
      <c r="N8" s="69">
        <v>2240</v>
      </c>
    </row>
    <row r="9" spans="1:26">
      <c r="A9" s="67" t="s">
        <v>45</v>
      </c>
      <c r="B9" s="67" t="s">
        <v>4</v>
      </c>
      <c r="C9" s="211">
        <v>45621</v>
      </c>
      <c r="D9" s="69">
        <v>1</v>
      </c>
      <c r="E9" s="69">
        <v>1</v>
      </c>
      <c r="F9" s="69">
        <v>30</v>
      </c>
      <c r="G9" s="69">
        <v>1</v>
      </c>
      <c r="H9" s="69">
        <v>4</v>
      </c>
      <c r="I9" s="69">
        <v>88</v>
      </c>
      <c r="J9" s="69">
        <v>123</v>
      </c>
      <c r="K9" s="69">
        <v>1</v>
      </c>
      <c r="L9" s="69">
        <v>1</v>
      </c>
      <c r="M9" s="69">
        <v>250</v>
      </c>
      <c r="N9" s="69">
        <v>10000</v>
      </c>
    </row>
    <row r="10" spans="1:26">
      <c r="A10" s="67" t="s">
        <v>46</v>
      </c>
      <c r="B10" s="67" t="s">
        <v>5</v>
      </c>
      <c r="C10" s="210">
        <v>45363</v>
      </c>
      <c r="D10" s="69">
        <v>0</v>
      </c>
      <c r="E10" s="69">
        <v>0</v>
      </c>
      <c r="F10" s="69">
        <v>0</v>
      </c>
      <c r="G10" s="69">
        <v>0</v>
      </c>
      <c r="H10" s="67">
        <v>0</v>
      </c>
      <c r="I10" s="67">
        <v>17</v>
      </c>
      <c r="J10" s="67">
        <v>238</v>
      </c>
      <c r="K10" s="69">
        <v>1</v>
      </c>
      <c r="L10" s="69">
        <v>0</v>
      </c>
      <c r="M10" s="69">
        <v>256</v>
      </c>
      <c r="N10" s="69">
        <v>10240</v>
      </c>
    </row>
    <row r="11" spans="1:26">
      <c r="A11" s="67" t="s">
        <v>46</v>
      </c>
      <c r="B11" s="67" t="s">
        <v>2</v>
      </c>
      <c r="C11" s="209">
        <v>45408</v>
      </c>
      <c r="D11" s="69">
        <v>0</v>
      </c>
      <c r="E11" s="69">
        <v>0</v>
      </c>
      <c r="F11" s="69">
        <v>535</v>
      </c>
      <c r="G11" s="69">
        <v>0</v>
      </c>
      <c r="H11" s="69">
        <v>24</v>
      </c>
      <c r="I11" s="69">
        <v>407</v>
      </c>
      <c r="J11" s="69">
        <v>288</v>
      </c>
      <c r="K11" s="69">
        <v>3</v>
      </c>
      <c r="L11" s="69">
        <v>3</v>
      </c>
      <c r="M11" s="69">
        <v>1260</v>
      </c>
      <c r="N11" s="69">
        <v>50400</v>
      </c>
    </row>
    <row r="12" spans="1:26">
      <c r="A12" s="67" t="s">
        <v>46</v>
      </c>
      <c r="B12" s="67" t="s">
        <v>44</v>
      </c>
      <c r="C12" s="212">
        <v>45533</v>
      </c>
      <c r="D12" s="69">
        <v>0</v>
      </c>
      <c r="E12" s="69">
        <v>0</v>
      </c>
      <c r="F12" s="69">
        <v>17</v>
      </c>
      <c r="G12" s="69">
        <v>0</v>
      </c>
      <c r="H12" s="69">
        <v>0</v>
      </c>
      <c r="I12" s="69">
        <v>9</v>
      </c>
      <c r="J12" s="69">
        <v>119</v>
      </c>
      <c r="K12" s="69">
        <v>2</v>
      </c>
      <c r="L12" s="69">
        <v>1</v>
      </c>
      <c r="M12" s="69">
        <v>148</v>
      </c>
      <c r="N12" s="69">
        <v>5920</v>
      </c>
    </row>
    <row r="13" spans="1:26">
      <c r="A13" s="67" t="s">
        <v>46</v>
      </c>
      <c r="B13" s="67" t="s">
        <v>4</v>
      </c>
      <c r="C13" s="213">
        <v>45586</v>
      </c>
      <c r="D13" s="69">
        <v>0</v>
      </c>
      <c r="E13" s="69">
        <v>0</v>
      </c>
      <c r="F13" s="67">
        <v>0</v>
      </c>
      <c r="G13" s="69">
        <v>4</v>
      </c>
      <c r="H13" s="69">
        <v>0</v>
      </c>
      <c r="I13" s="69">
        <v>81</v>
      </c>
      <c r="J13" s="69">
        <v>43</v>
      </c>
      <c r="K13" s="69">
        <v>0</v>
      </c>
      <c r="L13" s="69">
        <v>2</v>
      </c>
      <c r="M13" s="69">
        <v>130</v>
      </c>
      <c r="N13" s="69">
        <v>5200</v>
      </c>
    </row>
    <row r="14" spans="1:26">
      <c r="A14" s="67" t="s">
        <v>47</v>
      </c>
      <c r="B14" s="67" t="s">
        <v>5</v>
      </c>
      <c r="C14" s="210">
        <v>45317</v>
      </c>
      <c r="D14" s="69">
        <v>0</v>
      </c>
      <c r="E14" s="69">
        <v>0</v>
      </c>
      <c r="F14" s="69">
        <v>707</v>
      </c>
      <c r="G14" s="69">
        <v>0</v>
      </c>
      <c r="H14" s="69">
        <v>5</v>
      </c>
      <c r="I14" s="69">
        <v>276</v>
      </c>
      <c r="J14" s="69">
        <v>1836</v>
      </c>
      <c r="K14" s="69">
        <v>4</v>
      </c>
      <c r="L14" s="69">
        <v>469</v>
      </c>
      <c r="M14" s="69">
        <v>3297</v>
      </c>
      <c r="N14" s="69">
        <v>131880</v>
      </c>
    </row>
    <row r="15" spans="1:26">
      <c r="A15" s="67" t="s">
        <v>47</v>
      </c>
      <c r="B15" s="67" t="s">
        <v>2</v>
      </c>
      <c r="C15" s="209">
        <v>45464</v>
      </c>
      <c r="D15" s="69">
        <v>1</v>
      </c>
      <c r="E15" s="69">
        <v>1</v>
      </c>
      <c r="F15" s="69">
        <v>851</v>
      </c>
      <c r="G15" s="69">
        <v>14</v>
      </c>
      <c r="H15" s="69">
        <v>0</v>
      </c>
      <c r="I15" s="69">
        <v>57</v>
      </c>
      <c r="J15" s="69">
        <v>2077</v>
      </c>
      <c r="K15" s="69">
        <v>5</v>
      </c>
      <c r="L15" s="69">
        <v>143</v>
      </c>
      <c r="M15" s="69">
        <v>3149</v>
      </c>
      <c r="N15" s="69">
        <v>125960</v>
      </c>
    </row>
    <row r="16" spans="1:26">
      <c r="A16" s="67" t="s">
        <v>47</v>
      </c>
      <c r="B16" s="67" t="s">
        <v>44</v>
      </c>
      <c r="C16" s="212">
        <v>45551</v>
      </c>
      <c r="D16" s="69">
        <v>0</v>
      </c>
      <c r="E16" s="69">
        <v>0</v>
      </c>
      <c r="F16" s="69">
        <v>179</v>
      </c>
      <c r="G16" s="69">
        <v>6</v>
      </c>
      <c r="H16" s="69">
        <v>127</v>
      </c>
      <c r="I16" s="69">
        <v>14</v>
      </c>
      <c r="J16" s="69">
        <v>1834</v>
      </c>
      <c r="K16" s="69">
        <v>4</v>
      </c>
      <c r="L16" s="69">
        <v>100</v>
      </c>
      <c r="M16" s="69">
        <v>2264</v>
      </c>
      <c r="N16" s="69">
        <v>90560</v>
      </c>
    </row>
    <row r="17" spans="1:14">
      <c r="A17" s="67" t="s">
        <v>47</v>
      </c>
      <c r="B17" s="67" t="s">
        <v>4</v>
      </c>
      <c r="C17" s="213">
        <v>45609</v>
      </c>
      <c r="D17" s="69">
        <v>0</v>
      </c>
      <c r="E17" s="69">
        <v>0</v>
      </c>
      <c r="F17" s="69">
        <v>147</v>
      </c>
      <c r="G17" s="69">
        <v>3</v>
      </c>
      <c r="H17" s="69">
        <v>3</v>
      </c>
      <c r="I17" s="69">
        <v>321</v>
      </c>
      <c r="J17" s="69">
        <v>278</v>
      </c>
      <c r="K17" s="69">
        <v>3</v>
      </c>
      <c r="L17" s="69">
        <v>68</v>
      </c>
      <c r="M17" s="69">
        <v>823</v>
      </c>
      <c r="N17" s="69">
        <v>32920</v>
      </c>
    </row>
    <row r="18" spans="1:14">
      <c r="A18" s="67" t="s">
        <v>48</v>
      </c>
      <c r="B18" s="67" t="s">
        <v>5</v>
      </c>
      <c r="C18" s="210">
        <v>45329</v>
      </c>
      <c r="D18" s="69">
        <v>0</v>
      </c>
      <c r="E18" s="69">
        <v>0</v>
      </c>
      <c r="F18" s="69">
        <v>0</v>
      </c>
      <c r="G18" s="69">
        <v>0</v>
      </c>
      <c r="H18" s="69">
        <v>0</v>
      </c>
      <c r="I18" s="69">
        <v>1</v>
      </c>
      <c r="J18" s="69">
        <v>7</v>
      </c>
      <c r="K18" s="69">
        <v>1</v>
      </c>
      <c r="L18" s="69">
        <v>0</v>
      </c>
      <c r="M18" s="69">
        <v>9</v>
      </c>
      <c r="N18" s="69">
        <v>360</v>
      </c>
    </row>
    <row r="19" spans="1:14">
      <c r="A19" s="67" t="s">
        <v>48</v>
      </c>
      <c r="B19" s="67" t="s">
        <v>2</v>
      </c>
      <c r="C19" s="214">
        <v>45460</v>
      </c>
      <c r="D19" s="69">
        <v>0</v>
      </c>
      <c r="E19" s="69">
        <v>0</v>
      </c>
      <c r="F19" s="69">
        <v>0</v>
      </c>
      <c r="G19" s="69">
        <v>0</v>
      </c>
      <c r="H19" s="69">
        <v>0</v>
      </c>
      <c r="I19" s="69">
        <v>8</v>
      </c>
      <c r="J19" s="69">
        <v>4</v>
      </c>
      <c r="K19" s="69">
        <v>0</v>
      </c>
      <c r="L19" s="69">
        <v>0</v>
      </c>
      <c r="M19" s="69">
        <v>12</v>
      </c>
      <c r="N19" s="69">
        <v>480</v>
      </c>
    </row>
    <row r="20" spans="1:14">
      <c r="A20" s="67" t="s">
        <v>48</v>
      </c>
      <c r="B20" s="67" t="s">
        <v>44</v>
      </c>
      <c r="C20" s="212">
        <v>45538</v>
      </c>
      <c r="D20" s="69">
        <v>0</v>
      </c>
      <c r="E20" s="69">
        <v>0</v>
      </c>
      <c r="F20" s="69">
        <v>0</v>
      </c>
      <c r="G20" s="69">
        <v>2</v>
      </c>
      <c r="H20" s="69">
        <v>5</v>
      </c>
      <c r="I20" s="69">
        <v>9</v>
      </c>
      <c r="J20" s="69">
        <v>38</v>
      </c>
      <c r="K20" s="69">
        <v>0</v>
      </c>
      <c r="L20" s="69">
        <v>0</v>
      </c>
      <c r="M20" s="69">
        <v>54</v>
      </c>
      <c r="N20" s="69">
        <v>2160</v>
      </c>
    </row>
    <row r="21" spans="1:14">
      <c r="A21" s="67" t="s">
        <v>48</v>
      </c>
      <c r="B21" s="67" t="s">
        <v>4</v>
      </c>
      <c r="C21" s="215">
        <v>45601</v>
      </c>
      <c r="D21" s="69">
        <v>0</v>
      </c>
      <c r="E21" s="69">
        <v>0</v>
      </c>
      <c r="F21" s="69">
        <v>0</v>
      </c>
      <c r="G21" s="69">
        <v>3</v>
      </c>
      <c r="H21" s="69">
        <v>1</v>
      </c>
      <c r="I21" s="69">
        <v>3</v>
      </c>
      <c r="J21" s="69">
        <v>2</v>
      </c>
      <c r="K21" s="69">
        <v>0</v>
      </c>
      <c r="L21" s="69">
        <v>1</v>
      </c>
      <c r="M21" s="69">
        <v>10</v>
      </c>
      <c r="N21" s="69">
        <v>400</v>
      </c>
    </row>
    <row r="22" spans="1:14">
      <c r="A22" s="67" t="s">
        <v>49</v>
      </c>
      <c r="B22" s="67" t="s">
        <v>5</v>
      </c>
      <c r="C22" s="210">
        <v>45370</v>
      </c>
      <c r="D22" s="69">
        <v>0</v>
      </c>
      <c r="E22" s="69">
        <v>0</v>
      </c>
      <c r="F22" s="69">
        <v>0</v>
      </c>
      <c r="G22" s="69">
        <v>0</v>
      </c>
      <c r="H22" s="69">
        <v>0</v>
      </c>
      <c r="I22" s="69">
        <v>9</v>
      </c>
      <c r="J22" s="69">
        <v>18</v>
      </c>
      <c r="K22" s="69">
        <v>0</v>
      </c>
      <c r="L22" s="69">
        <v>32</v>
      </c>
      <c r="M22" s="69">
        <v>59</v>
      </c>
      <c r="N22" s="69">
        <v>2360</v>
      </c>
    </row>
    <row r="23" spans="1:14">
      <c r="A23" s="67" t="s">
        <v>49</v>
      </c>
      <c r="B23" s="67" t="s">
        <v>2</v>
      </c>
      <c r="C23" s="209">
        <v>45461</v>
      </c>
      <c r="D23" s="69">
        <v>0</v>
      </c>
      <c r="E23" s="69">
        <v>0</v>
      </c>
      <c r="F23" s="69">
        <v>2</v>
      </c>
      <c r="G23" s="69">
        <v>2</v>
      </c>
      <c r="H23" s="69">
        <v>0</v>
      </c>
      <c r="I23" s="69">
        <v>59</v>
      </c>
      <c r="J23" s="69">
        <v>25</v>
      </c>
      <c r="K23" s="69">
        <v>0</v>
      </c>
      <c r="L23" s="69">
        <v>0</v>
      </c>
      <c r="M23" s="69">
        <v>88</v>
      </c>
      <c r="N23" s="69">
        <v>3520</v>
      </c>
    </row>
    <row r="24" spans="1:14">
      <c r="A24" s="67" t="s">
        <v>49</v>
      </c>
      <c r="B24" s="67" t="s">
        <v>44</v>
      </c>
      <c r="C24" s="212">
        <v>45534</v>
      </c>
      <c r="D24" s="69">
        <v>0</v>
      </c>
      <c r="E24" s="69">
        <v>0</v>
      </c>
      <c r="F24" s="69">
        <v>4</v>
      </c>
      <c r="G24" s="69">
        <v>1</v>
      </c>
      <c r="H24" s="69">
        <v>0</v>
      </c>
      <c r="I24" s="69">
        <v>3</v>
      </c>
      <c r="J24" s="69">
        <v>13</v>
      </c>
      <c r="K24" s="69">
        <v>0</v>
      </c>
      <c r="L24" s="69">
        <v>0</v>
      </c>
      <c r="M24" s="69">
        <v>21</v>
      </c>
      <c r="N24" s="69">
        <v>840</v>
      </c>
    </row>
    <row r="25" spans="1:14">
      <c r="A25" s="67" t="s">
        <v>49</v>
      </c>
      <c r="B25" s="67" t="s">
        <v>4</v>
      </c>
      <c r="C25" s="215">
        <v>45602</v>
      </c>
      <c r="D25" s="69">
        <v>0</v>
      </c>
      <c r="E25" s="69">
        <v>0</v>
      </c>
      <c r="F25" s="67">
        <v>0</v>
      </c>
      <c r="G25" s="69">
        <v>2</v>
      </c>
      <c r="H25" s="69">
        <v>1</v>
      </c>
      <c r="I25" s="69">
        <v>13</v>
      </c>
      <c r="J25" s="69">
        <v>11</v>
      </c>
      <c r="K25" s="69">
        <v>1</v>
      </c>
      <c r="L25" s="69">
        <v>2</v>
      </c>
      <c r="M25" s="69">
        <v>30</v>
      </c>
      <c r="N25" s="69">
        <v>1200</v>
      </c>
    </row>
    <row r="26" spans="1:14">
      <c r="A26" s="67" t="s">
        <v>50</v>
      </c>
      <c r="B26" s="67" t="s">
        <v>5</v>
      </c>
      <c r="C26" s="210">
        <v>45367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40</v>
      </c>
      <c r="J26" s="69">
        <v>7</v>
      </c>
      <c r="K26" s="69">
        <v>0</v>
      </c>
      <c r="L26" s="69">
        <v>0</v>
      </c>
      <c r="M26" s="69">
        <v>47</v>
      </c>
      <c r="N26" s="69">
        <v>1880</v>
      </c>
    </row>
    <row r="27" spans="1:14">
      <c r="A27" s="67" t="s">
        <v>50</v>
      </c>
      <c r="B27" s="67" t="s">
        <v>2</v>
      </c>
      <c r="C27" s="209">
        <v>45462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8</v>
      </c>
      <c r="J27" s="69">
        <v>3</v>
      </c>
      <c r="K27" s="69">
        <v>0</v>
      </c>
      <c r="L27" s="69">
        <v>0</v>
      </c>
      <c r="M27" s="69">
        <v>11</v>
      </c>
      <c r="N27" s="69">
        <v>440</v>
      </c>
    </row>
    <row r="28" spans="1:14">
      <c r="A28" s="67" t="s">
        <v>50</v>
      </c>
      <c r="B28" s="67" t="s">
        <v>44</v>
      </c>
      <c r="C28" s="212">
        <v>45572</v>
      </c>
      <c r="D28" s="69">
        <v>1</v>
      </c>
      <c r="E28" s="69">
        <v>1</v>
      </c>
      <c r="F28" s="69">
        <v>1</v>
      </c>
      <c r="G28" s="69">
        <v>0</v>
      </c>
      <c r="H28" s="69">
        <v>1</v>
      </c>
      <c r="I28" s="69">
        <v>45</v>
      </c>
      <c r="J28" s="69">
        <v>17</v>
      </c>
      <c r="K28" s="69">
        <v>0</v>
      </c>
      <c r="L28" s="69">
        <v>2</v>
      </c>
      <c r="M28" s="69">
        <v>68</v>
      </c>
      <c r="N28" s="69">
        <v>2720</v>
      </c>
    </row>
    <row r="29" spans="1:14">
      <c r="A29" s="67" t="s">
        <v>50</v>
      </c>
      <c r="B29" s="67" t="s">
        <v>4</v>
      </c>
      <c r="C29" s="212">
        <v>45644</v>
      </c>
      <c r="D29" s="69">
        <v>0</v>
      </c>
      <c r="E29" s="69">
        <v>0</v>
      </c>
      <c r="F29" s="67">
        <v>0</v>
      </c>
      <c r="G29" s="69">
        <v>0</v>
      </c>
      <c r="H29" s="69">
        <v>0</v>
      </c>
      <c r="I29" s="69">
        <v>2</v>
      </c>
      <c r="J29" s="69">
        <v>6</v>
      </c>
      <c r="K29" s="69">
        <v>0</v>
      </c>
      <c r="L29" s="69">
        <v>0</v>
      </c>
      <c r="M29" s="69">
        <v>8</v>
      </c>
      <c r="N29" s="69">
        <v>320</v>
      </c>
    </row>
    <row r="30" spans="1:14">
      <c r="A30" s="67" t="s">
        <v>51</v>
      </c>
      <c r="B30" s="67" t="s">
        <v>5</v>
      </c>
      <c r="C30" s="210">
        <v>45373</v>
      </c>
      <c r="D30" s="69">
        <v>0</v>
      </c>
      <c r="E30" s="69">
        <v>0</v>
      </c>
      <c r="F30" s="69">
        <v>38</v>
      </c>
      <c r="G30" s="69">
        <v>0</v>
      </c>
      <c r="H30" s="69">
        <v>0</v>
      </c>
      <c r="I30" s="69">
        <v>6</v>
      </c>
      <c r="J30" s="69">
        <v>61</v>
      </c>
      <c r="K30" s="69">
        <v>0</v>
      </c>
      <c r="L30" s="69">
        <v>0</v>
      </c>
      <c r="M30" s="69">
        <v>105</v>
      </c>
      <c r="N30" s="69">
        <v>4200</v>
      </c>
    </row>
    <row r="31" spans="1:14">
      <c r="A31" s="67" t="s">
        <v>51</v>
      </c>
      <c r="B31" s="67" t="s">
        <v>2</v>
      </c>
      <c r="C31" s="209">
        <v>45462</v>
      </c>
      <c r="D31" s="69">
        <v>0</v>
      </c>
      <c r="E31" s="69">
        <v>0</v>
      </c>
      <c r="F31" s="69">
        <v>2</v>
      </c>
      <c r="G31" s="69">
        <v>0</v>
      </c>
      <c r="H31" s="69">
        <v>0</v>
      </c>
      <c r="I31" s="69">
        <v>5</v>
      </c>
      <c r="J31" s="69">
        <v>15</v>
      </c>
      <c r="K31" s="69">
        <v>0</v>
      </c>
      <c r="L31" s="69">
        <v>0</v>
      </c>
      <c r="M31" s="69">
        <v>22</v>
      </c>
      <c r="N31" s="69">
        <v>880</v>
      </c>
    </row>
    <row r="32" spans="1:14">
      <c r="A32" s="67" t="s">
        <v>51</v>
      </c>
      <c r="B32" s="67" t="s">
        <v>44</v>
      </c>
      <c r="C32" s="212">
        <v>45541</v>
      </c>
      <c r="D32" s="69">
        <v>0</v>
      </c>
      <c r="E32" s="69">
        <v>0</v>
      </c>
      <c r="F32" s="69">
        <v>7</v>
      </c>
      <c r="G32" s="69">
        <v>1</v>
      </c>
      <c r="H32" s="69">
        <v>0</v>
      </c>
      <c r="I32" s="69">
        <v>13</v>
      </c>
      <c r="J32" s="69">
        <v>15</v>
      </c>
      <c r="K32" s="69">
        <v>1</v>
      </c>
      <c r="L32" s="69">
        <v>1</v>
      </c>
      <c r="M32" s="69">
        <v>38</v>
      </c>
      <c r="N32" s="69">
        <v>1520</v>
      </c>
    </row>
    <row r="33" spans="1:14">
      <c r="A33" s="67" t="s">
        <v>51</v>
      </c>
      <c r="B33" s="67" t="s">
        <v>4</v>
      </c>
      <c r="C33" s="215">
        <v>45602</v>
      </c>
      <c r="D33" s="69">
        <v>0</v>
      </c>
      <c r="E33" s="69">
        <v>0</v>
      </c>
      <c r="F33" s="69">
        <v>1</v>
      </c>
      <c r="G33" s="69">
        <v>0</v>
      </c>
      <c r="H33" s="69">
        <v>0</v>
      </c>
      <c r="I33" s="69">
        <v>10</v>
      </c>
      <c r="J33" s="69">
        <v>9</v>
      </c>
      <c r="K33" s="69">
        <v>0</v>
      </c>
      <c r="L33" s="69">
        <v>0</v>
      </c>
      <c r="M33" s="69">
        <v>20</v>
      </c>
      <c r="N33" s="69">
        <v>800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08"/>
  <sheetViews>
    <sheetView tabSelected="1" workbookViewId="0">
      <selection activeCell="J41" sqref="J41"/>
    </sheetView>
  </sheetViews>
  <sheetFormatPr defaultColWidth="14.42578125" defaultRowHeight="15" customHeight="1"/>
  <cols>
    <col min="1" max="2" width="10.7109375" customWidth="1"/>
    <col min="3" max="3" width="34.140625" customWidth="1"/>
    <col min="4" max="4" width="9" customWidth="1"/>
    <col min="5" max="42" width="9.42578125" customWidth="1"/>
  </cols>
  <sheetData>
    <row r="1" spans="1:42" ht="14.25" customHeight="1">
      <c r="A1" s="225"/>
      <c r="B1" s="226"/>
      <c r="C1" s="1" t="s">
        <v>0</v>
      </c>
      <c r="D1" s="231">
        <v>2022</v>
      </c>
      <c r="E1" s="222"/>
      <c r="F1" s="223"/>
      <c r="G1" s="231">
        <v>2023</v>
      </c>
      <c r="H1" s="222"/>
      <c r="I1" s="222"/>
      <c r="J1" s="223"/>
      <c r="K1" s="231">
        <v>2024</v>
      </c>
      <c r="L1" s="222"/>
      <c r="M1" s="222"/>
      <c r="N1" s="223"/>
      <c r="O1" s="236">
        <v>2025</v>
      </c>
      <c r="P1" s="222"/>
      <c r="Q1" s="222"/>
      <c r="R1" s="223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</row>
    <row r="2" spans="1:42" ht="14.25" customHeight="1">
      <c r="A2" s="227"/>
      <c r="B2" s="228"/>
      <c r="C2" s="1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2" t="s">
        <v>2</v>
      </c>
      <c r="I2" s="3" t="s">
        <v>3</v>
      </c>
      <c r="J2" s="4" t="s">
        <v>4</v>
      </c>
      <c r="K2" s="5" t="s">
        <v>5</v>
      </c>
      <c r="L2" s="2" t="s">
        <v>2</v>
      </c>
      <c r="M2" s="3" t="s">
        <v>3</v>
      </c>
      <c r="N2" s="4" t="s">
        <v>4</v>
      </c>
      <c r="O2" s="5" t="s">
        <v>5</v>
      </c>
      <c r="P2" s="2" t="s">
        <v>2</v>
      </c>
      <c r="Q2" s="3" t="s">
        <v>3</v>
      </c>
      <c r="R2" s="4" t="s">
        <v>4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</row>
    <row r="3" spans="1:42" ht="14.25" customHeight="1">
      <c r="A3" s="229"/>
      <c r="B3" s="230"/>
      <c r="C3" s="6" t="s">
        <v>6</v>
      </c>
      <c r="D3" s="7">
        <v>44697</v>
      </c>
      <c r="E3" s="8">
        <v>44779</v>
      </c>
      <c r="F3" s="9">
        <v>44840</v>
      </c>
      <c r="G3" s="71">
        <v>44937</v>
      </c>
      <c r="H3" s="7">
        <v>45051</v>
      </c>
      <c r="I3" s="8">
        <v>45155</v>
      </c>
      <c r="J3" s="81">
        <v>45266</v>
      </c>
      <c r="K3" s="71">
        <v>45317</v>
      </c>
      <c r="L3" s="7">
        <v>45464</v>
      </c>
      <c r="M3" s="8">
        <v>45551</v>
      </c>
      <c r="N3" s="77">
        <v>45609</v>
      </c>
      <c r="O3" s="71">
        <v>45770</v>
      </c>
      <c r="P3" s="7">
        <v>45803</v>
      </c>
      <c r="Q3" s="8">
        <v>45904</v>
      </c>
      <c r="R3" s="77">
        <v>45965</v>
      </c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</row>
    <row r="4" spans="1:42" ht="14.25" customHeight="1">
      <c r="A4" s="14" t="s">
        <v>7</v>
      </c>
      <c r="B4" s="14" t="s">
        <v>8</v>
      </c>
      <c r="C4" s="15" t="s">
        <v>52</v>
      </c>
      <c r="D4" s="23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3"/>
    </row>
    <row r="5" spans="1:42" ht="23.25" customHeight="1">
      <c r="A5" s="233" t="s">
        <v>10</v>
      </c>
      <c r="B5" s="16" t="s">
        <v>11</v>
      </c>
      <c r="C5" s="16" t="s">
        <v>12</v>
      </c>
      <c r="D5" s="17">
        <v>0</v>
      </c>
      <c r="E5" s="18">
        <v>0</v>
      </c>
      <c r="F5" s="19">
        <v>2</v>
      </c>
      <c r="G5" s="84">
        <v>0</v>
      </c>
      <c r="H5" s="17">
        <v>0</v>
      </c>
      <c r="I5" s="18">
        <v>0</v>
      </c>
      <c r="J5" s="19">
        <v>8</v>
      </c>
      <c r="K5" s="84">
        <v>0</v>
      </c>
      <c r="L5" s="17">
        <v>1</v>
      </c>
      <c r="M5" s="18">
        <v>0</v>
      </c>
      <c r="N5" s="19">
        <v>0</v>
      </c>
      <c r="O5" s="84">
        <v>0</v>
      </c>
      <c r="P5" s="17">
        <v>2</v>
      </c>
      <c r="Q5" s="18">
        <v>4</v>
      </c>
      <c r="R5" s="19">
        <v>1</v>
      </c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</row>
    <row r="6" spans="1:42" ht="22.5" customHeight="1">
      <c r="A6" s="219"/>
      <c r="B6" s="24" t="s">
        <v>13</v>
      </c>
      <c r="C6" s="24" t="s">
        <v>14</v>
      </c>
      <c r="D6" s="25">
        <v>0</v>
      </c>
      <c r="E6" s="26">
        <v>0</v>
      </c>
      <c r="F6" s="27">
        <v>0</v>
      </c>
      <c r="G6" s="86">
        <v>2</v>
      </c>
      <c r="H6" s="25">
        <v>1</v>
      </c>
      <c r="I6" s="26">
        <v>2</v>
      </c>
      <c r="J6" s="27">
        <v>3</v>
      </c>
      <c r="K6" s="86">
        <v>0</v>
      </c>
      <c r="L6" s="25">
        <v>1</v>
      </c>
      <c r="M6" s="26">
        <v>3</v>
      </c>
      <c r="N6" s="27">
        <v>1</v>
      </c>
      <c r="O6" s="86">
        <v>0</v>
      </c>
      <c r="P6" s="25">
        <v>0</v>
      </c>
      <c r="Q6" s="26">
        <v>0</v>
      </c>
      <c r="R6" s="27">
        <v>0</v>
      </c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</row>
    <row r="7" spans="1:42" ht="22.5" customHeight="1">
      <c r="A7" s="219"/>
      <c r="B7" s="16" t="s">
        <v>15</v>
      </c>
      <c r="C7" s="16" t="s">
        <v>16</v>
      </c>
      <c r="D7" s="88">
        <v>1</v>
      </c>
      <c r="E7" s="22">
        <v>2</v>
      </c>
      <c r="F7" s="19">
        <v>8</v>
      </c>
      <c r="G7" s="84">
        <v>4</v>
      </c>
      <c r="H7" s="17">
        <v>8</v>
      </c>
      <c r="I7" s="18">
        <v>6</v>
      </c>
      <c r="J7" s="19">
        <v>0</v>
      </c>
      <c r="K7" s="84">
        <v>0</v>
      </c>
      <c r="L7" s="17">
        <v>14</v>
      </c>
      <c r="M7" s="18">
        <v>4</v>
      </c>
      <c r="N7" s="19">
        <v>3</v>
      </c>
      <c r="O7" s="84">
        <v>2</v>
      </c>
      <c r="P7" s="17">
        <v>4</v>
      </c>
      <c r="Q7" s="18">
        <v>0</v>
      </c>
      <c r="R7" s="19">
        <v>0</v>
      </c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</row>
    <row r="8" spans="1:42" ht="22.5" customHeight="1">
      <c r="A8" s="219"/>
      <c r="B8" s="24" t="s">
        <v>17</v>
      </c>
      <c r="C8" s="24" t="s">
        <v>18</v>
      </c>
      <c r="D8" s="25">
        <v>0</v>
      </c>
      <c r="E8" s="30">
        <v>3</v>
      </c>
      <c r="F8" s="27">
        <v>5</v>
      </c>
      <c r="G8" s="86">
        <v>2</v>
      </c>
      <c r="H8" s="25">
        <v>2</v>
      </c>
      <c r="I8" s="26">
        <v>2</v>
      </c>
      <c r="J8" s="27">
        <v>0</v>
      </c>
      <c r="K8" s="86">
        <v>5</v>
      </c>
      <c r="L8" s="25">
        <v>0</v>
      </c>
      <c r="M8" s="26">
        <v>35</v>
      </c>
      <c r="N8" s="27">
        <v>2</v>
      </c>
      <c r="O8" s="86">
        <v>0</v>
      </c>
      <c r="P8" s="25">
        <v>0</v>
      </c>
      <c r="Q8" s="26">
        <v>9</v>
      </c>
      <c r="R8" s="27">
        <v>2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</row>
    <row r="9" spans="1:42" ht="23.25" customHeight="1">
      <c r="A9" s="219"/>
      <c r="B9" s="16" t="s">
        <v>19</v>
      </c>
      <c r="C9" s="16" t="s">
        <v>20</v>
      </c>
      <c r="D9" s="88">
        <v>9</v>
      </c>
      <c r="E9" s="22">
        <v>2</v>
      </c>
      <c r="F9" s="19">
        <v>11</v>
      </c>
      <c r="G9" s="84">
        <v>18</v>
      </c>
      <c r="H9" s="17">
        <v>48</v>
      </c>
      <c r="I9" s="18">
        <v>37</v>
      </c>
      <c r="J9" s="19">
        <v>73</v>
      </c>
      <c r="K9" s="84">
        <v>189</v>
      </c>
      <c r="L9" s="17">
        <v>8</v>
      </c>
      <c r="M9" s="18">
        <v>6</v>
      </c>
      <c r="N9" s="19">
        <v>98</v>
      </c>
      <c r="O9" s="84">
        <v>60</v>
      </c>
      <c r="P9" s="17">
        <v>54</v>
      </c>
      <c r="Q9" s="18">
        <v>33</v>
      </c>
      <c r="R9" s="19">
        <v>43</v>
      </c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</row>
    <row r="10" spans="1:42" ht="24" customHeight="1">
      <c r="A10" s="219"/>
      <c r="B10" s="24" t="s">
        <v>21</v>
      </c>
      <c r="C10" s="24" t="s">
        <v>22</v>
      </c>
      <c r="D10" s="89">
        <v>1</v>
      </c>
      <c r="E10" s="30">
        <v>57</v>
      </c>
      <c r="F10" s="27">
        <v>19</v>
      </c>
      <c r="G10" s="86">
        <v>64</v>
      </c>
      <c r="H10" s="25">
        <v>66</v>
      </c>
      <c r="I10" s="26">
        <v>71</v>
      </c>
      <c r="J10" s="27">
        <v>412</v>
      </c>
      <c r="K10" s="86">
        <v>786</v>
      </c>
      <c r="L10" s="25">
        <v>161</v>
      </c>
      <c r="M10" s="26">
        <v>48</v>
      </c>
      <c r="N10" s="27">
        <v>62</v>
      </c>
      <c r="O10" s="86">
        <v>224</v>
      </c>
      <c r="P10" s="25">
        <v>86</v>
      </c>
      <c r="Q10" s="26">
        <v>31</v>
      </c>
      <c r="R10" s="27">
        <v>43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</row>
    <row r="11" spans="1:42" ht="24.75" customHeight="1">
      <c r="A11" s="219"/>
      <c r="B11" s="16" t="s">
        <v>23</v>
      </c>
      <c r="C11" s="16" t="s">
        <v>24</v>
      </c>
      <c r="D11" s="17">
        <v>0</v>
      </c>
      <c r="E11" s="22">
        <v>1</v>
      </c>
      <c r="F11" s="19">
        <v>0</v>
      </c>
      <c r="G11" s="84">
        <v>0</v>
      </c>
      <c r="H11" s="17">
        <v>3</v>
      </c>
      <c r="I11" s="18">
        <v>4</v>
      </c>
      <c r="J11" s="19">
        <v>19</v>
      </c>
      <c r="K11" s="84">
        <v>4</v>
      </c>
      <c r="L11" s="17">
        <v>0</v>
      </c>
      <c r="M11" s="18">
        <v>4</v>
      </c>
      <c r="N11" s="19">
        <v>1</v>
      </c>
      <c r="O11" s="84">
        <v>0</v>
      </c>
      <c r="P11" s="17">
        <v>3</v>
      </c>
      <c r="Q11" s="18">
        <v>0</v>
      </c>
      <c r="R11" s="19">
        <v>3</v>
      </c>
      <c r="S11" s="87"/>
      <c r="T11" s="90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</row>
    <row r="12" spans="1:42" ht="23.25" customHeight="1">
      <c r="A12" s="220"/>
      <c r="B12" s="32" t="s">
        <v>25</v>
      </c>
      <c r="C12" s="32" t="s">
        <v>26</v>
      </c>
      <c r="D12" s="25">
        <v>0</v>
      </c>
      <c r="E12" s="30">
        <v>1</v>
      </c>
      <c r="F12" s="27">
        <v>0</v>
      </c>
      <c r="G12" s="86">
        <v>0</v>
      </c>
      <c r="H12" s="25">
        <v>6</v>
      </c>
      <c r="I12" s="26">
        <v>4</v>
      </c>
      <c r="J12" s="27">
        <v>210</v>
      </c>
      <c r="K12" s="86">
        <v>362</v>
      </c>
      <c r="L12" s="25">
        <v>6</v>
      </c>
      <c r="M12" s="26">
        <v>26</v>
      </c>
      <c r="N12" s="27">
        <v>4</v>
      </c>
      <c r="O12" s="86">
        <v>2</v>
      </c>
      <c r="P12" s="25">
        <v>28</v>
      </c>
      <c r="Q12" s="26">
        <v>0</v>
      </c>
      <c r="R12" s="27">
        <v>23</v>
      </c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</row>
    <row r="13" spans="1:42" ht="6" customHeight="1">
      <c r="A13" s="221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3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</row>
    <row r="14" spans="1:42" ht="25.5" customHeight="1">
      <c r="A14" s="218" t="s">
        <v>27</v>
      </c>
      <c r="B14" s="16" t="s">
        <v>11</v>
      </c>
      <c r="C14" s="16" t="s">
        <v>12</v>
      </c>
      <c r="D14" s="17">
        <v>0</v>
      </c>
      <c r="E14" s="34">
        <v>0</v>
      </c>
      <c r="F14" s="19">
        <v>1</v>
      </c>
      <c r="G14" s="84">
        <v>0</v>
      </c>
      <c r="H14" s="17">
        <v>0</v>
      </c>
      <c r="I14" s="18">
        <v>0</v>
      </c>
      <c r="J14" s="19">
        <v>0</v>
      </c>
      <c r="K14" s="84">
        <v>0</v>
      </c>
      <c r="L14" s="17">
        <v>0</v>
      </c>
      <c r="M14" s="18">
        <v>0</v>
      </c>
      <c r="N14" s="19">
        <v>0</v>
      </c>
      <c r="O14" s="84">
        <v>1</v>
      </c>
      <c r="P14" s="17">
        <v>0</v>
      </c>
      <c r="Q14" s="18">
        <v>0</v>
      </c>
      <c r="R14" s="19">
        <v>0</v>
      </c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</row>
    <row r="15" spans="1:42" ht="25.5" customHeight="1">
      <c r="A15" s="219"/>
      <c r="B15" s="24" t="s">
        <v>28</v>
      </c>
      <c r="C15" s="24" t="s">
        <v>29</v>
      </c>
      <c r="D15" s="25">
        <v>22</v>
      </c>
      <c r="E15" s="92">
        <v>72</v>
      </c>
      <c r="F15" s="27">
        <v>39</v>
      </c>
      <c r="G15" s="86">
        <v>138</v>
      </c>
      <c r="H15" s="25">
        <v>162</v>
      </c>
      <c r="I15" s="26">
        <v>249</v>
      </c>
      <c r="J15" s="27">
        <v>878</v>
      </c>
      <c r="K15" s="86">
        <v>707</v>
      </c>
      <c r="L15" s="25">
        <v>851</v>
      </c>
      <c r="M15" s="26">
        <v>179</v>
      </c>
      <c r="N15" s="27">
        <v>147</v>
      </c>
      <c r="O15" s="86">
        <v>741</v>
      </c>
      <c r="P15" s="25">
        <v>1045</v>
      </c>
      <c r="Q15" s="26">
        <v>76</v>
      </c>
      <c r="R15" s="27">
        <v>266</v>
      </c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</row>
    <row r="16" spans="1:42" ht="22.5" customHeight="1">
      <c r="A16" s="219"/>
      <c r="B16" s="16" t="s">
        <v>15</v>
      </c>
      <c r="C16" s="16" t="s">
        <v>16</v>
      </c>
      <c r="D16" s="88">
        <v>1</v>
      </c>
      <c r="E16" s="93">
        <v>1</v>
      </c>
      <c r="F16" s="19">
        <v>3</v>
      </c>
      <c r="G16" s="84">
        <v>1</v>
      </c>
      <c r="H16" s="17">
        <v>3</v>
      </c>
      <c r="I16" s="18">
        <v>9</v>
      </c>
      <c r="J16" s="19">
        <v>0</v>
      </c>
      <c r="K16" s="84">
        <v>0</v>
      </c>
      <c r="L16" s="17">
        <v>0</v>
      </c>
      <c r="M16" s="18">
        <v>2</v>
      </c>
      <c r="N16" s="19">
        <v>0</v>
      </c>
      <c r="O16" s="84">
        <v>0</v>
      </c>
      <c r="P16" s="17">
        <v>6</v>
      </c>
      <c r="Q16" s="18">
        <v>0</v>
      </c>
      <c r="R16" s="19">
        <v>0</v>
      </c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</row>
    <row r="17" spans="1:42" ht="24" customHeight="1">
      <c r="A17" s="219"/>
      <c r="B17" s="24" t="s">
        <v>17</v>
      </c>
      <c r="C17" s="24" t="s">
        <v>18</v>
      </c>
      <c r="D17" s="89">
        <v>10</v>
      </c>
      <c r="E17" s="92">
        <v>3</v>
      </c>
      <c r="F17" s="27">
        <v>26</v>
      </c>
      <c r="G17" s="86">
        <v>1</v>
      </c>
      <c r="H17" s="25">
        <v>0</v>
      </c>
      <c r="I17" s="26">
        <v>9</v>
      </c>
      <c r="J17" s="27">
        <v>0</v>
      </c>
      <c r="K17" s="86">
        <v>0</v>
      </c>
      <c r="L17" s="25">
        <v>0</v>
      </c>
      <c r="M17" s="26">
        <v>92</v>
      </c>
      <c r="N17" s="27">
        <v>1</v>
      </c>
      <c r="O17" s="86">
        <v>0</v>
      </c>
      <c r="P17" s="25">
        <v>0</v>
      </c>
      <c r="Q17" s="26">
        <v>5</v>
      </c>
      <c r="R17" s="27">
        <v>0</v>
      </c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</row>
    <row r="18" spans="1:42" ht="25.5" customHeight="1">
      <c r="A18" s="219"/>
      <c r="B18" s="16" t="s">
        <v>19</v>
      </c>
      <c r="C18" s="16" t="s">
        <v>20</v>
      </c>
      <c r="D18" s="88">
        <v>23</v>
      </c>
      <c r="E18" s="93">
        <v>19</v>
      </c>
      <c r="F18" s="19">
        <v>77</v>
      </c>
      <c r="G18" s="84">
        <v>8</v>
      </c>
      <c r="H18" s="17">
        <v>12</v>
      </c>
      <c r="I18" s="18">
        <v>12</v>
      </c>
      <c r="J18" s="19">
        <v>120</v>
      </c>
      <c r="K18" s="84">
        <v>87</v>
      </c>
      <c r="L18" s="17">
        <v>49</v>
      </c>
      <c r="M18" s="18">
        <v>8</v>
      </c>
      <c r="N18" s="19">
        <v>223</v>
      </c>
      <c r="O18" s="84">
        <v>105</v>
      </c>
      <c r="P18" s="17">
        <v>58</v>
      </c>
      <c r="Q18" s="18">
        <v>15</v>
      </c>
      <c r="R18" s="19">
        <v>48</v>
      </c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</row>
    <row r="19" spans="1:42" ht="25.5" customHeight="1">
      <c r="A19" s="219"/>
      <c r="B19" s="24" t="s">
        <v>21</v>
      </c>
      <c r="C19" s="24" t="s">
        <v>22</v>
      </c>
      <c r="D19" s="89">
        <v>9</v>
      </c>
      <c r="E19" s="94">
        <v>91</v>
      </c>
      <c r="F19" s="27">
        <v>492</v>
      </c>
      <c r="G19" s="86">
        <v>582</v>
      </c>
      <c r="H19" s="25">
        <v>321</v>
      </c>
      <c r="I19" s="26">
        <v>614</v>
      </c>
      <c r="J19" s="27">
        <v>2518</v>
      </c>
      <c r="K19" s="86">
        <v>1050</v>
      </c>
      <c r="L19" s="25">
        <v>1916</v>
      </c>
      <c r="M19" s="26">
        <v>1786</v>
      </c>
      <c r="N19" s="31">
        <f>126+90</f>
        <v>216</v>
      </c>
      <c r="O19" s="86">
        <v>493</v>
      </c>
      <c r="P19" s="25">
        <v>754</v>
      </c>
      <c r="Q19" s="26">
        <v>306</v>
      </c>
      <c r="R19" s="27">
        <f>128+69+15</f>
        <v>212</v>
      </c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</row>
    <row r="20" spans="1:42" ht="26.25" customHeight="1">
      <c r="A20" s="219"/>
      <c r="B20" s="16" t="s">
        <v>23</v>
      </c>
      <c r="C20" s="16" t="s">
        <v>24</v>
      </c>
      <c r="D20" s="17">
        <v>0</v>
      </c>
      <c r="E20" s="95">
        <v>5</v>
      </c>
      <c r="F20" s="19">
        <v>3</v>
      </c>
      <c r="G20" s="84">
        <v>2</v>
      </c>
      <c r="H20" s="17">
        <v>3</v>
      </c>
      <c r="I20" s="18">
        <v>1</v>
      </c>
      <c r="J20" s="19">
        <v>0</v>
      </c>
      <c r="K20" s="84">
        <v>0</v>
      </c>
      <c r="L20" s="17">
        <v>5</v>
      </c>
      <c r="M20" s="18">
        <v>0</v>
      </c>
      <c r="N20" s="19">
        <v>2</v>
      </c>
      <c r="O20" s="84">
        <v>0</v>
      </c>
      <c r="P20" s="17">
        <v>6</v>
      </c>
      <c r="Q20" s="18">
        <v>0</v>
      </c>
      <c r="R20" s="19">
        <v>1</v>
      </c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</row>
    <row r="21" spans="1:42" ht="22.5" customHeight="1">
      <c r="A21" s="220"/>
      <c r="B21" s="32" t="s">
        <v>25</v>
      </c>
      <c r="C21" s="32" t="s">
        <v>26</v>
      </c>
      <c r="D21" s="89">
        <v>7</v>
      </c>
      <c r="E21" s="92">
        <v>1</v>
      </c>
      <c r="F21" s="27">
        <v>23</v>
      </c>
      <c r="G21" s="86">
        <v>36</v>
      </c>
      <c r="H21" s="25">
        <v>36</v>
      </c>
      <c r="I21" s="26">
        <v>28</v>
      </c>
      <c r="J21" s="27">
        <v>0</v>
      </c>
      <c r="K21" s="86">
        <v>107</v>
      </c>
      <c r="L21" s="25">
        <v>137</v>
      </c>
      <c r="M21" s="26">
        <v>74</v>
      </c>
      <c r="N21" s="27">
        <v>64</v>
      </c>
      <c r="O21" s="86">
        <v>27</v>
      </c>
      <c r="P21" s="25">
        <v>7</v>
      </c>
      <c r="Q21" s="26">
        <v>3</v>
      </c>
      <c r="R21" s="27">
        <f>10+141</f>
        <v>151</v>
      </c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</row>
    <row r="22" spans="1:42" ht="6" customHeight="1">
      <c r="A22" s="221"/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3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</row>
    <row r="23" spans="1:42" ht="25.5" customHeight="1">
      <c r="A23" s="224" t="s">
        <v>30</v>
      </c>
      <c r="B23" s="38" t="s">
        <v>11</v>
      </c>
      <c r="C23" s="38" t="s">
        <v>12</v>
      </c>
      <c r="D23" s="21">
        <f t="shared" ref="D23:R23" si="0">SUM(D5+D14)</f>
        <v>0</v>
      </c>
      <c r="E23" s="22">
        <f t="shared" si="0"/>
        <v>0</v>
      </c>
      <c r="F23" s="39">
        <f t="shared" si="0"/>
        <v>3</v>
      </c>
      <c r="G23" s="40">
        <f t="shared" si="0"/>
        <v>0</v>
      </c>
      <c r="H23" s="21">
        <f t="shared" si="0"/>
        <v>0</v>
      </c>
      <c r="I23" s="22">
        <f t="shared" si="0"/>
        <v>0</v>
      </c>
      <c r="J23" s="39">
        <f t="shared" si="0"/>
        <v>8</v>
      </c>
      <c r="K23" s="40">
        <f t="shared" si="0"/>
        <v>0</v>
      </c>
      <c r="L23" s="21">
        <f t="shared" si="0"/>
        <v>1</v>
      </c>
      <c r="M23" s="22">
        <f t="shared" si="0"/>
        <v>0</v>
      </c>
      <c r="N23" s="39">
        <f t="shared" si="0"/>
        <v>0</v>
      </c>
      <c r="O23" s="96">
        <f t="shared" si="0"/>
        <v>1</v>
      </c>
      <c r="P23" s="29">
        <f t="shared" si="0"/>
        <v>2</v>
      </c>
      <c r="Q23" s="30">
        <f t="shared" si="0"/>
        <v>4</v>
      </c>
      <c r="R23" s="41">
        <f t="shared" si="0"/>
        <v>1</v>
      </c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</row>
    <row r="24" spans="1:42" ht="24.75" customHeight="1">
      <c r="A24" s="219"/>
      <c r="B24" s="24" t="s">
        <v>13</v>
      </c>
      <c r="C24" s="24" t="s">
        <v>14</v>
      </c>
      <c r="D24" s="46">
        <f t="shared" ref="D24:R24" si="1">SUM(D6)</f>
        <v>0</v>
      </c>
      <c r="E24" s="30">
        <f t="shared" si="1"/>
        <v>0</v>
      </c>
      <c r="F24" s="41">
        <f t="shared" si="1"/>
        <v>0</v>
      </c>
      <c r="G24" s="96">
        <f t="shared" si="1"/>
        <v>2</v>
      </c>
      <c r="H24" s="29">
        <f t="shared" si="1"/>
        <v>1</v>
      </c>
      <c r="I24" s="30">
        <f t="shared" si="1"/>
        <v>2</v>
      </c>
      <c r="J24" s="41">
        <f t="shared" si="1"/>
        <v>3</v>
      </c>
      <c r="K24" s="96">
        <f t="shared" si="1"/>
        <v>0</v>
      </c>
      <c r="L24" s="29">
        <f t="shared" si="1"/>
        <v>1</v>
      </c>
      <c r="M24" s="30">
        <f t="shared" si="1"/>
        <v>3</v>
      </c>
      <c r="N24" s="41">
        <f t="shared" si="1"/>
        <v>1</v>
      </c>
      <c r="O24" s="96">
        <f t="shared" si="1"/>
        <v>0</v>
      </c>
      <c r="P24" s="29">
        <f t="shared" si="1"/>
        <v>0</v>
      </c>
      <c r="Q24" s="30">
        <f t="shared" si="1"/>
        <v>0</v>
      </c>
      <c r="R24" s="41">
        <f t="shared" si="1"/>
        <v>0</v>
      </c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</row>
    <row r="25" spans="1:42" ht="23.25" customHeight="1">
      <c r="A25" s="219"/>
      <c r="B25" s="38" t="s">
        <v>28</v>
      </c>
      <c r="C25" s="38" t="s">
        <v>29</v>
      </c>
      <c r="D25" s="17">
        <f t="shared" ref="D25:R25" si="2">D15</f>
        <v>22</v>
      </c>
      <c r="E25" s="22">
        <f t="shared" si="2"/>
        <v>72</v>
      </c>
      <c r="F25" s="39">
        <f t="shared" si="2"/>
        <v>39</v>
      </c>
      <c r="G25" s="40">
        <f t="shared" si="2"/>
        <v>138</v>
      </c>
      <c r="H25" s="21">
        <f t="shared" si="2"/>
        <v>162</v>
      </c>
      <c r="I25" s="22">
        <f t="shared" si="2"/>
        <v>249</v>
      </c>
      <c r="J25" s="39">
        <f t="shared" si="2"/>
        <v>878</v>
      </c>
      <c r="K25" s="40">
        <f t="shared" si="2"/>
        <v>707</v>
      </c>
      <c r="L25" s="21">
        <f t="shared" si="2"/>
        <v>851</v>
      </c>
      <c r="M25" s="22">
        <f t="shared" si="2"/>
        <v>179</v>
      </c>
      <c r="N25" s="39">
        <f t="shared" si="2"/>
        <v>147</v>
      </c>
      <c r="O25" s="96">
        <f t="shared" si="2"/>
        <v>741</v>
      </c>
      <c r="P25" s="29">
        <f t="shared" si="2"/>
        <v>1045</v>
      </c>
      <c r="Q25" s="30">
        <f t="shared" si="2"/>
        <v>76</v>
      </c>
      <c r="R25" s="41">
        <f t="shared" si="2"/>
        <v>266</v>
      </c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</row>
    <row r="26" spans="1:42" ht="22.5" customHeight="1">
      <c r="A26" s="219"/>
      <c r="B26" s="24" t="s">
        <v>15</v>
      </c>
      <c r="C26" s="24" t="s">
        <v>16</v>
      </c>
      <c r="D26" s="29">
        <f t="shared" ref="D26:R26" si="3">SUM(D7+D16)</f>
        <v>2</v>
      </c>
      <c r="E26" s="30">
        <f t="shared" si="3"/>
        <v>3</v>
      </c>
      <c r="F26" s="41">
        <f t="shared" si="3"/>
        <v>11</v>
      </c>
      <c r="G26" s="42">
        <f t="shared" si="3"/>
        <v>5</v>
      </c>
      <c r="H26" s="29">
        <f t="shared" si="3"/>
        <v>11</v>
      </c>
      <c r="I26" s="30">
        <f t="shared" si="3"/>
        <v>15</v>
      </c>
      <c r="J26" s="41">
        <f t="shared" si="3"/>
        <v>0</v>
      </c>
      <c r="K26" s="42">
        <f t="shared" si="3"/>
        <v>0</v>
      </c>
      <c r="L26" s="29">
        <f t="shared" si="3"/>
        <v>14</v>
      </c>
      <c r="M26" s="30">
        <f t="shared" si="3"/>
        <v>6</v>
      </c>
      <c r="N26" s="41">
        <f t="shared" si="3"/>
        <v>3</v>
      </c>
      <c r="O26" s="96">
        <f t="shared" si="3"/>
        <v>2</v>
      </c>
      <c r="P26" s="29">
        <f t="shared" si="3"/>
        <v>10</v>
      </c>
      <c r="Q26" s="30">
        <f t="shared" si="3"/>
        <v>0</v>
      </c>
      <c r="R26" s="41">
        <f t="shared" si="3"/>
        <v>0</v>
      </c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</row>
    <row r="27" spans="1:42" ht="24.75" customHeight="1">
      <c r="A27" s="219"/>
      <c r="B27" s="38" t="s">
        <v>17</v>
      </c>
      <c r="C27" s="38" t="s">
        <v>18</v>
      </c>
      <c r="D27" s="21">
        <f t="shared" ref="D27:R27" si="4">SUM(D8+D17)</f>
        <v>10</v>
      </c>
      <c r="E27" s="22">
        <f t="shared" si="4"/>
        <v>6</v>
      </c>
      <c r="F27" s="39">
        <f t="shared" si="4"/>
        <v>31</v>
      </c>
      <c r="G27" s="40">
        <f t="shared" si="4"/>
        <v>3</v>
      </c>
      <c r="H27" s="21">
        <f t="shared" si="4"/>
        <v>2</v>
      </c>
      <c r="I27" s="22">
        <f t="shared" si="4"/>
        <v>11</v>
      </c>
      <c r="J27" s="39">
        <f t="shared" si="4"/>
        <v>0</v>
      </c>
      <c r="K27" s="40">
        <f t="shared" si="4"/>
        <v>5</v>
      </c>
      <c r="L27" s="21">
        <f t="shared" si="4"/>
        <v>0</v>
      </c>
      <c r="M27" s="22">
        <f t="shared" si="4"/>
        <v>127</v>
      </c>
      <c r="N27" s="39">
        <f t="shared" si="4"/>
        <v>3</v>
      </c>
      <c r="O27" s="96">
        <f t="shared" si="4"/>
        <v>0</v>
      </c>
      <c r="P27" s="29">
        <f t="shared" si="4"/>
        <v>0</v>
      </c>
      <c r="Q27" s="30">
        <f t="shared" si="4"/>
        <v>14</v>
      </c>
      <c r="R27" s="41">
        <f t="shared" si="4"/>
        <v>2</v>
      </c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</row>
    <row r="28" spans="1:42" ht="24.75" customHeight="1">
      <c r="A28" s="219"/>
      <c r="B28" s="24" t="s">
        <v>19</v>
      </c>
      <c r="C28" s="24" t="s">
        <v>20</v>
      </c>
      <c r="D28" s="29">
        <f t="shared" ref="D28:R28" si="5">SUM(D9+D18)</f>
        <v>32</v>
      </c>
      <c r="E28" s="30">
        <f t="shared" si="5"/>
        <v>21</v>
      </c>
      <c r="F28" s="41">
        <f t="shared" si="5"/>
        <v>88</v>
      </c>
      <c r="G28" s="42">
        <f t="shared" si="5"/>
        <v>26</v>
      </c>
      <c r="H28" s="29">
        <f t="shared" si="5"/>
        <v>60</v>
      </c>
      <c r="I28" s="30">
        <f t="shared" si="5"/>
        <v>49</v>
      </c>
      <c r="J28" s="41">
        <f t="shared" si="5"/>
        <v>193</v>
      </c>
      <c r="K28" s="42">
        <f t="shared" si="5"/>
        <v>276</v>
      </c>
      <c r="L28" s="29">
        <f t="shared" si="5"/>
        <v>57</v>
      </c>
      <c r="M28" s="30">
        <f t="shared" si="5"/>
        <v>14</v>
      </c>
      <c r="N28" s="41">
        <f t="shared" si="5"/>
        <v>321</v>
      </c>
      <c r="O28" s="96">
        <f t="shared" si="5"/>
        <v>165</v>
      </c>
      <c r="P28" s="29">
        <f t="shared" si="5"/>
        <v>112</v>
      </c>
      <c r="Q28" s="30">
        <f t="shared" si="5"/>
        <v>48</v>
      </c>
      <c r="R28" s="41">
        <f t="shared" si="5"/>
        <v>91</v>
      </c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</row>
    <row r="29" spans="1:42" ht="25.5" customHeight="1">
      <c r="A29" s="219"/>
      <c r="B29" s="38" t="s">
        <v>21</v>
      </c>
      <c r="C29" s="38" t="s">
        <v>22</v>
      </c>
      <c r="D29" s="21">
        <f t="shared" ref="D29:H29" si="6">SUM(D10+D19)</f>
        <v>10</v>
      </c>
      <c r="E29" s="22">
        <f t="shared" si="6"/>
        <v>148</v>
      </c>
      <c r="F29" s="39">
        <f t="shared" si="6"/>
        <v>511</v>
      </c>
      <c r="G29" s="40">
        <f t="shared" si="6"/>
        <v>646</v>
      </c>
      <c r="H29" s="21">
        <f t="shared" si="6"/>
        <v>387</v>
      </c>
      <c r="I29" s="18">
        <v>685</v>
      </c>
      <c r="J29" s="39">
        <f t="shared" ref="J29:R29" si="7">SUM(J10+J19)</f>
        <v>2930</v>
      </c>
      <c r="K29" s="40">
        <f t="shared" si="7"/>
        <v>1836</v>
      </c>
      <c r="L29" s="21">
        <f t="shared" si="7"/>
        <v>2077</v>
      </c>
      <c r="M29" s="22">
        <f t="shared" si="7"/>
        <v>1834</v>
      </c>
      <c r="N29" s="39">
        <f t="shared" si="7"/>
        <v>278</v>
      </c>
      <c r="O29" s="96">
        <f t="shared" si="7"/>
        <v>717</v>
      </c>
      <c r="P29" s="29">
        <f t="shared" si="7"/>
        <v>840</v>
      </c>
      <c r="Q29" s="30">
        <f t="shared" si="7"/>
        <v>337</v>
      </c>
      <c r="R29" s="41">
        <f t="shared" si="7"/>
        <v>255</v>
      </c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</row>
    <row r="30" spans="1:42" ht="21.75" customHeight="1">
      <c r="A30" s="219"/>
      <c r="B30" s="24" t="s">
        <v>23</v>
      </c>
      <c r="C30" s="24" t="s">
        <v>24</v>
      </c>
      <c r="D30" s="29">
        <f t="shared" ref="D30:R30" si="8">SUM(D11+D20)</f>
        <v>0</v>
      </c>
      <c r="E30" s="30">
        <f t="shared" si="8"/>
        <v>6</v>
      </c>
      <c r="F30" s="41">
        <f t="shared" si="8"/>
        <v>3</v>
      </c>
      <c r="G30" s="42">
        <f t="shared" si="8"/>
        <v>2</v>
      </c>
      <c r="H30" s="29">
        <f t="shared" si="8"/>
        <v>6</v>
      </c>
      <c r="I30" s="30">
        <f t="shared" si="8"/>
        <v>5</v>
      </c>
      <c r="J30" s="41">
        <f t="shared" si="8"/>
        <v>19</v>
      </c>
      <c r="K30" s="42">
        <f t="shared" si="8"/>
        <v>4</v>
      </c>
      <c r="L30" s="29">
        <f t="shared" si="8"/>
        <v>5</v>
      </c>
      <c r="M30" s="30">
        <f t="shared" si="8"/>
        <v>4</v>
      </c>
      <c r="N30" s="41">
        <f t="shared" si="8"/>
        <v>3</v>
      </c>
      <c r="O30" s="96">
        <f t="shared" si="8"/>
        <v>0</v>
      </c>
      <c r="P30" s="29">
        <f t="shared" si="8"/>
        <v>9</v>
      </c>
      <c r="Q30" s="30">
        <f t="shared" si="8"/>
        <v>0</v>
      </c>
      <c r="R30" s="41">
        <f t="shared" si="8"/>
        <v>4</v>
      </c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</row>
    <row r="31" spans="1:42" ht="24.75" customHeight="1">
      <c r="A31" s="220"/>
      <c r="B31" s="43" t="s">
        <v>25</v>
      </c>
      <c r="C31" s="43" t="s">
        <v>26</v>
      </c>
      <c r="D31" s="21">
        <f t="shared" ref="D31:R31" si="9">SUM(D12+D21)</f>
        <v>7</v>
      </c>
      <c r="E31" s="22">
        <f t="shared" si="9"/>
        <v>2</v>
      </c>
      <c r="F31" s="39">
        <f t="shared" si="9"/>
        <v>23</v>
      </c>
      <c r="G31" s="40">
        <f t="shared" si="9"/>
        <v>36</v>
      </c>
      <c r="H31" s="21">
        <f t="shared" si="9"/>
        <v>42</v>
      </c>
      <c r="I31" s="22">
        <f t="shared" si="9"/>
        <v>32</v>
      </c>
      <c r="J31" s="39">
        <f t="shared" si="9"/>
        <v>210</v>
      </c>
      <c r="K31" s="40">
        <f t="shared" si="9"/>
        <v>469</v>
      </c>
      <c r="L31" s="21">
        <f t="shared" si="9"/>
        <v>143</v>
      </c>
      <c r="M31" s="22">
        <f t="shared" si="9"/>
        <v>100</v>
      </c>
      <c r="N31" s="39">
        <f t="shared" si="9"/>
        <v>68</v>
      </c>
      <c r="O31" s="96">
        <f t="shared" si="9"/>
        <v>29</v>
      </c>
      <c r="P31" s="29">
        <f t="shared" si="9"/>
        <v>35</v>
      </c>
      <c r="Q31" s="30">
        <f t="shared" si="9"/>
        <v>3</v>
      </c>
      <c r="R31" s="41">
        <f t="shared" si="9"/>
        <v>174</v>
      </c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</row>
    <row r="32" spans="1:42" ht="15" customHeight="1">
      <c r="A32" s="44"/>
      <c r="B32" s="44"/>
      <c r="C32" s="45" t="s">
        <v>30</v>
      </c>
      <c r="D32" s="46">
        <f t="shared" ref="D32:R32" si="10">SUM(D23:D31)</f>
        <v>83</v>
      </c>
      <c r="E32" s="47">
        <f t="shared" si="10"/>
        <v>258</v>
      </c>
      <c r="F32" s="48">
        <f t="shared" si="10"/>
        <v>709</v>
      </c>
      <c r="G32" s="49">
        <f t="shared" si="10"/>
        <v>858</v>
      </c>
      <c r="H32" s="46">
        <f t="shared" si="10"/>
        <v>671</v>
      </c>
      <c r="I32" s="47">
        <f t="shared" si="10"/>
        <v>1048</v>
      </c>
      <c r="J32" s="48">
        <f t="shared" si="10"/>
        <v>4241</v>
      </c>
      <c r="K32" s="49">
        <f t="shared" si="10"/>
        <v>3297</v>
      </c>
      <c r="L32" s="46">
        <f t="shared" si="10"/>
        <v>3149</v>
      </c>
      <c r="M32" s="47">
        <f t="shared" si="10"/>
        <v>2267</v>
      </c>
      <c r="N32" s="48">
        <f t="shared" si="10"/>
        <v>824</v>
      </c>
      <c r="O32" s="49">
        <f t="shared" si="10"/>
        <v>1655</v>
      </c>
      <c r="P32" s="46">
        <f t="shared" si="10"/>
        <v>2053</v>
      </c>
      <c r="Q32" s="47">
        <f t="shared" si="10"/>
        <v>482</v>
      </c>
      <c r="R32" s="48">
        <f t="shared" si="10"/>
        <v>793</v>
      </c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</row>
    <row r="33" spans="1:42" ht="15" customHeight="1">
      <c r="A33" s="50"/>
      <c r="B33" s="50"/>
      <c r="C33" s="45" t="s">
        <v>31</v>
      </c>
      <c r="D33" s="51">
        <f t="shared" ref="D33:R33" si="11">D32*40</f>
        <v>3320</v>
      </c>
      <c r="E33" s="52">
        <f t="shared" si="11"/>
        <v>10320</v>
      </c>
      <c r="F33" s="53">
        <f t="shared" si="11"/>
        <v>28360</v>
      </c>
      <c r="G33" s="54">
        <f t="shared" si="11"/>
        <v>34320</v>
      </c>
      <c r="H33" s="51">
        <f t="shared" si="11"/>
        <v>26840</v>
      </c>
      <c r="I33" s="52">
        <f t="shared" si="11"/>
        <v>41920</v>
      </c>
      <c r="J33" s="53">
        <f t="shared" si="11"/>
        <v>169640</v>
      </c>
      <c r="K33" s="54">
        <f t="shared" si="11"/>
        <v>131880</v>
      </c>
      <c r="L33" s="51">
        <f t="shared" si="11"/>
        <v>125960</v>
      </c>
      <c r="M33" s="52">
        <f t="shared" si="11"/>
        <v>90680</v>
      </c>
      <c r="N33" s="53">
        <f t="shared" si="11"/>
        <v>32960</v>
      </c>
      <c r="O33" s="54">
        <f t="shared" si="11"/>
        <v>66200</v>
      </c>
      <c r="P33" s="51">
        <f t="shared" si="11"/>
        <v>82120</v>
      </c>
      <c r="Q33" s="52">
        <f t="shared" si="11"/>
        <v>19280</v>
      </c>
      <c r="R33" s="53">
        <f t="shared" si="11"/>
        <v>31720</v>
      </c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</row>
    <row r="34" spans="1:42" ht="31.5" customHeight="1">
      <c r="A34" s="50"/>
      <c r="C34" s="98" t="s">
        <v>53</v>
      </c>
      <c r="D34" s="99"/>
      <c r="E34" s="99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</row>
    <row r="35" spans="1:42" ht="15.75" customHeight="1">
      <c r="A35" s="50"/>
      <c r="D35" s="5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</row>
    <row r="36" spans="1:42" ht="15.75" customHeight="1">
      <c r="A36" s="50"/>
      <c r="B36" s="57" t="s">
        <v>32</v>
      </c>
      <c r="C36" s="58"/>
      <c r="D36" s="55"/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</row>
    <row r="37" spans="1:42" ht="15.75" customHeight="1">
      <c r="A37" s="50"/>
      <c r="B37" s="59" t="s">
        <v>33</v>
      </c>
      <c r="C37" s="60" t="s">
        <v>54</v>
      </c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</row>
    <row r="38" spans="1:42" ht="15" customHeight="1">
      <c r="A38" s="50"/>
      <c r="B38" s="59" t="s">
        <v>34</v>
      </c>
      <c r="C38" s="60" t="s">
        <v>55</v>
      </c>
      <c r="D38" s="55"/>
      <c r="E38" s="55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</row>
    <row r="39" spans="1:42" ht="15" customHeight="1">
      <c r="A39" s="50"/>
      <c r="B39" s="59" t="s">
        <v>35</v>
      </c>
      <c r="C39" s="60" t="s">
        <v>56</v>
      </c>
      <c r="D39" s="55"/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</row>
    <row r="40" spans="1:42" ht="15" customHeight="1">
      <c r="A40" s="50"/>
      <c r="B40" s="59" t="s">
        <v>36</v>
      </c>
      <c r="C40" s="60" t="s">
        <v>57</v>
      </c>
      <c r="D40" s="55"/>
      <c r="E40" s="55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</row>
    <row r="41" spans="1:42" ht="15" customHeight="1">
      <c r="A41" s="50"/>
      <c r="B41" s="50"/>
      <c r="C41" s="50"/>
      <c r="D41" s="55"/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</row>
    <row r="42" spans="1:42" ht="23.25" customHeight="1">
      <c r="A42" s="50"/>
      <c r="B42" s="50"/>
      <c r="C42" s="50"/>
      <c r="D42" s="237">
        <v>2022</v>
      </c>
      <c r="E42" s="222"/>
      <c r="F42" s="222"/>
      <c r="G42" s="223"/>
      <c r="H42" s="234">
        <v>2023</v>
      </c>
      <c r="I42" s="222"/>
      <c r="J42" s="222"/>
      <c r="K42" s="223"/>
      <c r="L42" s="234">
        <v>2024</v>
      </c>
      <c r="M42" s="222"/>
      <c r="N42" s="222"/>
      <c r="O42" s="223"/>
      <c r="P42" s="234">
        <v>2024</v>
      </c>
      <c r="Q42" s="222"/>
      <c r="R42" s="223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</row>
    <row r="43" spans="1:42" ht="14.25" customHeight="1">
      <c r="A43" s="50"/>
      <c r="B43" s="50"/>
      <c r="C43" s="50"/>
      <c r="D43" s="103" t="s">
        <v>58</v>
      </c>
      <c r="E43" s="104" t="s">
        <v>59</v>
      </c>
      <c r="F43" s="105" t="s">
        <v>60</v>
      </c>
      <c r="G43" s="106" t="s">
        <v>61</v>
      </c>
      <c r="H43" s="107" t="s">
        <v>62</v>
      </c>
      <c r="I43" s="104" t="s">
        <v>63</v>
      </c>
      <c r="J43" s="105" t="s">
        <v>64</v>
      </c>
      <c r="K43" s="106" t="s">
        <v>65</v>
      </c>
      <c r="L43" s="107" t="s">
        <v>66</v>
      </c>
      <c r="M43" s="104" t="s">
        <v>67</v>
      </c>
      <c r="N43" s="105" t="s">
        <v>68</v>
      </c>
      <c r="O43" s="106" t="s">
        <v>69</v>
      </c>
      <c r="P43" s="107" t="s">
        <v>66</v>
      </c>
      <c r="Q43" s="104" t="s">
        <v>67</v>
      </c>
      <c r="R43" s="105" t="s">
        <v>68</v>
      </c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</row>
    <row r="44" spans="1:42" ht="14.25" customHeight="1">
      <c r="C44" s="38" t="s">
        <v>11</v>
      </c>
      <c r="D44" s="109">
        <f t="shared" ref="D44:R44" si="12">D23*40</f>
        <v>0</v>
      </c>
      <c r="E44" s="109">
        <f t="shared" si="12"/>
        <v>0</v>
      </c>
      <c r="F44" s="109">
        <f t="shared" si="12"/>
        <v>120</v>
      </c>
      <c r="G44" s="109">
        <f t="shared" si="12"/>
        <v>0</v>
      </c>
      <c r="H44" s="109">
        <f t="shared" si="12"/>
        <v>0</v>
      </c>
      <c r="I44" s="109">
        <f t="shared" si="12"/>
        <v>0</v>
      </c>
      <c r="J44" s="109">
        <f t="shared" si="12"/>
        <v>320</v>
      </c>
      <c r="K44" s="109">
        <f t="shared" si="12"/>
        <v>0</v>
      </c>
      <c r="L44" s="109">
        <f t="shared" si="12"/>
        <v>40</v>
      </c>
      <c r="M44" s="109">
        <f t="shared" si="12"/>
        <v>0</v>
      </c>
      <c r="N44" s="109">
        <f t="shared" si="12"/>
        <v>0</v>
      </c>
      <c r="O44" s="109">
        <f t="shared" si="12"/>
        <v>40</v>
      </c>
      <c r="P44" s="109">
        <f t="shared" si="12"/>
        <v>80</v>
      </c>
      <c r="Q44" s="109">
        <f t="shared" si="12"/>
        <v>160</v>
      </c>
      <c r="R44" s="109">
        <f t="shared" si="12"/>
        <v>40</v>
      </c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</row>
    <row r="45" spans="1:42" ht="14.25" customHeight="1">
      <c r="C45" s="24" t="s">
        <v>13</v>
      </c>
      <c r="D45" s="109">
        <f t="shared" ref="D45:R45" si="13">D24*40</f>
        <v>0</v>
      </c>
      <c r="E45" s="109">
        <f t="shared" si="13"/>
        <v>0</v>
      </c>
      <c r="F45" s="109">
        <f t="shared" si="13"/>
        <v>0</v>
      </c>
      <c r="G45" s="109">
        <f t="shared" si="13"/>
        <v>80</v>
      </c>
      <c r="H45" s="109">
        <f t="shared" si="13"/>
        <v>40</v>
      </c>
      <c r="I45" s="109">
        <f t="shared" si="13"/>
        <v>80</v>
      </c>
      <c r="J45" s="109">
        <f t="shared" si="13"/>
        <v>120</v>
      </c>
      <c r="K45" s="109">
        <f t="shared" si="13"/>
        <v>0</v>
      </c>
      <c r="L45" s="109">
        <f t="shared" si="13"/>
        <v>40</v>
      </c>
      <c r="M45" s="109">
        <f t="shared" si="13"/>
        <v>120</v>
      </c>
      <c r="N45" s="109">
        <f t="shared" si="13"/>
        <v>40</v>
      </c>
      <c r="O45" s="109">
        <f t="shared" si="13"/>
        <v>0</v>
      </c>
      <c r="P45" s="109">
        <f t="shared" si="13"/>
        <v>0</v>
      </c>
      <c r="Q45" s="109">
        <f t="shared" si="13"/>
        <v>0</v>
      </c>
      <c r="R45" s="109">
        <f t="shared" si="13"/>
        <v>0</v>
      </c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</row>
    <row r="46" spans="1:42" ht="14.25" customHeight="1">
      <c r="C46" s="38" t="s">
        <v>28</v>
      </c>
      <c r="D46" s="109">
        <f t="shared" ref="D46:R46" si="14">D25*40</f>
        <v>880</v>
      </c>
      <c r="E46" s="109">
        <f t="shared" si="14"/>
        <v>2880</v>
      </c>
      <c r="F46" s="109">
        <f t="shared" si="14"/>
        <v>1560</v>
      </c>
      <c r="G46" s="109">
        <f t="shared" si="14"/>
        <v>5520</v>
      </c>
      <c r="H46" s="109">
        <f t="shared" si="14"/>
        <v>6480</v>
      </c>
      <c r="I46" s="109">
        <f t="shared" si="14"/>
        <v>9960</v>
      </c>
      <c r="J46" s="109">
        <f t="shared" si="14"/>
        <v>35120</v>
      </c>
      <c r="K46" s="109">
        <f t="shared" si="14"/>
        <v>28280</v>
      </c>
      <c r="L46" s="109">
        <f t="shared" si="14"/>
        <v>34040</v>
      </c>
      <c r="M46" s="109">
        <f t="shared" si="14"/>
        <v>7160</v>
      </c>
      <c r="N46" s="109">
        <f t="shared" si="14"/>
        <v>5880</v>
      </c>
      <c r="O46" s="109">
        <f t="shared" si="14"/>
        <v>29640</v>
      </c>
      <c r="P46" s="109">
        <f t="shared" si="14"/>
        <v>41800</v>
      </c>
      <c r="Q46" s="109">
        <f t="shared" si="14"/>
        <v>3040</v>
      </c>
      <c r="R46" s="109">
        <f t="shared" si="14"/>
        <v>10640</v>
      </c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</row>
    <row r="47" spans="1:42" ht="14.25" customHeight="1">
      <c r="C47" s="24" t="s">
        <v>15</v>
      </c>
      <c r="D47" s="109">
        <f t="shared" ref="D47:R47" si="15">D26*40</f>
        <v>80</v>
      </c>
      <c r="E47" s="109">
        <f t="shared" si="15"/>
        <v>120</v>
      </c>
      <c r="F47" s="109">
        <f t="shared" si="15"/>
        <v>440</v>
      </c>
      <c r="G47" s="109">
        <f t="shared" si="15"/>
        <v>200</v>
      </c>
      <c r="H47" s="109">
        <f t="shared" si="15"/>
        <v>440</v>
      </c>
      <c r="I47" s="109">
        <f t="shared" si="15"/>
        <v>600</v>
      </c>
      <c r="J47" s="109">
        <f t="shared" si="15"/>
        <v>0</v>
      </c>
      <c r="K47" s="109">
        <f t="shared" si="15"/>
        <v>0</v>
      </c>
      <c r="L47" s="109">
        <f t="shared" si="15"/>
        <v>560</v>
      </c>
      <c r="M47" s="109">
        <f t="shared" si="15"/>
        <v>240</v>
      </c>
      <c r="N47" s="109">
        <f t="shared" si="15"/>
        <v>120</v>
      </c>
      <c r="O47" s="109">
        <f t="shared" si="15"/>
        <v>80</v>
      </c>
      <c r="P47" s="109">
        <f t="shared" si="15"/>
        <v>400</v>
      </c>
      <c r="Q47" s="109">
        <f t="shared" si="15"/>
        <v>0</v>
      </c>
      <c r="R47" s="109">
        <f t="shared" si="15"/>
        <v>0</v>
      </c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</row>
    <row r="48" spans="1:42" ht="14.25" customHeight="1">
      <c r="C48" s="38" t="s">
        <v>17</v>
      </c>
      <c r="D48" s="109">
        <f t="shared" ref="D48:R48" si="16">D27*40</f>
        <v>400</v>
      </c>
      <c r="E48" s="109">
        <f t="shared" si="16"/>
        <v>240</v>
      </c>
      <c r="F48" s="109">
        <f t="shared" si="16"/>
        <v>1240</v>
      </c>
      <c r="G48" s="109">
        <f t="shared" si="16"/>
        <v>120</v>
      </c>
      <c r="H48" s="109">
        <f t="shared" si="16"/>
        <v>80</v>
      </c>
      <c r="I48" s="109">
        <f t="shared" si="16"/>
        <v>440</v>
      </c>
      <c r="J48" s="109">
        <f t="shared" si="16"/>
        <v>0</v>
      </c>
      <c r="K48" s="109">
        <f t="shared" si="16"/>
        <v>200</v>
      </c>
      <c r="L48" s="109">
        <f t="shared" si="16"/>
        <v>0</v>
      </c>
      <c r="M48" s="109">
        <f t="shared" si="16"/>
        <v>5080</v>
      </c>
      <c r="N48" s="109">
        <f t="shared" si="16"/>
        <v>120</v>
      </c>
      <c r="O48" s="109">
        <f t="shared" si="16"/>
        <v>0</v>
      </c>
      <c r="P48" s="109">
        <f t="shared" si="16"/>
        <v>0</v>
      </c>
      <c r="Q48" s="109">
        <f t="shared" si="16"/>
        <v>560</v>
      </c>
      <c r="R48" s="109">
        <f t="shared" si="16"/>
        <v>80</v>
      </c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</row>
    <row r="49" spans="3:42" ht="14.25" customHeight="1">
      <c r="C49" s="24" t="s">
        <v>19</v>
      </c>
      <c r="D49" s="109">
        <f t="shared" ref="D49:R49" si="17">D28*40</f>
        <v>1280</v>
      </c>
      <c r="E49" s="109">
        <f t="shared" si="17"/>
        <v>840</v>
      </c>
      <c r="F49" s="109">
        <f t="shared" si="17"/>
        <v>3520</v>
      </c>
      <c r="G49" s="109">
        <f t="shared" si="17"/>
        <v>1040</v>
      </c>
      <c r="H49" s="109">
        <f t="shared" si="17"/>
        <v>2400</v>
      </c>
      <c r="I49" s="109">
        <f t="shared" si="17"/>
        <v>1960</v>
      </c>
      <c r="J49" s="109">
        <f t="shared" si="17"/>
        <v>7720</v>
      </c>
      <c r="K49" s="109">
        <f t="shared" si="17"/>
        <v>11040</v>
      </c>
      <c r="L49" s="109">
        <f t="shared" si="17"/>
        <v>2280</v>
      </c>
      <c r="M49" s="109">
        <f t="shared" si="17"/>
        <v>560</v>
      </c>
      <c r="N49" s="109">
        <f t="shared" si="17"/>
        <v>12840</v>
      </c>
      <c r="O49" s="109">
        <f t="shared" si="17"/>
        <v>6600</v>
      </c>
      <c r="P49" s="109">
        <f t="shared" si="17"/>
        <v>4480</v>
      </c>
      <c r="Q49" s="109">
        <f t="shared" si="17"/>
        <v>1920</v>
      </c>
      <c r="R49" s="109">
        <f t="shared" si="17"/>
        <v>3640</v>
      </c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</row>
    <row r="50" spans="3:42" ht="14.25" customHeight="1">
      <c r="C50" s="38" t="s">
        <v>21</v>
      </c>
      <c r="D50" s="109">
        <f t="shared" ref="D50:R50" si="18">D29*40</f>
        <v>400</v>
      </c>
      <c r="E50" s="109">
        <f t="shared" si="18"/>
        <v>5920</v>
      </c>
      <c r="F50" s="109">
        <f t="shared" si="18"/>
        <v>20440</v>
      </c>
      <c r="G50" s="109">
        <f t="shared" si="18"/>
        <v>25840</v>
      </c>
      <c r="H50" s="109">
        <f t="shared" si="18"/>
        <v>15480</v>
      </c>
      <c r="I50" s="109">
        <f t="shared" si="18"/>
        <v>27400</v>
      </c>
      <c r="J50" s="109">
        <f t="shared" si="18"/>
        <v>117200</v>
      </c>
      <c r="K50" s="109">
        <f t="shared" si="18"/>
        <v>73440</v>
      </c>
      <c r="L50" s="109">
        <f t="shared" si="18"/>
        <v>83080</v>
      </c>
      <c r="M50" s="109">
        <f t="shared" si="18"/>
        <v>73360</v>
      </c>
      <c r="N50" s="109">
        <f t="shared" si="18"/>
        <v>11120</v>
      </c>
      <c r="O50" s="109">
        <f t="shared" si="18"/>
        <v>28680</v>
      </c>
      <c r="P50" s="109">
        <f t="shared" si="18"/>
        <v>33600</v>
      </c>
      <c r="Q50" s="109">
        <f t="shared" si="18"/>
        <v>13480</v>
      </c>
      <c r="R50" s="109">
        <f t="shared" si="18"/>
        <v>10200</v>
      </c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</row>
    <row r="51" spans="3:42" ht="14.25" customHeight="1">
      <c r="C51" s="24" t="s">
        <v>23</v>
      </c>
      <c r="D51" s="109">
        <f t="shared" ref="D51:R51" si="19">D30*40</f>
        <v>0</v>
      </c>
      <c r="E51" s="109">
        <f t="shared" si="19"/>
        <v>240</v>
      </c>
      <c r="F51" s="109">
        <f t="shared" si="19"/>
        <v>120</v>
      </c>
      <c r="G51" s="109">
        <f t="shared" si="19"/>
        <v>80</v>
      </c>
      <c r="H51" s="109">
        <f t="shared" si="19"/>
        <v>240</v>
      </c>
      <c r="I51" s="109">
        <f t="shared" si="19"/>
        <v>200</v>
      </c>
      <c r="J51" s="109">
        <f t="shared" si="19"/>
        <v>760</v>
      </c>
      <c r="K51" s="109">
        <f t="shared" si="19"/>
        <v>160</v>
      </c>
      <c r="L51" s="109">
        <f t="shared" si="19"/>
        <v>200</v>
      </c>
      <c r="M51" s="109">
        <f t="shared" si="19"/>
        <v>160</v>
      </c>
      <c r="N51" s="109">
        <f t="shared" si="19"/>
        <v>120</v>
      </c>
      <c r="O51" s="109">
        <f t="shared" si="19"/>
        <v>0</v>
      </c>
      <c r="P51" s="109">
        <f t="shared" si="19"/>
        <v>360</v>
      </c>
      <c r="Q51" s="109">
        <f t="shared" si="19"/>
        <v>0</v>
      </c>
      <c r="R51" s="109">
        <f t="shared" si="19"/>
        <v>160</v>
      </c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</row>
    <row r="52" spans="3:42" ht="14.25" customHeight="1">
      <c r="C52" s="43" t="s">
        <v>25</v>
      </c>
      <c r="D52" s="109">
        <f t="shared" ref="D52:R52" si="20">D31*40</f>
        <v>280</v>
      </c>
      <c r="E52" s="109">
        <f t="shared" si="20"/>
        <v>80</v>
      </c>
      <c r="F52" s="109">
        <f t="shared" si="20"/>
        <v>920</v>
      </c>
      <c r="G52" s="109">
        <f t="shared" si="20"/>
        <v>1440</v>
      </c>
      <c r="H52" s="109">
        <f t="shared" si="20"/>
        <v>1680</v>
      </c>
      <c r="I52" s="109">
        <f t="shared" si="20"/>
        <v>1280</v>
      </c>
      <c r="J52" s="109">
        <f t="shared" si="20"/>
        <v>8400</v>
      </c>
      <c r="K52" s="109">
        <f t="shared" si="20"/>
        <v>18760</v>
      </c>
      <c r="L52" s="109">
        <f t="shared" si="20"/>
        <v>5720</v>
      </c>
      <c r="M52" s="109">
        <f t="shared" si="20"/>
        <v>4000</v>
      </c>
      <c r="N52" s="109">
        <f t="shared" si="20"/>
        <v>2720</v>
      </c>
      <c r="O52" s="109">
        <f t="shared" si="20"/>
        <v>1160</v>
      </c>
      <c r="P52" s="109">
        <f t="shared" si="20"/>
        <v>1400</v>
      </c>
      <c r="Q52" s="109">
        <f t="shared" si="20"/>
        <v>120</v>
      </c>
      <c r="R52" s="109">
        <f t="shared" si="20"/>
        <v>6960</v>
      </c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</row>
    <row r="53" spans="3:42" ht="14.25" customHeight="1"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</row>
    <row r="54" spans="3:42" ht="14.25" customHeight="1"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</row>
    <row r="55" spans="3:42" ht="14.25" customHeight="1">
      <c r="C55" s="110" t="s">
        <v>70</v>
      </c>
      <c r="D55" s="111"/>
      <c r="E55" s="111"/>
      <c r="F55" s="111"/>
      <c r="G55" s="111"/>
      <c r="H55" s="111"/>
      <c r="I55" s="111">
        <f>SUM(H46:K46)</f>
        <v>79840</v>
      </c>
      <c r="J55" s="111"/>
      <c r="K55" s="235">
        <f>SUM(K46:N46)</f>
        <v>75360</v>
      </c>
      <c r="L55" s="222"/>
      <c r="M55" s="222"/>
      <c r="N55" s="223"/>
      <c r="O55" s="111"/>
      <c r="P55" s="111"/>
      <c r="Q55" s="111"/>
      <c r="R55" s="111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</row>
    <row r="56" spans="3:42" ht="14.25" customHeight="1"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</row>
    <row r="57" spans="3:42" ht="14.25" customHeight="1"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</row>
    <row r="58" spans="3:42" ht="14.25" customHeight="1"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</row>
    <row r="59" spans="3:42" ht="14.25" customHeight="1"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</row>
    <row r="60" spans="3:42" ht="14.25" customHeight="1"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</row>
    <row r="61" spans="3:42" ht="14.25" customHeight="1"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</row>
    <row r="62" spans="3:42" ht="14.25" customHeight="1"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</row>
    <row r="63" spans="3:42" ht="14.25" customHeight="1"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</row>
    <row r="64" spans="3:42" ht="14.25" customHeight="1"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</row>
    <row r="65" spans="4:42" ht="14.25" customHeight="1"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</row>
    <row r="66" spans="4:42" ht="14.25" customHeight="1"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</row>
    <row r="67" spans="4:42" ht="14.25" customHeight="1"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</row>
    <row r="68" spans="4:42" ht="14.25" customHeight="1"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</row>
    <row r="69" spans="4:42" ht="14.25" customHeight="1"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</row>
    <row r="70" spans="4:42" ht="14.25" customHeight="1"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</row>
    <row r="71" spans="4:42" ht="14.25" customHeight="1"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</row>
    <row r="72" spans="4:42" ht="14.25" customHeight="1"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</row>
    <row r="73" spans="4:42" ht="14.25" customHeight="1"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</row>
    <row r="74" spans="4:42" ht="14.25" customHeight="1"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</row>
    <row r="75" spans="4:42" ht="14.25" customHeight="1"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</row>
    <row r="76" spans="4:42" ht="14.25" customHeight="1"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</row>
    <row r="77" spans="4:42" ht="14.25" customHeight="1"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</row>
    <row r="78" spans="4:42" ht="14.25" customHeight="1"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</row>
    <row r="79" spans="4:42" ht="14.25" customHeight="1"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</row>
    <row r="80" spans="4:42" ht="14.25" customHeight="1"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</row>
    <row r="81" spans="4:42" ht="14.25" customHeight="1"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</row>
    <row r="82" spans="4:42" ht="14.25" customHeight="1"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</row>
    <row r="83" spans="4:42" ht="14.25" customHeight="1"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</row>
    <row r="84" spans="4:42" ht="14.25" customHeight="1"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</row>
    <row r="85" spans="4:42" ht="14.25" customHeight="1"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</row>
    <row r="86" spans="4:42" ht="14.25" customHeight="1"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</row>
    <row r="87" spans="4:42" ht="14.25" customHeight="1"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</row>
    <row r="88" spans="4:42" ht="14.25" customHeight="1"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</row>
    <row r="89" spans="4:42" ht="14.25" customHeight="1"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</row>
    <row r="90" spans="4:42" ht="14.25" customHeight="1"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</row>
    <row r="91" spans="4:42" ht="14.25" customHeight="1"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</row>
    <row r="92" spans="4:42" ht="14.25" customHeight="1"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</row>
    <row r="93" spans="4:42" ht="14.25" customHeight="1"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</row>
    <row r="94" spans="4:42" ht="14.25" customHeight="1"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</row>
    <row r="95" spans="4:42" ht="14.25" customHeight="1"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</row>
    <row r="96" spans="4:42" ht="14.25" customHeight="1"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</row>
    <row r="97" spans="4:42" ht="14.25" customHeight="1"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</row>
    <row r="98" spans="4:42" ht="14.25" customHeight="1"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</row>
    <row r="99" spans="4:42" ht="14.25" customHeight="1"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</row>
    <row r="100" spans="4:42" ht="14.25" customHeight="1"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</row>
    <row r="101" spans="4:42" ht="14.25" customHeight="1"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</row>
    <row r="102" spans="4:42" ht="14.25" customHeight="1"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</row>
    <row r="103" spans="4:42" ht="14.25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</row>
    <row r="104" spans="4:42" ht="14.25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</row>
    <row r="105" spans="4:42" ht="14.25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</row>
    <row r="106" spans="4:42" ht="14.25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</row>
    <row r="107" spans="4:42" ht="14.25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</row>
    <row r="108" spans="4:42" ht="14.25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</row>
    <row r="109" spans="4:42" ht="14.25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</row>
    <row r="110" spans="4:42" ht="14.25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</row>
    <row r="111" spans="4:42" ht="14.25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</row>
    <row r="112" spans="4:42" ht="14.25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</row>
    <row r="113" spans="4:7" ht="14.25" customHeight="1">
      <c r="D113" s="61"/>
      <c r="E113" s="62"/>
      <c r="F113" s="63"/>
      <c r="G113" s="64"/>
    </row>
    <row r="114" spans="4:7" ht="14.25" customHeight="1">
      <c r="D114" s="61"/>
      <c r="E114" s="62"/>
      <c r="F114" s="63"/>
      <c r="G114" s="64"/>
    </row>
    <row r="115" spans="4:7" ht="14.25" customHeight="1">
      <c r="D115" s="61"/>
      <c r="E115" s="62"/>
      <c r="F115" s="63"/>
      <c r="G115" s="64"/>
    </row>
    <row r="116" spans="4:7" ht="14.25" customHeight="1">
      <c r="D116" s="61"/>
      <c r="E116" s="62"/>
      <c r="F116" s="63"/>
      <c r="G116" s="64"/>
    </row>
    <row r="117" spans="4:7" ht="14.25" customHeight="1">
      <c r="D117" s="61"/>
      <c r="E117" s="62"/>
      <c r="F117" s="63"/>
      <c r="G117" s="64"/>
    </row>
    <row r="118" spans="4:7" ht="14.25" customHeight="1">
      <c r="D118" s="61"/>
      <c r="E118" s="62"/>
      <c r="F118" s="63"/>
      <c r="G118" s="64"/>
    </row>
    <row r="119" spans="4:7" ht="14.25" customHeight="1">
      <c r="D119" s="61"/>
      <c r="E119" s="62"/>
      <c r="F119" s="63"/>
      <c r="G119" s="64"/>
    </row>
    <row r="120" spans="4:7" ht="14.25" customHeight="1">
      <c r="D120" s="61"/>
      <c r="E120" s="62"/>
      <c r="F120" s="63"/>
      <c r="G120" s="64"/>
    </row>
    <row r="121" spans="4:7" ht="14.25" customHeight="1">
      <c r="D121" s="61"/>
      <c r="E121" s="62"/>
      <c r="F121" s="63"/>
      <c r="G121" s="64"/>
    </row>
    <row r="122" spans="4:7" ht="14.25" customHeight="1">
      <c r="D122" s="61"/>
      <c r="E122" s="62"/>
      <c r="F122" s="63"/>
      <c r="G122" s="64"/>
    </row>
    <row r="123" spans="4:7" ht="14.25" customHeight="1">
      <c r="D123" s="61"/>
      <c r="E123" s="62"/>
      <c r="F123" s="63"/>
      <c r="G123" s="64"/>
    </row>
    <row r="124" spans="4:7" ht="14.25" customHeight="1">
      <c r="D124" s="61"/>
      <c r="E124" s="62"/>
      <c r="F124" s="63"/>
      <c r="G124" s="64"/>
    </row>
    <row r="125" spans="4:7" ht="14.25" customHeight="1">
      <c r="D125" s="61"/>
      <c r="E125" s="62"/>
      <c r="F125" s="63"/>
      <c r="G125" s="64"/>
    </row>
    <row r="126" spans="4:7" ht="14.25" customHeight="1">
      <c r="D126" s="61"/>
      <c r="E126" s="62"/>
      <c r="F126" s="63"/>
      <c r="G126" s="64"/>
    </row>
    <row r="127" spans="4:7" ht="14.25" customHeight="1">
      <c r="D127" s="61"/>
      <c r="E127" s="62"/>
      <c r="F127" s="63"/>
      <c r="G127" s="64"/>
    </row>
    <row r="128" spans="4:7" ht="14.25" customHeight="1">
      <c r="D128" s="61"/>
      <c r="E128" s="62"/>
      <c r="F128" s="63"/>
      <c r="G128" s="64"/>
    </row>
    <row r="129" spans="4:7" ht="14.25" customHeight="1">
      <c r="D129" s="61"/>
      <c r="E129" s="62"/>
      <c r="F129" s="63"/>
      <c r="G129" s="64"/>
    </row>
    <row r="130" spans="4:7" ht="14.25" customHeight="1">
      <c r="D130" s="61"/>
      <c r="E130" s="62"/>
      <c r="F130" s="63"/>
      <c r="G130" s="64"/>
    </row>
    <row r="131" spans="4:7" ht="14.25" customHeight="1">
      <c r="D131" s="61"/>
      <c r="E131" s="62"/>
      <c r="F131" s="63"/>
      <c r="G131" s="64"/>
    </row>
    <row r="132" spans="4:7" ht="14.25" customHeight="1">
      <c r="D132" s="61"/>
      <c r="E132" s="62"/>
      <c r="F132" s="63"/>
      <c r="G132" s="64"/>
    </row>
    <row r="133" spans="4:7" ht="14.25" customHeight="1">
      <c r="D133" s="61"/>
      <c r="E133" s="62"/>
      <c r="F133" s="63"/>
      <c r="G133" s="64"/>
    </row>
    <row r="134" spans="4:7" ht="14.25" customHeight="1">
      <c r="D134" s="61"/>
      <c r="E134" s="62"/>
      <c r="F134" s="63"/>
      <c r="G134" s="64"/>
    </row>
    <row r="135" spans="4:7" ht="14.25" customHeight="1">
      <c r="D135" s="61"/>
      <c r="E135" s="62"/>
      <c r="F135" s="63"/>
      <c r="G135" s="64"/>
    </row>
    <row r="136" spans="4:7" ht="14.25" customHeight="1">
      <c r="D136" s="61"/>
      <c r="E136" s="62"/>
      <c r="F136" s="63"/>
      <c r="G136" s="64"/>
    </row>
    <row r="137" spans="4:7" ht="14.25" customHeight="1">
      <c r="D137" s="61"/>
      <c r="E137" s="62"/>
      <c r="F137" s="63"/>
      <c r="G137" s="64"/>
    </row>
    <row r="138" spans="4:7" ht="14.25" customHeight="1">
      <c r="D138" s="61"/>
      <c r="E138" s="62"/>
      <c r="F138" s="63"/>
      <c r="G138" s="64"/>
    </row>
    <row r="139" spans="4:7" ht="14.25" customHeight="1">
      <c r="D139" s="61"/>
      <c r="E139" s="62"/>
      <c r="F139" s="63"/>
      <c r="G139" s="64"/>
    </row>
    <row r="140" spans="4:7" ht="14.25" customHeight="1">
      <c r="D140" s="61"/>
      <c r="E140" s="62"/>
      <c r="F140" s="63"/>
      <c r="G140" s="64"/>
    </row>
    <row r="141" spans="4:7" ht="14.25" customHeight="1">
      <c r="D141" s="61"/>
      <c r="E141" s="62"/>
      <c r="F141" s="63"/>
      <c r="G141" s="64"/>
    </row>
    <row r="142" spans="4:7" ht="14.25" customHeight="1">
      <c r="D142" s="61"/>
      <c r="E142" s="62"/>
      <c r="F142" s="63"/>
      <c r="G142" s="64"/>
    </row>
    <row r="143" spans="4:7" ht="14.25" customHeight="1">
      <c r="D143" s="61"/>
      <c r="E143" s="62"/>
      <c r="F143" s="63"/>
      <c r="G143" s="64"/>
    </row>
    <row r="144" spans="4:7" ht="14.25" customHeight="1">
      <c r="D144" s="61"/>
      <c r="E144" s="62"/>
      <c r="F144" s="63"/>
      <c r="G144" s="64"/>
    </row>
    <row r="145" spans="4:7" ht="14.25" customHeight="1">
      <c r="D145" s="61"/>
      <c r="E145" s="62"/>
      <c r="F145" s="63"/>
      <c r="G145" s="64"/>
    </row>
    <row r="146" spans="4:7" ht="14.25" customHeight="1">
      <c r="D146" s="61"/>
      <c r="E146" s="62"/>
      <c r="F146" s="63"/>
      <c r="G146" s="64"/>
    </row>
    <row r="147" spans="4:7" ht="14.25" customHeight="1">
      <c r="D147" s="61"/>
      <c r="E147" s="62"/>
      <c r="F147" s="63"/>
      <c r="G147" s="64"/>
    </row>
    <row r="148" spans="4:7" ht="14.25" customHeight="1">
      <c r="D148" s="61"/>
      <c r="E148" s="62"/>
      <c r="F148" s="63"/>
      <c r="G148" s="64"/>
    </row>
    <row r="149" spans="4:7" ht="14.25" customHeight="1">
      <c r="D149" s="61"/>
      <c r="E149" s="62"/>
      <c r="F149" s="63"/>
      <c r="G149" s="64"/>
    </row>
    <row r="150" spans="4:7" ht="14.25" customHeight="1">
      <c r="D150" s="61"/>
      <c r="E150" s="62"/>
      <c r="F150" s="63"/>
      <c r="G150" s="64"/>
    </row>
    <row r="151" spans="4:7" ht="14.25" customHeight="1">
      <c r="D151" s="61"/>
      <c r="E151" s="62"/>
      <c r="F151" s="63"/>
      <c r="G151" s="64"/>
    </row>
    <row r="152" spans="4:7" ht="14.25" customHeight="1">
      <c r="D152" s="61"/>
      <c r="E152" s="62"/>
      <c r="F152" s="63"/>
      <c r="G152" s="64"/>
    </row>
    <row r="153" spans="4:7" ht="14.25" customHeight="1">
      <c r="D153" s="61"/>
      <c r="E153" s="62"/>
      <c r="F153" s="63"/>
      <c r="G153" s="64"/>
    </row>
    <row r="154" spans="4:7" ht="14.25" customHeight="1">
      <c r="D154" s="61"/>
      <c r="E154" s="62"/>
      <c r="F154" s="63"/>
      <c r="G154" s="64"/>
    </row>
    <row r="155" spans="4:7" ht="14.25" customHeight="1">
      <c r="D155" s="61"/>
      <c r="E155" s="62"/>
      <c r="F155" s="63"/>
      <c r="G155" s="64"/>
    </row>
    <row r="156" spans="4:7" ht="14.25" customHeight="1">
      <c r="D156" s="61"/>
      <c r="E156" s="62"/>
      <c r="F156" s="63"/>
      <c r="G156" s="64"/>
    </row>
    <row r="157" spans="4:7" ht="14.25" customHeight="1">
      <c r="D157" s="61"/>
      <c r="E157" s="62"/>
      <c r="F157" s="63"/>
      <c r="G157" s="64"/>
    </row>
    <row r="158" spans="4:7" ht="14.25" customHeight="1">
      <c r="D158" s="61"/>
      <c r="E158" s="62"/>
      <c r="F158" s="63"/>
      <c r="G158" s="64"/>
    </row>
    <row r="159" spans="4:7" ht="14.25" customHeight="1">
      <c r="D159" s="61"/>
      <c r="E159" s="62"/>
      <c r="F159" s="63"/>
      <c r="G159" s="64"/>
    </row>
    <row r="160" spans="4:7" ht="14.25" customHeight="1">
      <c r="D160" s="61"/>
      <c r="E160" s="62"/>
      <c r="F160" s="63"/>
      <c r="G160" s="64"/>
    </row>
    <row r="161" spans="4:7" ht="14.25" customHeight="1">
      <c r="D161" s="61"/>
      <c r="E161" s="62"/>
      <c r="F161" s="63"/>
      <c r="G161" s="64"/>
    </row>
    <row r="162" spans="4:7" ht="14.25" customHeight="1">
      <c r="D162" s="61"/>
      <c r="E162" s="62"/>
      <c r="F162" s="63"/>
      <c r="G162" s="64"/>
    </row>
    <row r="163" spans="4:7" ht="14.25" customHeight="1">
      <c r="D163" s="61"/>
      <c r="E163" s="62"/>
      <c r="F163" s="63"/>
      <c r="G163" s="64"/>
    </row>
    <row r="164" spans="4:7" ht="14.25" customHeight="1">
      <c r="D164" s="61"/>
      <c r="E164" s="62"/>
      <c r="F164" s="63"/>
      <c r="G164" s="64"/>
    </row>
    <row r="165" spans="4:7" ht="14.25" customHeight="1">
      <c r="D165" s="61"/>
      <c r="E165" s="62"/>
      <c r="F165" s="63"/>
      <c r="G165" s="64"/>
    </row>
    <row r="166" spans="4:7" ht="14.25" customHeight="1">
      <c r="D166" s="61"/>
      <c r="E166" s="62"/>
      <c r="F166" s="63"/>
      <c r="G166" s="64"/>
    </row>
    <row r="167" spans="4:7" ht="14.25" customHeight="1">
      <c r="D167" s="61"/>
      <c r="E167" s="62"/>
      <c r="F167" s="63"/>
      <c r="G167" s="64"/>
    </row>
    <row r="168" spans="4:7" ht="14.25" customHeight="1">
      <c r="D168" s="61"/>
      <c r="E168" s="62"/>
      <c r="F168" s="63"/>
      <c r="G168" s="64"/>
    </row>
    <row r="169" spans="4:7" ht="14.25" customHeight="1">
      <c r="D169" s="61"/>
      <c r="E169" s="62"/>
      <c r="F169" s="63"/>
      <c r="G169" s="64"/>
    </row>
    <row r="170" spans="4:7" ht="14.25" customHeight="1">
      <c r="D170" s="61"/>
      <c r="E170" s="62"/>
      <c r="F170" s="63"/>
      <c r="G170" s="64"/>
    </row>
    <row r="171" spans="4:7" ht="14.25" customHeight="1">
      <c r="D171" s="61"/>
      <c r="E171" s="62"/>
      <c r="F171" s="63"/>
      <c r="G171" s="64"/>
    </row>
    <row r="172" spans="4:7" ht="14.25" customHeight="1">
      <c r="D172" s="61"/>
      <c r="E172" s="62"/>
      <c r="F172" s="63"/>
      <c r="G172" s="64"/>
    </row>
    <row r="173" spans="4:7" ht="14.25" customHeight="1">
      <c r="D173" s="61"/>
      <c r="E173" s="62"/>
      <c r="F173" s="63"/>
      <c r="G173" s="64"/>
    </row>
    <row r="174" spans="4:7" ht="14.25" customHeight="1">
      <c r="D174" s="61"/>
      <c r="E174" s="62"/>
      <c r="F174" s="63"/>
      <c r="G174" s="64"/>
    </row>
    <row r="175" spans="4:7" ht="14.25" customHeight="1">
      <c r="D175" s="61"/>
      <c r="E175" s="62"/>
      <c r="F175" s="63"/>
      <c r="G175" s="64"/>
    </row>
    <row r="176" spans="4:7" ht="14.25" customHeight="1">
      <c r="D176" s="61"/>
      <c r="E176" s="62"/>
      <c r="F176" s="63"/>
      <c r="G176" s="64"/>
    </row>
    <row r="177" spans="4:7" ht="14.25" customHeight="1">
      <c r="D177" s="61"/>
      <c r="E177" s="62"/>
      <c r="F177" s="63"/>
      <c r="G177" s="64"/>
    </row>
    <row r="178" spans="4:7" ht="14.25" customHeight="1">
      <c r="D178" s="61"/>
      <c r="E178" s="62"/>
      <c r="F178" s="63"/>
      <c r="G178" s="64"/>
    </row>
    <row r="179" spans="4:7" ht="14.25" customHeight="1">
      <c r="D179" s="61"/>
      <c r="E179" s="62"/>
      <c r="F179" s="63"/>
      <c r="G179" s="64"/>
    </row>
    <row r="180" spans="4:7" ht="14.25" customHeight="1">
      <c r="D180" s="61"/>
      <c r="E180" s="62"/>
      <c r="F180" s="63"/>
      <c r="G180" s="64"/>
    </row>
    <row r="181" spans="4:7" ht="14.25" customHeight="1">
      <c r="D181" s="61"/>
      <c r="E181" s="62"/>
      <c r="F181" s="63"/>
      <c r="G181" s="64"/>
    </row>
    <row r="182" spans="4:7" ht="14.25" customHeight="1">
      <c r="D182" s="61"/>
      <c r="E182" s="62"/>
      <c r="F182" s="63"/>
      <c r="G182" s="64"/>
    </row>
    <row r="183" spans="4:7" ht="14.25" customHeight="1">
      <c r="D183" s="61"/>
      <c r="E183" s="62"/>
      <c r="F183" s="63"/>
      <c r="G183" s="64"/>
    </row>
    <row r="184" spans="4:7" ht="14.25" customHeight="1">
      <c r="D184" s="61"/>
      <c r="E184" s="62"/>
      <c r="F184" s="63"/>
      <c r="G184" s="64"/>
    </row>
    <row r="185" spans="4:7" ht="14.25" customHeight="1">
      <c r="D185" s="61"/>
      <c r="E185" s="62"/>
      <c r="F185" s="63"/>
      <c r="G185" s="64"/>
    </row>
    <row r="186" spans="4:7" ht="14.25" customHeight="1">
      <c r="D186" s="61"/>
      <c r="E186" s="62"/>
      <c r="F186" s="63"/>
      <c r="G186" s="64"/>
    </row>
    <row r="187" spans="4:7" ht="14.25" customHeight="1">
      <c r="D187" s="61"/>
      <c r="E187" s="62"/>
      <c r="F187" s="63"/>
      <c r="G187" s="64"/>
    </row>
    <row r="188" spans="4:7" ht="14.25" customHeight="1">
      <c r="D188" s="61"/>
      <c r="E188" s="62"/>
      <c r="F188" s="63"/>
      <c r="G188" s="64"/>
    </row>
    <row r="189" spans="4:7" ht="14.25" customHeight="1">
      <c r="D189" s="61"/>
      <c r="E189" s="62"/>
      <c r="F189" s="63"/>
      <c r="G189" s="64"/>
    </row>
    <row r="190" spans="4:7" ht="14.25" customHeight="1">
      <c r="D190" s="61"/>
      <c r="E190" s="62"/>
      <c r="F190" s="63"/>
      <c r="G190" s="64"/>
    </row>
    <row r="191" spans="4:7" ht="14.25" customHeight="1">
      <c r="D191" s="61"/>
      <c r="E191" s="62"/>
      <c r="F191" s="63"/>
      <c r="G191" s="64"/>
    </row>
    <row r="192" spans="4:7" ht="14.25" customHeight="1">
      <c r="D192" s="61"/>
      <c r="E192" s="62"/>
      <c r="F192" s="63"/>
      <c r="G192" s="64"/>
    </row>
    <row r="193" spans="4:7" ht="14.25" customHeight="1">
      <c r="D193" s="61"/>
      <c r="E193" s="62"/>
      <c r="F193" s="63"/>
      <c r="G193" s="64"/>
    </row>
    <row r="194" spans="4:7" ht="14.25" customHeight="1">
      <c r="D194" s="61"/>
      <c r="E194" s="62"/>
      <c r="F194" s="63"/>
      <c r="G194" s="64"/>
    </row>
    <row r="195" spans="4:7" ht="14.25" customHeight="1">
      <c r="D195" s="61"/>
      <c r="E195" s="62"/>
      <c r="F195" s="63"/>
      <c r="G195" s="64"/>
    </row>
    <row r="196" spans="4:7" ht="14.25" customHeight="1">
      <c r="D196" s="61"/>
      <c r="E196" s="62"/>
      <c r="F196" s="63"/>
      <c r="G196" s="64"/>
    </row>
    <row r="197" spans="4:7" ht="14.25" customHeight="1">
      <c r="D197" s="61"/>
      <c r="E197" s="62"/>
      <c r="F197" s="63"/>
      <c r="G197" s="64"/>
    </row>
    <row r="198" spans="4:7" ht="14.25" customHeight="1">
      <c r="D198" s="61"/>
      <c r="E198" s="62"/>
      <c r="F198" s="63"/>
      <c r="G198" s="64"/>
    </row>
    <row r="199" spans="4:7" ht="14.25" customHeight="1">
      <c r="D199" s="61"/>
      <c r="E199" s="62"/>
      <c r="F199" s="63"/>
      <c r="G199" s="64"/>
    </row>
    <row r="200" spans="4:7" ht="14.25" customHeight="1">
      <c r="D200" s="61"/>
      <c r="E200" s="62"/>
      <c r="F200" s="63"/>
      <c r="G200" s="64"/>
    </row>
    <row r="201" spans="4:7" ht="14.25" customHeight="1">
      <c r="D201" s="61"/>
      <c r="E201" s="62"/>
      <c r="F201" s="63"/>
      <c r="G201" s="64"/>
    </row>
    <row r="202" spans="4:7" ht="14.25" customHeight="1">
      <c r="D202" s="61"/>
      <c r="E202" s="62"/>
      <c r="F202" s="63"/>
      <c r="G202" s="64"/>
    </row>
    <row r="203" spans="4:7" ht="14.25" customHeight="1">
      <c r="D203" s="61"/>
      <c r="E203" s="62"/>
      <c r="F203" s="63"/>
      <c r="G203" s="64"/>
    </row>
    <row r="204" spans="4:7" ht="14.25" customHeight="1">
      <c r="D204" s="61"/>
      <c r="E204" s="62"/>
      <c r="F204" s="63"/>
      <c r="G204" s="64"/>
    </row>
    <row r="205" spans="4:7" ht="14.25" customHeight="1">
      <c r="D205" s="61"/>
      <c r="E205" s="62"/>
      <c r="F205" s="63"/>
      <c r="G205" s="64"/>
    </row>
    <row r="206" spans="4:7" ht="14.25" customHeight="1">
      <c r="D206" s="61"/>
      <c r="E206" s="62"/>
      <c r="F206" s="63"/>
      <c r="G206" s="64"/>
    </row>
    <row r="207" spans="4:7" ht="14.25" customHeight="1">
      <c r="D207" s="61"/>
      <c r="E207" s="62"/>
      <c r="F207" s="63"/>
      <c r="G207" s="64"/>
    </row>
    <row r="208" spans="4:7" ht="14.25" customHeight="1">
      <c r="D208" s="61"/>
      <c r="E208" s="62"/>
      <c r="F208" s="63"/>
      <c r="G208" s="64"/>
    </row>
    <row r="209" spans="4:7" ht="14.25" customHeight="1">
      <c r="D209" s="61"/>
      <c r="E209" s="62"/>
      <c r="F209" s="63"/>
      <c r="G209" s="64"/>
    </row>
    <row r="210" spans="4:7" ht="14.25" customHeight="1">
      <c r="D210" s="61"/>
      <c r="E210" s="62"/>
      <c r="F210" s="63"/>
      <c r="G210" s="64"/>
    </row>
    <row r="211" spans="4:7" ht="14.25" customHeight="1">
      <c r="D211" s="61"/>
      <c r="E211" s="62"/>
      <c r="F211" s="63"/>
      <c r="G211" s="64"/>
    </row>
    <row r="212" spans="4:7" ht="14.25" customHeight="1">
      <c r="D212" s="61"/>
      <c r="E212" s="62"/>
      <c r="F212" s="63"/>
      <c r="G212" s="64"/>
    </row>
    <row r="213" spans="4:7" ht="14.25" customHeight="1">
      <c r="D213" s="61"/>
      <c r="E213" s="62"/>
      <c r="F213" s="63"/>
      <c r="G213" s="64"/>
    </row>
    <row r="214" spans="4:7" ht="14.25" customHeight="1">
      <c r="D214" s="61"/>
      <c r="E214" s="62"/>
      <c r="F214" s="63"/>
      <c r="G214" s="64"/>
    </row>
    <row r="215" spans="4:7" ht="14.25" customHeight="1">
      <c r="D215" s="61"/>
      <c r="E215" s="62"/>
      <c r="F215" s="63"/>
      <c r="G215" s="64"/>
    </row>
    <row r="216" spans="4:7" ht="14.25" customHeight="1">
      <c r="D216" s="61"/>
      <c r="E216" s="62"/>
      <c r="F216" s="63"/>
      <c r="G216" s="64"/>
    </row>
    <row r="217" spans="4:7" ht="14.25" customHeight="1">
      <c r="D217" s="61"/>
      <c r="E217" s="62"/>
      <c r="F217" s="63"/>
      <c r="G217" s="64"/>
    </row>
    <row r="218" spans="4:7" ht="14.25" customHeight="1">
      <c r="D218" s="61"/>
      <c r="E218" s="62"/>
      <c r="F218" s="63"/>
      <c r="G218" s="64"/>
    </row>
    <row r="219" spans="4:7" ht="14.25" customHeight="1">
      <c r="D219" s="61"/>
      <c r="E219" s="62"/>
      <c r="F219" s="63"/>
      <c r="G219" s="64"/>
    </row>
    <row r="220" spans="4:7" ht="14.25" customHeight="1">
      <c r="D220" s="61"/>
      <c r="E220" s="62"/>
      <c r="F220" s="63"/>
      <c r="G220" s="64"/>
    </row>
    <row r="221" spans="4:7" ht="14.25" customHeight="1">
      <c r="D221" s="61"/>
      <c r="E221" s="62"/>
      <c r="F221" s="63"/>
      <c r="G221" s="64"/>
    </row>
    <row r="222" spans="4:7" ht="14.25" customHeight="1">
      <c r="D222" s="61"/>
      <c r="E222" s="62"/>
      <c r="F222" s="63"/>
      <c r="G222" s="64"/>
    </row>
    <row r="223" spans="4:7" ht="14.25" customHeight="1">
      <c r="D223" s="61"/>
      <c r="E223" s="62"/>
      <c r="F223" s="63"/>
      <c r="G223" s="64"/>
    </row>
    <row r="224" spans="4:7" ht="14.25" customHeight="1">
      <c r="D224" s="61"/>
      <c r="E224" s="62"/>
      <c r="F224" s="63"/>
      <c r="G224" s="64"/>
    </row>
    <row r="225" spans="4:7" ht="14.25" customHeight="1">
      <c r="D225" s="61"/>
      <c r="E225" s="62"/>
      <c r="F225" s="63"/>
      <c r="G225" s="64"/>
    </row>
    <row r="226" spans="4:7" ht="14.25" customHeight="1">
      <c r="D226" s="61"/>
      <c r="E226" s="62"/>
      <c r="F226" s="63"/>
      <c r="G226" s="64"/>
    </row>
    <row r="227" spans="4:7" ht="14.25" customHeight="1">
      <c r="D227" s="61"/>
      <c r="E227" s="62"/>
      <c r="F227" s="63"/>
      <c r="G227" s="64"/>
    </row>
    <row r="228" spans="4:7" ht="14.25" customHeight="1">
      <c r="D228" s="61"/>
      <c r="E228" s="62"/>
      <c r="F228" s="63"/>
      <c r="G228" s="64"/>
    </row>
    <row r="229" spans="4:7" ht="14.25" customHeight="1">
      <c r="D229" s="61"/>
      <c r="E229" s="62"/>
      <c r="F229" s="63"/>
      <c r="G229" s="64"/>
    </row>
    <row r="230" spans="4:7" ht="14.25" customHeight="1">
      <c r="D230" s="61"/>
      <c r="E230" s="62"/>
      <c r="F230" s="63"/>
      <c r="G230" s="64"/>
    </row>
    <row r="231" spans="4:7" ht="14.25" customHeight="1">
      <c r="D231" s="61"/>
      <c r="E231" s="62"/>
      <c r="F231" s="63"/>
      <c r="G231" s="64"/>
    </row>
    <row r="232" spans="4:7" ht="14.25" customHeight="1">
      <c r="D232" s="61"/>
      <c r="E232" s="62"/>
      <c r="F232" s="63"/>
      <c r="G232" s="64"/>
    </row>
    <row r="233" spans="4:7" ht="14.25" customHeight="1">
      <c r="D233" s="61"/>
      <c r="E233" s="62"/>
      <c r="F233" s="63"/>
      <c r="G233" s="64"/>
    </row>
    <row r="234" spans="4:7" ht="14.25" customHeight="1">
      <c r="D234" s="61"/>
      <c r="E234" s="62"/>
      <c r="F234" s="63"/>
      <c r="G234" s="64"/>
    </row>
    <row r="235" spans="4:7" ht="14.25" customHeight="1">
      <c r="D235" s="61"/>
      <c r="E235" s="62"/>
      <c r="F235" s="63"/>
      <c r="G235" s="64"/>
    </row>
    <row r="236" spans="4:7" ht="14.25" customHeight="1">
      <c r="D236" s="61"/>
      <c r="E236" s="62"/>
      <c r="F236" s="63"/>
      <c r="G236" s="64"/>
    </row>
    <row r="237" spans="4:7" ht="14.25" customHeight="1">
      <c r="D237" s="61"/>
      <c r="E237" s="62"/>
      <c r="F237" s="63"/>
      <c r="G237" s="64"/>
    </row>
    <row r="238" spans="4:7" ht="14.25" customHeight="1">
      <c r="D238" s="61"/>
      <c r="E238" s="62"/>
      <c r="F238" s="63"/>
      <c r="G238" s="64"/>
    </row>
    <row r="239" spans="4:7" ht="14.25" customHeight="1">
      <c r="D239" s="61"/>
      <c r="E239" s="62"/>
      <c r="F239" s="63"/>
      <c r="G239" s="64"/>
    </row>
    <row r="240" spans="4:7" ht="14.25" customHeight="1">
      <c r="D240" s="61"/>
      <c r="E240" s="62"/>
      <c r="F240" s="63"/>
      <c r="G240" s="64"/>
    </row>
    <row r="241" spans="4:7" ht="14.25" customHeight="1">
      <c r="D241" s="61"/>
      <c r="E241" s="62"/>
      <c r="F241" s="63"/>
      <c r="G241" s="64"/>
    </row>
    <row r="242" spans="4:7" ht="14.25" customHeight="1">
      <c r="D242" s="61"/>
      <c r="E242" s="62"/>
      <c r="F242" s="63"/>
      <c r="G242" s="64"/>
    </row>
    <row r="243" spans="4:7" ht="14.25" customHeight="1">
      <c r="D243" s="61"/>
      <c r="E243" s="62"/>
      <c r="F243" s="63"/>
      <c r="G243" s="64"/>
    </row>
    <row r="244" spans="4:7" ht="14.25" customHeight="1">
      <c r="D244" s="61"/>
      <c r="E244" s="62"/>
      <c r="F244" s="63"/>
      <c r="G244" s="64"/>
    </row>
    <row r="245" spans="4:7" ht="14.25" customHeight="1">
      <c r="D245" s="61"/>
      <c r="E245" s="62"/>
      <c r="F245" s="63"/>
      <c r="G245" s="64"/>
    </row>
    <row r="246" spans="4:7" ht="14.25" customHeight="1">
      <c r="D246" s="61"/>
      <c r="E246" s="62"/>
      <c r="F246" s="63"/>
      <c r="G246" s="64"/>
    </row>
    <row r="247" spans="4:7" ht="14.25" customHeight="1">
      <c r="D247" s="61"/>
      <c r="E247" s="62"/>
      <c r="F247" s="63"/>
      <c r="G247" s="64"/>
    </row>
    <row r="248" spans="4:7" ht="14.25" customHeight="1">
      <c r="D248" s="61"/>
      <c r="E248" s="62"/>
      <c r="F248" s="63"/>
      <c r="G248" s="64"/>
    </row>
    <row r="249" spans="4:7" ht="14.25" customHeight="1">
      <c r="D249" s="61"/>
      <c r="E249" s="62"/>
      <c r="F249" s="63"/>
      <c r="G249" s="64"/>
    </row>
    <row r="250" spans="4:7" ht="14.25" customHeight="1">
      <c r="D250" s="61"/>
      <c r="E250" s="62"/>
      <c r="F250" s="63"/>
      <c r="G250" s="64"/>
    </row>
    <row r="251" spans="4:7" ht="14.25" customHeight="1">
      <c r="D251" s="61"/>
      <c r="E251" s="62"/>
      <c r="F251" s="63"/>
      <c r="G251" s="64"/>
    </row>
    <row r="252" spans="4:7" ht="14.25" customHeight="1">
      <c r="D252" s="61"/>
      <c r="E252" s="62"/>
      <c r="F252" s="63"/>
      <c r="G252" s="64"/>
    </row>
    <row r="253" spans="4:7" ht="14.25" customHeight="1">
      <c r="D253" s="61"/>
      <c r="E253" s="62"/>
      <c r="F253" s="63"/>
      <c r="G253" s="64"/>
    </row>
    <row r="254" spans="4:7" ht="14.25" customHeight="1">
      <c r="D254" s="61"/>
      <c r="E254" s="62"/>
      <c r="F254" s="63"/>
      <c r="G254" s="64"/>
    </row>
    <row r="255" spans="4:7" ht="14.25" customHeight="1">
      <c r="D255" s="61"/>
      <c r="E255" s="62"/>
      <c r="F255" s="63"/>
      <c r="G255" s="64"/>
    </row>
    <row r="256" spans="4:7" ht="14.25" customHeight="1">
      <c r="D256" s="61"/>
      <c r="E256" s="62"/>
      <c r="F256" s="63"/>
      <c r="G256" s="64"/>
    </row>
    <row r="257" spans="4:7" ht="14.25" customHeight="1">
      <c r="D257" s="61"/>
      <c r="E257" s="62"/>
      <c r="F257" s="63"/>
      <c r="G257" s="64"/>
    </row>
    <row r="258" spans="4:7" ht="14.25" customHeight="1">
      <c r="D258" s="61"/>
      <c r="E258" s="62"/>
      <c r="F258" s="63"/>
      <c r="G258" s="64"/>
    </row>
    <row r="259" spans="4:7" ht="14.25" customHeight="1">
      <c r="D259" s="61"/>
      <c r="E259" s="62"/>
      <c r="F259" s="63"/>
      <c r="G259" s="64"/>
    </row>
    <row r="260" spans="4:7" ht="14.25" customHeight="1">
      <c r="D260" s="61"/>
      <c r="E260" s="62"/>
      <c r="F260" s="63"/>
      <c r="G260" s="64"/>
    </row>
    <row r="261" spans="4:7" ht="14.25" customHeight="1">
      <c r="D261" s="61"/>
      <c r="E261" s="62"/>
      <c r="F261" s="63"/>
      <c r="G261" s="64"/>
    </row>
    <row r="262" spans="4:7" ht="14.25" customHeight="1">
      <c r="D262" s="61"/>
      <c r="E262" s="62"/>
      <c r="F262" s="63"/>
      <c r="G262" s="64"/>
    </row>
    <row r="263" spans="4:7" ht="14.25" customHeight="1">
      <c r="D263" s="61"/>
      <c r="E263" s="62"/>
      <c r="F263" s="63"/>
      <c r="G263" s="64"/>
    </row>
    <row r="264" spans="4:7" ht="14.25" customHeight="1">
      <c r="D264" s="61"/>
      <c r="E264" s="62"/>
      <c r="F264" s="63"/>
      <c r="G264" s="64"/>
    </row>
    <row r="265" spans="4:7" ht="14.25" customHeight="1">
      <c r="D265" s="61"/>
      <c r="E265" s="62"/>
      <c r="F265" s="63"/>
      <c r="G265" s="64"/>
    </row>
    <row r="266" spans="4:7" ht="14.25" customHeight="1">
      <c r="D266" s="61"/>
      <c r="E266" s="62"/>
      <c r="F266" s="63"/>
      <c r="G266" s="64"/>
    </row>
    <row r="267" spans="4:7" ht="14.25" customHeight="1">
      <c r="D267" s="61"/>
      <c r="E267" s="62"/>
      <c r="F267" s="63"/>
      <c r="G267" s="64"/>
    </row>
    <row r="268" spans="4:7" ht="14.25" customHeight="1">
      <c r="D268" s="61"/>
      <c r="E268" s="62"/>
      <c r="F268" s="63"/>
      <c r="G268" s="64"/>
    </row>
    <row r="269" spans="4:7" ht="14.25" customHeight="1">
      <c r="D269" s="61"/>
      <c r="E269" s="62"/>
      <c r="F269" s="63"/>
      <c r="G269" s="64"/>
    </row>
    <row r="270" spans="4:7" ht="14.25" customHeight="1">
      <c r="D270" s="61"/>
      <c r="E270" s="62"/>
      <c r="F270" s="63"/>
      <c r="G270" s="64"/>
    </row>
    <row r="271" spans="4:7" ht="14.25" customHeight="1">
      <c r="D271" s="61"/>
      <c r="E271" s="62"/>
      <c r="F271" s="63"/>
      <c r="G271" s="64"/>
    </row>
    <row r="272" spans="4:7" ht="14.25" customHeight="1">
      <c r="D272" s="61"/>
      <c r="E272" s="62"/>
      <c r="F272" s="63"/>
      <c r="G272" s="64"/>
    </row>
    <row r="273" spans="4:7" ht="14.25" customHeight="1">
      <c r="D273" s="61"/>
      <c r="E273" s="62"/>
      <c r="F273" s="63"/>
      <c r="G273" s="64"/>
    </row>
    <row r="274" spans="4:7" ht="14.25" customHeight="1">
      <c r="D274" s="61"/>
      <c r="E274" s="62"/>
      <c r="F274" s="63"/>
      <c r="G274" s="64"/>
    </row>
    <row r="275" spans="4:7" ht="14.25" customHeight="1">
      <c r="D275" s="61"/>
      <c r="E275" s="62"/>
      <c r="F275" s="63"/>
      <c r="G275" s="64"/>
    </row>
    <row r="276" spans="4:7" ht="14.25" customHeight="1">
      <c r="D276" s="61"/>
      <c r="E276" s="62"/>
      <c r="F276" s="63"/>
      <c r="G276" s="64"/>
    </row>
    <row r="277" spans="4:7" ht="14.25" customHeight="1">
      <c r="D277" s="61"/>
      <c r="E277" s="62"/>
      <c r="F277" s="63"/>
      <c r="G277" s="64"/>
    </row>
    <row r="278" spans="4:7" ht="14.25" customHeight="1">
      <c r="D278" s="61"/>
      <c r="E278" s="62"/>
      <c r="F278" s="63"/>
      <c r="G278" s="64"/>
    </row>
    <row r="279" spans="4:7" ht="14.25" customHeight="1">
      <c r="D279" s="61"/>
      <c r="E279" s="62"/>
      <c r="F279" s="63"/>
      <c r="G279" s="64"/>
    </row>
    <row r="280" spans="4:7" ht="14.25" customHeight="1">
      <c r="D280" s="61"/>
      <c r="E280" s="62"/>
      <c r="F280" s="63"/>
      <c r="G280" s="64"/>
    </row>
    <row r="281" spans="4:7" ht="14.25" customHeight="1">
      <c r="D281" s="61"/>
      <c r="E281" s="62"/>
      <c r="F281" s="63"/>
      <c r="G281" s="64"/>
    </row>
    <row r="282" spans="4:7" ht="14.25" customHeight="1">
      <c r="D282" s="61"/>
      <c r="E282" s="62"/>
      <c r="F282" s="63"/>
      <c r="G282" s="64"/>
    </row>
    <row r="283" spans="4:7" ht="14.25" customHeight="1">
      <c r="D283" s="61"/>
      <c r="E283" s="62"/>
      <c r="F283" s="63"/>
      <c r="G283" s="64"/>
    </row>
    <row r="284" spans="4:7" ht="14.25" customHeight="1">
      <c r="D284" s="61"/>
      <c r="E284" s="62"/>
      <c r="F284" s="63"/>
      <c r="G284" s="64"/>
    </row>
    <row r="285" spans="4:7" ht="14.25" customHeight="1">
      <c r="D285" s="61"/>
      <c r="E285" s="62"/>
      <c r="F285" s="63"/>
      <c r="G285" s="64"/>
    </row>
    <row r="286" spans="4:7" ht="14.25" customHeight="1">
      <c r="D286" s="61"/>
      <c r="E286" s="62"/>
      <c r="F286" s="63"/>
      <c r="G286" s="64"/>
    </row>
    <row r="287" spans="4:7" ht="14.25" customHeight="1">
      <c r="D287" s="61"/>
      <c r="E287" s="62"/>
      <c r="F287" s="63"/>
      <c r="G287" s="64"/>
    </row>
    <row r="288" spans="4:7" ht="14.25" customHeight="1">
      <c r="D288" s="61"/>
      <c r="E288" s="62"/>
      <c r="F288" s="63"/>
      <c r="G288" s="64"/>
    </row>
    <row r="289" spans="4:7" ht="14.25" customHeight="1">
      <c r="D289" s="61"/>
      <c r="E289" s="62"/>
      <c r="F289" s="63"/>
      <c r="G289" s="64"/>
    </row>
    <row r="290" spans="4:7" ht="14.25" customHeight="1">
      <c r="D290" s="61"/>
      <c r="E290" s="62"/>
      <c r="F290" s="63"/>
      <c r="G290" s="64"/>
    </row>
    <row r="291" spans="4:7" ht="14.25" customHeight="1">
      <c r="D291" s="61"/>
      <c r="E291" s="62"/>
      <c r="F291" s="63"/>
      <c r="G291" s="64"/>
    </row>
    <row r="292" spans="4:7" ht="14.25" customHeight="1">
      <c r="D292" s="61"/>
      <c r="E292" s="62"/>
      <c r="F292" s="63"/>
      <c r="G292" s="64"/>
    </row>
    <row r="293" spans="4:7" ht="14.25" customHeight="1">
      <c r="D293" s="61"/>
      <c r="E293" s="62"/>
      <c r="F293" s="63"/>
      <c r="G293" s="64"/>
    </row>
    <row r="294" spans="4:7" ht="14.25" customHeight="1">
      <c r="D294" s="61"/>
      <c r="E294" s="62"/>
      <c r="F294" s="63"/>
      <c r="G294" s="64"/>
    </row>
    <row r="295" spans="4:7" ht="14.25" customHeight="1">
      <c r="D295" s="61"/>
      <c r="E295" s="62"/>
      <c r="F295" s="63"/>
      <c r="G295" s="64"/>
    </row>
    <row r="296" spans="4:7" ht="14.25" customHeight="1">
      <c r="D296" s="61"/>
      <c r="E296" s="62"/>
      <c r="F296" s="63"/>
      <c r="G296" s="64"/>
    </row>
    <row r="297" spans="4:7" ht="14.25" customHeight="1">
      <c r="D297" s="61"/>
      <c r="E297" s="62"/>
      <c r="F297" s="63"/>
      <c r="G297" s="64"/>
    </row>
    <row r="298" spans="4:7" ht="14.25" customHeight="1">
      <c r="D298" s="61"/>
      <c r="E298" s="62"/>
      <c r="F298" s="63"/>
      <c r="G298" s="64"/>
    </row>
    <row r="299" spans="4:7" ht="14.25" customHeight="1">
      <c r="D299" s="61"/>
      <c r="E299" s="62"/>
      <c r="F299" s="63"/>
      <c r="G299" s="64"/>
    </row>
    <row r="300" spans="4:7" ht="14.25" customHeight="1">
      <c r="D300" s="61"/>
      <c r="E300" s="62"/>
      <c r="F300" s="63"/>
      <c r="G300" s="64"/>
    </row>
    <row r="301" spans="4:7" ht="14.25" customHeight="1">
      <c r="D301" s="61"/>
      <c r="E301" s="62"/>
      <c r="F301" s="63"/>
      <c r="G301" s="64"/>
    </row>
    <row r="302" spans="4:7" ht="14.25" customHeight="1">
      <c r="D302" s="61"/>
      <c r="E302" s="62"/>
      <c r="F302" s="63"/>
      <c r="G302" s="64"/>
    </row>
    <row r="303" spans="4:7" ht="14.25" customHeight="1">
      <c r="D303" s="61"/>
      <c r="E303" s="62"/>
      <c r="F303" s="63"/>
      <c r="G303" s="64"/>
    </row>
    <row r="304" spans="4:7" ht="14.25" customHeight="1">
      <c r="D304" s="61"/>
      <c r="E304" s="62"/>
      <c r="F304" s="63"/>
      <c r="G304" s="64"/>
    </row>
    <row r="305" spans="4:7" ht="14.25" customHeight="1">
      <c r="D305" s="61"/>
      <c r="E305" s="62"/>
      <c r="F305" s="63"/>
      <c r="G305" s="64"/>
    </row>
    <row r="306" spans="4:7" ht="14.25" customHeight="1">
      <c r="D306" s="61"/>
      <c r="E306" s="62"/>
      <c r="F306" s="63"/>
      <c r="G306" s="64"/>
    </row>
    <row r="307" spans="4:7" ht="14.25" customHeight="1">
      <c r="D307" s="61"/>
      <c r="E307" s="62"/>
      <c r="F307" s="63"/>
      <c r="G307" s="64"/>
    </row>
    <row r="308" spans="4:7" ht="14.25" customHeight="1">
      <c r="D308" s="61"/>
      <c r="E308" s="62"/>
      <c r="F308" s="63"/>
      <c r="G308" s="64"/>
    </row>
    <row r="309" spans="4:7" ht="14.25" customHeight="1">
      <c r="D309" s="61"/>
      <c r="E309" s="62"/>
      <c r="F309" s="63"/>
      <c r="G309" s="64"/>
    </row>
    <row r="310" spans="4:7" ht="14.25" customHeight="1">
      <c r="D310" s="61"/>
      <c r="E310" s="62"/>
      <c r="F310" s="63"/>
      <c r="G310" s="64"/>
    </row>
    <row r="311" spans="4:7" ht="14.25" customHeight="1">
      <c r="D311" s="61"/>
      <c r="E311" s="62"/>
      <c r="F311" s="63"/>
      <c r="G311" s="64"/>
    </row>
    <row r="312" spans="4:7" ht="14.25" customHeight="1">
      <c r="D312" s="61"/>
      <c r="E312" s="62"/>
      <c r="F312" s="63"/>
      <c r="G312" s="64"/>
    </row>
    <row r="313" spans="4:7" ht="14.25" customHeight="1">
      <c r="D313" s="61"/>
      <c r="E313" s="62"/>
      <c r="F313" s="63"/>
      <c r="G313" s="64"/>
    </row>
    <row r="314" spans="4:7" ht="14.25" customHeight="1">
      <c r="D314" s="61"/>
      <c r="E314" s="62"/>
      <c r="F314" s="63"/>
      <c r="G314" s="64"/>
    </row>
    <row r="315" spans="4:7" ht="14.25" customHeight="1">
      <c r="D315" s="61"/>
      <c r="E315" s="62"/>
      <c r="F315" s="63"/>
      <c r="G315" s="64"/>
    </row>
    <row r="316" spans="4:7" ht="14.25" customHeight="1">
      <c r="D316" s="61"/>
      <c r="E316" s="62"/>
      <c r="F316" s="63"/>
      <c r="G316" s="64"/>
    </row>
    <row r="317" spans="4:7" ht="14.25" customHeight="1">
      <c r="D317" s="61"/>
      <c r="E317" s="62"/>
      <c r="F317" s="63"/>
      <c r="G317" s="64"/>
    </row>
    <row r="318" spans="4:7" ht="14.25" customHeight="1">
      <c r="D318" s="61"/>
      <c r="E318" s="62"/>
      <c r="F318" s="63"/>
      <c r="G318" s="64"/>
    </row>
    <row r="319" spans="4:7" ht="14.25" customHeight="1">
      <c r="D319" s="61"/>
      <c r="E319" s="62"/>
      <c r="F319" s="63"/>
      <c r="G319" s="64"/>
    </row>
    <row r="320" spans="4:7" ht="14.25" customHeight="1">
      <c r="D320" s="61"/>
      <c r="E320" s="62"/>
      <c r="F320" s="63"/>
      <c r="G320" s="64"/>
    </row>
    <row r="321" spans="4:7" ht="14.25" customHeight="1">
      <c r="D321" s="61"/>
      <c r="E321" s="62"/>
      <c r="F321" s="63"/>
      <c r="G321" s="64"/>
    </row>
    <row r="322" spans="4:7" ht="14.25" customHeight="1">
      <c r="D322" s="61"/>
      <c r="E322" s="62"/>
      <c r="F322" s="63"/>
      <c r="G322" s="64"/>
    </row>
    <row r="323" spans="4:7" ht="14.25" customHeight="1">
      <c r="D323" s="61"/>
      <c r="E323" s="62"/>
      <c r="F323" s="63"/>
      <c r="G323" s="64"/>
    </row>
    <row r="324" spans="4:7" ht="14.25" customHeight="1">
      <c r="D324" s="61"/>
      <c r="E324" s="62"/>
      <c r="F324" s="63"/>
      <c r="G324" s="64"/>
    </row>
    <row r="325" spans="4:7" ht="14.25" customHeight="1">
      <c r="D325" s="61"/>
      <c r="E325" s="62"/>
      <c r="F325" s="63"/>
      <c r="G325" s="64"/>
    </row>
    <row r="326" spans="4:7" ht="14.25" customHeight="1">
      <c r="D326" s="61"/>
      <c r="E326" s="62"/>
      <c r="F326" s="63"/>
      <c r="G326" s="64"/>
    </row>
    <row r="327" spans="4:7" ht="14.25" customHeight="1">
      <c r="D327" s="61"/>
      <c r="E327" s="62"/>
      <c r="F327" s="63"/>
      <c r="G327" s="64"/>
    </row>
    <row r="328" spans="4:7" ht="14.25" customHeight="1">
      <c r="D328" s="61"/>
      <c r="E328" s="62"/>
      <c r="F328" s="63"/>
      <c r="G328" s="64"/>
    </row>
    <row r="329" spans="4:7" ht="14.25" customHeight="1">
      <c r="D329" s="61"/>
      <c r="E329" s="62"/>
      <c r="F329" s="63"/>
      <c r="G329" s="64"/>
    </row>
    <row r="330" spans="4:7" ht="14.25" customHeight="1">
      <c r="D330" s="61"/>
      <c r="E330" s="62"/>
      <c r="F330" s="63"/>
      <c r="G330" s="64"/>
    </row>
    <row r="331" spans="4:7" ht="14.25" customHeight="1">
      <c r="D331" s="61"/>
      <c r="E331" s="62"/>
      <c r="F331" s="63"/>
      <c r="G331" s="64"/>
    </row>
    <row r="332" spans="4:7" ht="14.25" customHeight="1">
      <c r="D332" s="61"/>
      <c r="E332" s="62"/>
      <c r="F332" s="63"/>
      <c r="G332" s="64"/>
    </row>
    <row r="333" spans="4:7" ht="14.25" customHeight="1">
      <c r="D333" s="61"/>
      <c r="E333" s="62"/>
      <c r="F333" s="63"/>
      <c r="G333" s="64"/>
    </row>
    <row r="334" spans="4:7" ht="14.25" customHeight="1">
      <c r="D334" s="61"/>
      <c r="E334" s="62"/>
      <c r="F334" s="63"/>
      <c r="G334" s="64"/>
    </row>
    <row r="335" spans="4:7" ht="14.25" customHeight="1">
      <c r="D335" s="61"/>
      <c r="E335" s="62"/>
      <c r="F335" s="63"/>
      <c r="G335" s="64"/>
    </row>
    <row r="336" spans="4:7" ht="14.25" customHeight="1">
      <c r="D336" s="61"/>
      <c r="E336" s="62"/>
      <c r="F336" s="63"/>
      <c r="G336" s="64"/>
    </row>
    <row r="337" spans="4:7" ht="14.25" customHeight="1">
      <c r="D337" s="61"/>
      <c r="E337" s="62"/>
      <c r="F337" s="63"/>
      <c r="G337" s="64"/>
    </row>
    <row r="338" spans="4:7" ht="14.25" customHeight="1">
      <c r="D338" s="61"/>
      <c r="E338" s="62"/>
      <c r="F338" s="63"/>
      <c r="G338" s="64"/>
    </row>
    <row r="339" spans="4:7" ht="14.25" customHeight="1">
      <c r="D339" s="61"/>
      <c r="E339" s="62"/>
      <c r="F339" s="63"/>
      <c r="G339" s="64"/>
    </row>
    <row r="340" spans="4:7" ht="14.25" customHeight="1">
      <c r="D340" s="61"/>
      <c r="E340" s="62"/>
      <c r="F340" s="63"/>
      <c r="G340" s="64"/>
    </row>
    <row r="341" spans="4:7" ht="14.25" customHeight="1">
      <c r="D341" s="61"/>
      <c r="E341" s="62"/>
      <c r="F341" s="63"/>
      <c r="G341" s="64"/>
    </row>
    <row r="342" spans="4:7" ht="14.25" customHeight="1">
      <c r="D342" s="61"/>
      <c r="E342" s="62"/>
      <c r="F342" s="63"/>
      <c r="G342" s="64"/>
    </row>
    <row r="343" spans="4:7" ht="14.25" customHeight="1">
      <c r="D343" s="61"/>
      <c r="E343" s="62"/>
      <c r="F343" s="63"/>
      <c r="G343" s="64"/>
    </row>
    <row r="344" spans="4:7" ht="14.25" customHeight="1">
      <c r="D344" s="61"/>
      <c r="E344" s="62"/>
      <c r="F344" s="63"/>
      <c r="G344" s="64"/>
    </row>
    <row r="345" spans="4:7" ht="14.25" customHeight="1">
      <c r="D345" s="61"/>
      <c r="E345" s="62"/>
      <c r="F345" s="63"/>
      <c r="G345" s="64"/>
    </row>
    <row r="346" spans="4:7" ht="14.25" customHeight="1">
      <c r="D346" s="61"/>
      <c r="E346" s="62"/>
      <c r="F346" s="63"/>
      <c r="G346" s="64"/>
    </row>
    <row r="347" spans="4:7" ht="14.25" customHeight="1">
      <c r="D347" s="61"/>
      <c r="E347" s="62"/>
      <c r="F347" s="63"/>
      <c r="G347" s="64"/>
    </row>
    <row r="348" spans="4:7" ht="14.25" customHeight="1">
      <c r="D348" s="61"/>
      <c r="E348" s="62"/>
      <c r="F348" s="63"/>
      <c r="G348" s="64"/>
    </row>
    <row r="349" spans="4:7" ht="14.25" customHeight="1">
      <c r="D349" s="61"/>
      <c r="E349" s="62"/>
      <c r="F349" s="63"/>
      <c r="G349" s="64"/>
    </row>
    <row r="350" spans="4:7" ht="14.25" customHeight="1">
      <c r="D350" s="61"/>
      <c r="E350" s="62"/>
      <c r="F350" s="63"/>
      <c r="G350" s="64"/>
    </row>
    <row r="351" spans="4:7" ht="14.25" customHeight="1">
      <c r="D351" s="61"/>
      <c r="E351" s="62"/>
      <c r="F351" s="63"/>
      <c r="G351" s="64"/>
    </row>
    <row r="352" spans="4:7" ht="14.25" customHeight="1">
      <c r="D352" s="61"/>
      <c r="E352" s="62"/>
      <c r="F352" s="63"/>
      <c r="G352" s="64"/>
    </row>
    <row r="353" spans="4:7" ht="14.25" customHeight="1">
      <c r="D353" s="61"/>
      <c r="E353" s="62"/>
      <c r="F353" s="63"/>
      <c r="G353" s="64"/>
    </row>
    <row r="354" spans="4:7" ht="14.25" customHeight="1">
      <c r="D354" s="61"/>
      <c r="E354" s="62"/>
      <c r="F354" s="63"/>
      <c r="G354" s="64"/>
    </row>
    <row r="355" spans="4:7" ht="14.25" customHeight="1">
      <c r="D355" s="61"/>
      <c r="E355" s="62"/>
      <c r="F355" s="63"/>
      <c r="G355" s="64"/>
    </row>
    <row r="356" spans="4:7" ht="14.25" customHeight="1">
      <c r="D356" s="61"/>
      <c r="E356" s="62"/>
      <c r="F356" s="63"/>
      <c r="G356" s="64"/>
    </row>
    <row r="357" spans="4:7" ht="14.25" customHeight="1">
      <c r="D357" s="61"/>
      <c r="E357" s="62"/>
      <c r="F357" s="63"/>
      <c r="G357" s="64"/>
    </row>
    <row r="358" spans="4:7" ht="14.25" customHeight="1">
      <c r="D358" s="61"/>
      <c r="E358" s="62"/>
      <c r="F358" s="63"/>
      <c r="G358" s="64"/>
    </row>
    <row r="359" spans="4:7" ht="14.25" customHeight="1">
      <c r="D359" s="61"/>
      <c r="E359" s="62"/>
      <c r="F359" s="63"/>
      <c r="G359" s="64"/>
    </row>
    <row r="360" spans="4:7" ht="14.25" customHeight="1">
      <c r="D360" s="61"/>
      <c r="E360" s="62"/>
      <c r="F360" s="63"/>
      <c r="G360" s="64"/>
    </row>
    <row r="361" spans="4:7" ht="14.25" customHeight="1">
      <c r="D361" s="61"/>
      <c r="E361" s="62"/>
      <c r="F361" s="63"/>
      <c r="G361" s="64"/>
    </row>
    <row r="362" spans="4:7" ht="14.25" customHeight="1">
      <c r="D362" s="61"/>
      <c r="E362" s="62"/>
      <c r="F362" s="63"/>
      <c r="G362" s="64"/>
    </row>
    <row r="363" spans="4:7" ht="14.25" customHeight="1">
      <c r="D363" s="61"/>
      <c r="E363" s="62"/>
      <c r="F363" s="63"/>
      <c r="G363" s="64"/>
    </row>
    <row r="364" spans="4:7" ht="14.25" customHeight="1">
      <c r="D364" s="61"/>
      <c r="E364" s="62"/>
      <c r="F364" s="63"/>
      <c r="G364" s="64"/>
    </row>
    <row r="365" spans="4:7" ht="14.25" customHeight="1">
      <c r="D365" s="61"/>
      <c r="E365" s="62"/>
      <c r="F365" s="63"/>
      <c r="G365" s="64"/>
    </row>
    <row r="366" spans="4:7" ht="14.25" customHeight="1">
      <c r="D366" s="61"/>
      <c r="E366" s="62"/>
      <c r="F366" s="63"/>
      <c r="G366" s="64"/>
    </row>
    <row r="367" spans="4:7" ht="14.25" customHeight="1">
      <c r="D367" s="61"/>
      <c r="E367" s="62"/>
      <c r="F367" s="63"/>
      <c r="G367" s="64"/>
    </row>
    <row r="368" spans="4:7" ht="14.25" customHeight="1">
      <c r="D368" s="61"/>
      <c r="E368" s="62"/>
      <c r="F368" s="63"/>
      <c r="G368" s="64"/>
    </row>
    <row r="369" spans="4:7" ht="14.25" customHeight="1">
      <c r="D369" s="61"/>
      <c r="E369" s="62"/>
      <c r="F369" s="63"/>
      <c r="G369" s="64"/>
    </row>
    <row r="370" spans="4:7" ht="14.25" customHeight="1">
      <c r="D370" s="61"/>
      <c r="E370" s="62"/>
      <c r="F370" s="63"/>
      <c r="G370" s="64"/>
    </row>
    <row r="371" spans="4:7" ht="14.25" customHeight="1">
      <c r="D371" s="61"/>
      <c r="E371" s="62"/>
      <c r="F371" s="63"/>
      <c r="G371" s="64"/>
    </row>
    <row r="372" spans="4:7" ht="14.25" customHeight="1">
      <c r="D372" s="61"/>
      <c r="E372" s="62"/>
      <c r="F372" s="63"/>
      <c r="G372" s="64"/>
    </row>
    <row r="373" spans="4:7" ht="14.25" customHeight="1">
      <c r="D373" s="61"/>
      <c r="E373" s="62"/>
      <c r="F373" s="63"/>
      <c r="G373" s="64"/>
    </row>
    <row r="374" spans="4:7" ht="14.25" customHeight="1">
      <c r="D374" s="61"/>
      <c r="E374" s="62"/>
      <c r="F374" s="63"/>
      <c r="G374" s="64"/>
    </row>
    <row r="375" spans="4:7" ht="14.25" customHeight="1">
      <c r="D375" s="61"/>
      <c r="E375" s="62"/>
      <c r="F375" s="63"/>
      <c r="G375" s="64"/>
    </row>
    <row r="376" spans="4:7" ht="14.25" customHeight="1">
      <c r="D376" s="61"/>
      <c r="E376" s="62"/>
      <c r="F376" s="63"/>
      <c r="G376" s="64"/>
    </row>
    <row r="377" spans="4:7" ht="14.25" customHeight="1">
      <c r="D377" s="61"/>
      <c r="E377" s="62"/>
      <c r="F377" s="63"/>
      <c r="G377" s="64"/>
    </row>
    <row r="378" spans="4:7" ht="14.25" customHeight="1">
      <c r="D378" s="61"/>
      <c r="E378" s="62"/>
      <c r="F378" s="63"/>
      <c r="G378" s="64"/>
    </row>
    <row r="379" spans="4:7" ht="14.25" customHeight="1">
      <c r="D379" s="61"/>
      <c r="E379" s="62"/>
      <c r="F379" s="63"/>
      <c r="G379" s="64"/>
    </row>
    <row r="380" spans="4:7" ht="14.25" customHeight="1">
      <c r="D380" s="61"/>
      <c r="E380" s="62"/>
      <c r="F380" s="63"/>
      <c r="G380" s="64"/>
    </row>
    <row r="381" spans="4:7" ht="14.25" customHeight="1">
      <c r="D381" s="61"/>
      <c r="E381" s="62"/>
      <c r="F381" s="63"/>
      <c r="G381" s="64"/>
    </row>
    <row r="382" spans="4:7" ht="14.25" customHeight="1">
      <c r="D382" s="61"/>
      <c r="E382" s="62"/>
      <c r="F382" s="63"/>
      <c r="G382" s="64"/>
    </row>
    <row r="383" spans="4:7" ht="14.25" customHeight="1">
      <c r="D383" s="61"/>
      <c r="E383" s="62"/>
      <c r="F383" s="63"/>
      <c r="G383" s="64"/>
    </row>
    <row r="384" spans="4:7" ht="14.25" customHeight="1">
      <c r="D384" s="61"/>
      <c r="E384" s="62"/>
      <c r="F384" s="63"/>
      <c r="G384" s="64"/>
    </row>
    <row r="385" spans="4:7" ht="14.25" customHeight="1">
      <c r="D385" s="61"/>
      <c r="E385" s="62"/>
      <c r="F385" s="63"/>
      <c r="G385" s="64"/>
    </row>
    <row r="386" spans="4:7" ht="14.25" customHeight="1">
      <c r="D386" s="61"/>
      <c r="E386" s="62"/>
      <c r="F386" s="63"/>
      <c r="G386" s="64"/>
    </row>
    <row r="387" spans="4:7" ht="14.25" customHeight="1">
      <c r="D387" s="61"/>
      <c r="E387" s="62"/>
      <c r="F387" s="63"/>
      <c r="G387" s="64"/>
    </row>
    <row r="388" spans="4:7" ht="14.25" customHeight="1">
      <c r="D388" s="61"/>
      <c r="E388" s="62"/>
      <c r="F388" s="63"/>
      <c r="G388" s="64"/>
    </row>
    <row r="389" spans="4:7" ht="14.25" customHeight="1">
      <c r="D389" s="61"/>
      <c r="E389" s="62"/>
      <c r="F389" s="63"/>
      <c r="G389" s="64"/>
    </row>
    <row r="390" spans="4:7" ht="14.25" customHeight="1">
      <c r="D390" s="61"/>
      <c r="E390" s="62"/>
      <c r="F390" s="63"/>
      <c r="G390" s="64"/>
    </row>
    <row r="391" spans="4:7" ht="14.25" customHeight="1">
      <c r="D391" s="61"/>
      <c r="E391" s="62"/>
      <c r="F391" s="63"/>
      <c r="G391" s="64"/>
    </row>
    <row r="392" spans="4:7" ht="14.25" customHeight="1">
      <c r="D392" s="61"/>
      <c r="E392" s="62"/>
      <c r="F392" s="63"/>
      <c r="G392" s="64"/>
    </row>
    <row r="393" spans="4:7" ht="14.25" customHeight="1">
      <c r="D393" s="61"/>
      <c r="E393" s="62"/>
      <c r="F393" s="63"/>
      <c r="G393" s="64"/>
    </row>
    <row r="394" spans="4:7" ht="14.25" customHeight="1">
      <c r="D394" s="61"/>
      <c r="E394" s="62"/>
      <c r="F394" s="63"/>
      <c r="G394" s="64"/>
    </row>
    <row r="395" spans="4:7" ht="14.25" customHeight="1">
      <c r="D395" s="61"/>
      <c r="E395" s="62"/>
      <c r="F395" s="63"/>
      <c r="G395" s="64"/>
    </row>
    <row r="396" spans="4:7" ht="14.25" customHeight="1">
      <c r="D396" s="61"/>
      <c r="E396" s="62"/>
      <c r="F396" s="63"/>
      <c r="G396" s="64"/>
    </row>
    <row r="397" spans="4:7" ht="14.25" customHeight="1">
      <c r="D397" s="61"/>
      <c r="E397" s="62"/>
      <c r="F397" s="63"/>
      <c r="G397" s="64"/>
    </row>
    <row r="398" spans="4:7" ht="14.25" customHeight="1">
      <c r="D398" s="61"/>
      <c r="E398" s="62"/>
      <c r="F398" s="63"/>
      <c r="G398" s="64"/>
    </row>
    <row r="399" spans="4:7" ht="14.25" customHeight="1">
      <c r="D399" s="61"/>
      <c r="E399" s="62"/>
      <c r="F399" s="63"/>
      <c r="G399" s="64"/>
    </row>
    <row r="400" spans="4:7" ht="14.25" customHeight="1">
      <c r="D400" s="61"/>
      <c r="E400" s="62"/>
      <c r="F400" s="63"/>
      <c r="G400" s="64"/>
    </row>
    <row r="401" spans="4:7" ht="14.25" customHeight="1">
      <c r="D401" s="61"/>
      <c r="E401" s="62"/>
      <c r="F401" s="63"/>
      <c r="G401" s="64"/>
    </row>
    <row r="402" spans="4:7" ht="14.25" customHeight="1">
      <c r="D402" s="61"/>
      <c r="E402" s="62"/>
      <c r="F402" s="63"/>
      <c r="G402" s="64"/>
    </row>
    <row r="403" spans="4:7" ht="14.25" customHeight="1">
      <c r="D403" s="61"/>
      <c r="E403" s="62"/>
      <c r="F403" s="63"/>
      <c r="G403" s="64"/>
    </row>
    <row r="404" spans="4:7" ht="14.25" customHeight="1">
      <c r="D404" s="61"/>
      <c r="E404" s="62"/>
      <c r="F404" s="63"/>
      <c r="G404" s="64"/>
    </row>
    <row r="405" spans="4:7" ht="14.25" customHeight="1">
      <c r="D405" s="61"/>
      <c r="E405" s="62"/>
      <c r="F405" s="63"/>
      <c r="G405" s="64"/>
    </row>
    <row r="406" spans="4:7" ht="14.25" customHeight="1">
      <c r="D406" s="61"/>
      <c r="E406" s="62"/>
      <c r="F406" s="63"/>
      <c r="G406" s="64"/>
    </row>
    <row r="407" spans="4:7" ht="14.25" customHeight="1">
      <c r="D407" s="61"/>
      <c r="E407" s="62"/>
      <c r="F407" s="63"/>
      <c r="G407" s="64"/>
    </row>
    <row r="408" spans="4:7" ht="14.25" customHeight="1">
      <c r="D408" s="61"/>
      <c r="E408" s="62"/>
      <c r="F408" s="63"/>
      <c r="G408" s="64"/>
    </row>
    <row r="409" spans="4:7" ht="14.25" customHeight="1">
      <c r="D409" s="61"/>
      <c r="E409" s="62"/>
      <c r="F409" s="63"/>
      <c r="G409" s="64"/>
    </row>
    <row r="410" spans="4:7" ht="14.25" customHeight="1">
      <c r="D410" s="61"/>
      <c r="E410" s="62"/>
      <c r="F410" s="63"/>
      <c r="G410" s="64"/>
    </row>
    <row r="411" spans="4:7" ht="14.25" customHeight="1">
      <c r="D411" s="61"/>
      <c r="E411" s="62"/>
      <c r="F411" s="63"/>
      <c r="G411" s="64"/>
    </row>
    <row r="412" spans="4:7" ht="14.25" customHeight="1">
      <c r="D412" s="61"/>
      <c r="E412" s="62"/>
      <c r="F412" s="63"/>
      <c r="G412" s="64"/>
    </row>
    <row r="413" spans="4:7" ht="14.25" customHeight="1">
      <c r="D413" s="61"/>
      <c r="E413" s="62"/>
      <c r="F413" s="63"/>
      <c r="G413" s="64"/>
    </row>
    <row r="414" spans="4:7" ht="14.25" customHeight="1">
      <c r="D414" s="61"/>
      <c r="E414" s="62"/>
      <c r="F414" s="63"/>
      <c r="G414" s="64"/>
    </row>
    <row r="415" spans="4:7" ht="14.25" customHeight="1">
      <c r="D415" s="61"/>
      <c r="E415" s="62"/>
      <c r="F415" s="63"/>
      <c r="G415" s="64"/>
    </row>
    <row r="416" spans="4:7" ht="14.25" customHeight="1">
      <c r="D416" s="61"/>
      <c r="E416" s="62"/>
      <c r="F416" s="63"/>
      <c r="G416" s="64"/>
    </row>
    <row r="417" spans="4:7" ht="14.25" customHeight="1">
      <c r="D417" s="61"/>
      <c r="E417" s="62"/>
      <c r="F417" s="63"/>
      <c r="G417" s="64"/>
    </row>
    <row r="418" spans="4:7" ht="14.25" customHeight="1">
      <c r="D418" s="61"/>
      <c r="E418" s="62"/>
      <c r="F418" s="63"/>
      <c r="G418" s="64"/>
    </row>
    <row r="419" spans="4:7" ht="14.25" customHeight="1">
      <c r="D419" s="61"/>
      <c r="E419" s="62"/>
      <c r="F419" s="63"/>
      <c r="G419" s="64"/>
    </row>
    <row r="420" spans="4:7" ht="14.25" customHeight="1">
      <c r="D420" s="61"/>
      <c r="E420" s="62"/>
      <c r="F420" s="63"/>
      <c r="G420" s="64"/>
    </row>
    <row r="421" spans="4:7" ht="14.25" customHeight="1">
      <c r="D421" s="61"/>
      <c r="E421" s="62"/>
      <c r="F421" s="63"/>
      <c r="G421" s="64"/>
    </row>
    <row r="422" spans="4:7" ht="14.25" customHeight="1">
      <c r="D422" s="61"/>
      <c r="E422" s="62"/>
      <c r="F422" s="63"/>
      <c r="G422" s="64"/>
    </row>
    <row r="423" spans="4:7" ht="14.25" customHeight="1">
      <c r="D423" s="61"/>
      <c r="E423" s="62"/>
      <c r="F423" s="63"/>
      <c r="G423" s="64"/>
    </row>
    <row r="424" spans="4:7" ht="14.25" customHeight="1">
      <c r="D424" s="61"/>
      <c r="E424" s="62"/>
      <c r="F424" s="63"/>
      <c r="G424" s="64"/>
    </row>
    <row r="425" spans="4:7" ht="14.25" customHeight="1">
      <c r="D425" s="61"/>
      <c r="E425" s="62"/>
      <c r="F425" s="63"/>
      <c r="G425" s="64"/>
    </row>
    <row r="426" spans="4:7" ht="14.25" customHeight="1">
      <c r="D426" s="61"/>
      <c r="E426" s="62"/>
      <c r="F426" s="63"/>
      <c r="G426" s="64"/>
    </row>
    <row r="427" spans="4:7" ht="14.25" customHeight="1">
      <c r="D427" s="61"/>
      <c r="E427" s="62"/>
      <c r="F427" s="63"/>
      <c r="G427" s="64"/>
    </row>
    <row r="428" spans="4:7" ht="14.25" customHeight="1">
      <c r="D428" s="61"/>
      <c r="E428" s="62"/>
      <c r="F428" s="63"/>
      <c r="G428" s="64"/>
    </row>
    <row r="429" spans="4:7" ht="14.25" customHeight="1">
      <c r="D429" s="61"/>
      <c r="E429" s="62"/>
      <c r="F429" s="63"/>
      <c r="G429" s="64"/>
    </row>
    <row r="430" spans="4:7" ht="14.25" customHeight="1">
      <c r="D430" s="61"/>
      <c r="E430" s="62"/>
      <c r="F430" s="63"/>
      <c r="G430" s="64"/>
    </row>
    <row r="431" spans="4:7" ht="14.25" customHeight="1">
      <c r="D431" s="61"/>
      <c r="E431" s="62"/>
      <c r="F431" s="63"/>
      <c r="G431" s="64"/>
    </row>
    <row r="432" spans="4:7" ht="14.25" customHeight="1">
      <c r="D432" s="61"/>
      <c r="E432" s="62"/>
      <c r="F432" s="63"/>
      <c r="G432" s="64"/>
    </row>
    <row r="433" spans="4:7" ht="14.25" customHeight="1">
      <c r="D433" s="61"/>
      <c r="E433" s="62"/>
      <c r="F433" s="63"/>
      <c r="G433" s="64"/>
    </row>
    <row r="434" spans="4:7" ht="14.25" customHeight="1">
      <c r="D434" s="61"/>
      <c r="E434" s="62"/>
      <c r="F434" s="63"/>
      <c r="G434" s="64"/>
    </row>
    <row r="435" spans="4:7" ht="14.25" customHeight="1">
      <c r="D435" s="61"/>
      <c r="E435" s="62"/>
      <c r="F435" s="63"/>
      <c r="G435" s="64"/>
    </row>
    <row r="436" spans="4:7" ht="14.25" customHeight="1">
      <c r="D436" s="61"/>
      <c r="E436" s="62"/>
      <c r="F436" s="63"/>
      <c r="G436" s="64"/>
    </row>
    <row r="437" spans="4:7" ht="14.25" customHeight="1">
      <c r="D437" s="61"/>
      <c r="E437" s="62"/>
      <c r="F437" s="63"/>
      <c r="G437" s="64"/>
    </row>
    <row r="438" spans="4:7" ht="14.25" customHeight="1">
      <c r="D438" s="61"/>
      <c r="E438" s="62"/>
      <c r="F438" s="63"/>
      <c r="G438" s="64"/>
    </row>
    <row r="439" spans="4:7" ht="14.25" customHeight="1">
      <c r="D439" s="61"/>
      <c r="E439" s="62"/>
      <c r="F439" s="63"/>
      <c r="G439" s="64"/>
    </row>
    <row r="440" spans="4:7" ht="14.25" customHeight="1">
      <c r="D440" s="61"/>
      <c r="E440" s="62"/>
      <c r="F440" s="63"/>
      <c r="G440" s="64"/>
    </row>
    <row r="441" spans="4:7" ht="14.25" customHeight="1">
      <c r="D441" s="61"/>
      <c r="E441" s="62"/>
      <c r="F441" s="63"/>
      <c r="G441" s="64"/>
    </row>
    <row r="442" spans="4:7" ht="14.25" customHeight="1">
      <c r="D442" s="61"/>
      <c r="E442" s="62"/>
      <c r="F442" s="63"/>
      <c r="G442" s="64"/>
    </row>
    <row r="443" spans="4:7" ht="14.25" customHeight="1">
      <c r="D443" s="61"/>
      <c r="E443" s="62"/>
      <c r="F443" s="63"/>
      <c r="G443" s="64"/>
    </row>
    <row r="444" spans="4:7" ht="14.25" customHeight="1">
      <c r="D444" s="61"/>
      <c r="E444" s="62"/>
      <c r="F444" s="63"/>
      <c r="G444" s="64"/>
    </row>
    <row r="445" spans="4:7" ht="14.25" customHeight="1">
      <c r="D445" s="61"/>
      <c r="E445" s="62"/>
      <c r="F445" s="63"/>
      <c r="G445" s="64"/>
    </row>
    <row r="446" spans="4:7" ht="14.25" customHeight="1">
      <c r="D446" s="61"/>
      <c r="E446" s="62"/>
      <c r="F446" s="63"/>
      <c r="G446" s="64"/>
    </row>
    <row r="447" spans="4:7" ht="14.25" customHeight="1">
      <c r="D447" s="61"/>
      <c r="E447" s="62"/>
      <c r="F447" s="63"/>
      <c r="G447" s="64"/>
    </row>
    <row r="448" spans="4:7" ht="14.25" customHeight="1">
      <c r="D448" s="61"/>
      <c r="E448" s="62"/>
      <c r="F448" s="63"/>
      <c r="G448" s="64"/>
    </row>
    <row r="449" spans="4:7" ht="14.25" customHeight="1">
      <c r="D449" s="61"/>
      <c r="E449" s="62"/>
      <c r="F449" s="63"/>
      <c r="G449" s="64"/>
    </row>
    <row r="450" spans="4:7" ht="14.25" customHeight="1">
      <c r="D450" s="61"/>
      <c r="E450" s="62"/>
      <c r="F450" s="63"/>
      <c r="G450" s="64"/>
    </row>
    <row r="451" spans="4:7" ht="14.25" customHeight="1">
      <c r="D451" s="61"/>
      <c r="E451" s="62"/>
      <c r="F451" s="63"/>
      <c r="G451" s="64"/>
    </row>
    <row r="452" spans="4:7" ht="14.25" customHeight="1">
      <c r="D452" s="61"/>
      <c r="E452" s="62"/>
      <c r="F452" s="63"/>
      <c r="G452" s="64"/>
    </row>
    <row r="453" spans="4:7" ht="14.25" customHeight="1">
      <c r="D453" s="61"/>
      <c r="E453" s="62"/>
      <c r="F453" s="63"/>
      <c r="G453" s="64"/>
    </row>
    <row r="454" spans="4:7" ht="14.25" customHeight="1">
      <c r="D454" s="61"/>
      <c r="E454" s="62"/>
      <c r="F454" s="63"/>
      <c r="G454" s="64"/>
    </row>
    <row r="455" spans="4:7" ht="14.25" customHeight="1">
      <c r="D455" s="61"/>
      <c r="E455" s="62"/>
      <c r="F455" s="63"/>
      <c r="G455" s="64"/>
    </row>
    <row r="456" spans="4:7" ht="14.25" customHeight="1">
      <c r="D456" s="61"/>
      <c r="E456" s="62"/>
      <c r="F456" s="63"/>
      <c r="G456" s="64"/>
    </row>
    <row r="457" spans="4:7" ht="14.25" customHeight="1">
      <c r="D457" s="61"/>
      <c r="E457" s="62"/>
      <c r="F457" s="63"/>
      <c r="G457" s="64"/>
    </row>
    <row r="458" spans="4:7" ht="14.25" customHeight="1">
      <c r="D458" s="61"/>
      <c r="E458" s="62"/>
      <c r="F458" s="63"/>
      <c r="G458" s="64"/>
    </row>
    <row r="459" spans="4:7" ht="14.25" customHeight="1">
      <c r="D459" s="61"/>
      <c r="E459" s="62"/>
      <c r="F459" s="63"/>
      <c r="G459" s="64"/>
    </row>
    <row r="460" spans="4:7" ht="14.25" customHeight="1">
      <c r="D460" s="61"/>
      <c r="E460" s="62"/>
      <c r="F460" s="63"/>
      <c r="G460" s="64"/>
    </row>
    <row r="461" spans="4:7" ht="14.25" customHeight="1">
      <c r="D461" s="61"/>
      <c r="E461" s="62"/>
      <c r="F461" s="63"/>
      <c r="G461" s="64"/>
    </row>
    <row r="462" spans="4:7" ht="14.25" customHeight="1">
      <c r="D462" s="61"/>
      <c r="E462" s="62"/>
      <c r="F462" s="63"/>
      <c r="G462" s="64"/>
    </row>
    <row r="463" spans="4:7" ht="14.25" customHeight="1">
      <c r="D463" s="61"/>
      <c r="E463" s="62"/>
      <c r="F463" s="63"/>
      <c r="G463" s="64"/>
    </row>
    <row r="464" spans="4:7" ht="14.25" customHeight="1">
      <c r="D464" s="61"/>
      <c r="E464" s="62"/>
      <c r="F464" s="63"/>
      <c r="G464" s="64"/>
    </row>
    <row r="465" spans="4:7" ht="14.25" customHeight="1">
      <c r="D465" s="61"/>
      <c r="E465" s="62"/>
      <c r="F465" s="63"/>
      <c r="G465" s="64"/>
    </row>
    <row r="466" spans="4:7" ht="14.25" customHeight="1">
      <c r="D466" s="61"/>
      <c r="E466" s="62"/>
      <c r="F466" s="63"/>
      <c r="G466" s="64"/>
    </row>
    <row r="467" spans="4:7" ht="14.25" customHeight="1">
      <c r="D467" s="61"/>
      <c r="E467" s="62"/>
      <c r="F467" s="63"/>
      <c r="G467" s="64"/>
    </row>
    <row r="468" spans="4:7" ht="14.25" customHeight="1">
      <c r="D468" s="61"/>
      <c r="E468" s="62"/>
      <c r="F468" s="63"/>
      <c r="G468" s="64"/>
    </row>
    <row r="469" spans="4:7" ht="14.25" customHeight="1">
      <c r="D469" s="61"/>
      <c r="E469" s="62"/>
      <c r="F469" s="63"/>
      <c r="G469" s="64"/>
    </row>
    <row r="470" spans="4:7" ht="14.25" customHeight="1">
      <c r="D470" s="61"/>
      <c r="E470" s="62"/>
      <c r="F470" s="63"/>
      <c r="G470" s="64"/>
    </row>
    <row r="471" spans="4:7" ht="14.25" customHeight="1">
      <c r="D471" s="61"/>
      <c r="E471" s="62"/>
      <c r="F471" s="63"/>
      <c r="G471" s="64"/>
    </row>
    <row r="472" spans="4:7" ht="14.25" customHeight="1">
      <c r="D472" s="61"/>
      <c r="E472" s="62"/>
      <c r="F472" s="63"/>
      <c r="G472" s="64"/>
    </row>
    <row r="473" spans="4:7" ht="14.25" customHeight="1">
      <c r="D473" s="61"/>
      <c r="E473" s="62"/>
      <c r="F473" s="63"/>
      <c r="G473" s="64"/>
    </row>
    <row r="474" spans="4:7" ht="14.25" customHeight="1">
      <c r="D474" s="61"/>
      <c r="E474" s="62"/>
      <c r="F474" s="63"/>
      <c r="G474" s="64"/>
    </row>
    <row r="475" spans="4:7" ht="14.25" customHeight="1">
      <c r="D475" s="61"/>
      <c r="E475" s="62"/>
      <c r="F475" s="63"/>
      <c r="G475" s="64"/>
    </row>
    <row r="476" spans="4:7" ht="14.25" customHeight="1">
      <c r="D476" s="61"/>
      <c r="E476" s="62"/>
      <c r="F476" s="63"/>
      <c r="G476" s="64"/>
    </row>
    <row r="477" spans="4:7" ht="14.25" customHeight="1">
      <c r="D477" s="61"/>
      <c r="E477" s="62"/>
      <c r="F477" s="63"/>
      <c r="G477" s="64"/>
    </row>
    <row r="478" spans="4:7" ht="14.25" customHeight="1">
      <c r="D478" s="61"/>
      <c r="E478" s="62"/>
      <c r="F478" s="63"/>
      <c r="G478" s="64"/>
    </row>
    <row r="479" spans="4:7" ht="14.25" customHeight="1">
      <c r="D479" s="61"/>
      <c r="E479" s="62"/>
      <c r="F479" s="63"/>
      <c r="G479" s="64"/>
    </row>
    <row r="480" spans="4:7" ht="14.25" customHeight="1">
      <c r="D480" s="61"/>
      <c r="E480" s="62"/>
      <c r="F480" s="63"/>
      <c r="G480" s="64"/>
    </row>
    <row r="481" spans="4:7" ht="14.25" customHeight="1">
      <c r="D481" s="61"/>
      <c r="E481" s="62"/>
      <c r="F481" s="63"/>
      <c r="G481" s="64"/>
    </row>
    <row r="482" spans="4:7" ht="14.25" customHeight="1">
      <c r="D482" s="61"/>
      <c r="E482" s="62"/>
      <c r="F482" s="63"/>
      <c r="G482" s="64"/>
    </row>
    <row r="483" spans="4:7" ht="14.25" customHeight="1">
      <c r="D483" s="61"/>
      <c r="E483" s="62"/>
      <c r="F483" s="63"/>
      <c r="G483" s="64"/>
    </row>
    <row r="484" spans="4:7" ht="14.25" customHeight="1">
      <c r="D484" s="61"/>
      <c r="E484" s="62"/>
      <c r="F484" s="63"/>
      <c r="G484" s="64"/>
    </row>
    <row r="485" spans="4:7" ht="14.25" customHeight="1">
      <c r="D485" s="61"/>
      <c r="E485" s="62"/>
      <c r="F485" s="63"/>
      <c r="G485" s="64"/>
    </row>
    <row r="486" spans="4:7" ht="14.25" customHeight="1">
      <c r="D486" s="61"/>
      <c r="E486" s="62"/>
      <c r="F486" s="63"/>
      <c r="G486" s="64"/>
    </row>
    <row r="487" spans="4:7" ht="14.25" customHeight="1">
      <c r="D487" s="61"/>
      <c r="E487" s="62"/>
      <c r="F487" s="63"/>
      <c r="G487" s="64"/>
    </row>
    <row r="488" spans="4:7" ht="14.25" customHeight="1">
      <c r="D488" s="61"/>
      <c r="E488" s="62"/>
      <c r="F488" s="63"/>
      <c r="G488" s="64"/>
    </row>
    <row r="489" spans="4:7" ht="14.25" customHeight="1">
      <c r="D489" s="61"/>
      <c r="E489" s="62"/>
      <c r="F489" s="63"/>
      <c r="G489" s="64"/>
    </row>
    <row r="490" spans="4:7" ht="14.25" customHeight="1">
      <c r="D490" s="61"/>
      <c r="E490" s="62"/>
      <c r="F490" s="63"/>
      <c r="G490" s="64"/>
    </row>
    <row r="491" spans="4:7" ht="14.25" customHeight="1">
      <c r="D491" s="61"/>
      <c r="E491" s="62"/>
      <c r="F491" s="63"/>
      <c r="G491" s="64"/>
    </row>
    <row r="492" spans="4:7" ht="14.25" customHeight="1">
      <c r="D492" s="61"/>
      <c r="E492" s="62"/>
      <c r="F492" s="63"/>
      <c r="G492" s="64"/>
    </row>
    <row r="493" spans="4:7" ht="14.25" customHeight="1">
      <c r="D493" s="61"/>
      <c r="E493" s="62"/>
      <c r="F493" s="63"/>
      <c r="G493" s="64"/>
    </row>
    <row r="494" spans="4:7" ht="14.25" customHeight="1">
      <c r="D494" s="61"/>
      <c r="E494" s="62"/>
      <c r="F494" s="63"/>
      <c r="G494" s="64"/>
    </row>
    <row r="495" spans="4:7" ht="14.25" customHeight="1">
      <c r="D495" s="61"/>
      <c r="E495" s="62"/>
      <c r="F495" s="63"/>
      <c r="G495" s="64"/>
    </row>
    <row r="496" spans="4:7" ht="14.25" customHeight="1">
      <c r="D496" s="61"/>
      <c r="E496" s="62"/>
      <c r="F496" s="63"/>
      <c r="G496" s="64"/>
    </row>
    <row r="497" spans="4:7" ht="14.25" customHeight="1">
      <c r="D497" s="61"/>
      <c r="E497" s="62"/>
      <c r="F497" s="63"/>
      <c r="G497" s="64"/>
    </row>
    <row r="498" spans="4:7" ht="14.25" customHeight="1">
      <c r="D498" s="61"/>
      <c r="E498" s="62"/>
      <c r="F498" s="63"/>
      <c r="G498" s="64"/>
    </row>
    <row r="499" spans="4:7" ht="14.25" customHeight="1">
      <c r="D499" s="61"/>
      <c r="E499" s="62"/>
      <c r="F499" s="63"/>
      <c r="G499" s="64"/>
    </row>
    <row r="500" spans="4:7" ht="14.25" customHeight="1">
      <c r="D500" s="61"/>
      <c r="E500" s="62"/>
      <c r="F500" s="63"/>
      <c r="G500" s="64"/>
    </row>
    <row r="501" spans="4:7" ht="14.25" customHeight="1">
      <c r="D501" s="61"/>
      <c r="E501" s="62"/>
      <c r="F501" s="63"/>
      <c r="G501" s="64"/>
    </row>
    <row r="502" spans="4:7" ht="14.25" customHeight="1">
      <c r="D502" s="61"/>
      <c r="E502" s="62"/>
      <c r="F502" s="63"/>
      <c r="G502" s="64"/>
    </row>
    <row r="503" spans="4:7" ht="14.25" customHeight="1">
      <c r="D503" s="61"/>
      <c r="E503" s="62"/>
      <c r="F503" s="63"/>
      <c r="G503" s="64"/>
    </row>
    <row r="504" spans="4:7" ht="14.25" customHeight="1">
      <c r="D504" s="61"/>
      <c r="E504" s="62"/>
      <c r="F504" s="63"/>
      <c r="G504" s="64"/>
    </row>
    <row r="505" spans="4:7" ht="14.25" customHeight="1">
      <c r="D505" s="61"/>
      <c r="E505" s="62"/>
      <c r="F505" s="63"/>
      <c r="G505" s="64"/>
    </row>
    <row r="506" spans="4:7" ht="14.25" customHeight="1">
      <c r="D506" s="61"/>
      <c r="E506" s="62"/>
      <c r="F506" s="63"/>
      <c r="G506" s="64"/>
    </row>
    <row r="507" spans="4:7" ht="14.25" customHeight="1">
      <c r="D507" s="61"/>
      <c r="E507" s="62"/>
      <c r="F507" s="63"/>
      <c r="G507" s="64"/>
    </row>
    <row r="508" spans="4:7" ht="14.25" customHeight="1">
      <c r="D508" s="61"/>
      <c r="E508" s="62"/>
      <c r="F508" s="63"/>
      <c r="G508" s="64"/>
    </row>
    <row r="509" spans="4:7" ht="14.25" customHeight="1">
      <c r="D509" s="61"/>
      <c r="E509" s="62"/>
      <c r="F509" s="63"/>
      <c r="G509" s="64"/>
    </row>
    <row r="510" spans="4:7" ht="14.25" customHeight="1">
      <c r="D510" s="61"/>
      <c r="E510" s="62"/>
      <c r="F510" s="63"/>
      <c r="G510" s="64"/>
    </row>
    <row r="511" spans="4:7" ht="14.25" customHeight="1">
      <c r="D511" s="61"/>
      <c r="E511" s="62"/>
      <c r="F511" s="63"/>
      <c r="G511" s="64"/>
    </row>
    <row r="512" spans="4:7" ht="14.25" customHeight="1">
      <c r="D512" s="61"/>
      <c r="E512" s="62"/>
      <c r="F512" s="63"/>
      <c r="G512" s="64"/>
    </row>
    <row r="513" spans="4:7" ht="14.25" customHeight="1">
      <c r="D513" s="61"/>
      <c r="E513" s="62"/>
      <c r="F513" s="63"/>
      <c r="G513" s="64"/>
    </row>
    <row r="514" spans="4:7" ht="14.25" customHeight="1">
      <c r="D514" s="61"/>
      <c r="E514" s="62"/>
      <c r="F514" s="63"/>
      <c r="G514" s="64"/>
    </row>
    <row r="515" spans="4:7" ht="14.25" customHeight="1">
      <c r="D515" s="61"/>
      <c r="E515" s="62"/>
      <c r="F515" s="63"/>
      <c r="G515" s="64"/>
    </row>
    <row r="516" spans="4:7" ht="14.25" customHeight="1">
      <c r="D516" s="61"/>
      <c r="E516" s="62"/>
      <c r="F516" s="63"/>
      <c r="G516" s="64"/>
    </row>
    <row r="517" spans="4:7" ht="14.25" customHeight="1">
      <c r="D517" s="61"/>
      <c r="E517" s="62"/>
      <c r="F517" s="63"/>
      <c r="G517" s="64"/>
    </row>
    <row r="518" spans="4:7" ht="14.25" customHeight="1">
      <c r="D518" s="61"/>
      <c r="E518" s="62"/>
      <c r="F518" s="63"/>
      <c r="G518" s="64"/>
    </row>
    <row r="519" spans="4:7" ht="14.25" customHeight="1">
      <c r="D519" s="61"/>
      <c r="E519" s="62"/>
      <c r="F519" s="63"/>
      <c r="G519" s="64"/>
    </row>
    <row r="520" spans="4:7" ht="14.25" customHeight="1">
      <c r="D520" s="61"/>
      <c r="E520" s="62"/>
      <c r="F520" s="63"/>
      <c r="G520" s="64"/>
    </row>
    <row r="521" spans="4:7" ht="14.25" customHeight="1">
      <c r="D521" s="61"/>
      <c r="E521" s="62"/>
      <c r="F521" s="63"/>
      <c r="G521" s="64"/>
    </row>
    <row r="522" spans="4:7" ht="14.25" customHeight="1">
      <c r="D522" s="61"/>
      <c r="E522" s="62"/>
      <c r="F522" s="63"/>
      <c r="G522" s="64"/>
    </row>
    <row r="523" spans="4:7" ht="14.25" customHeight="1">
      <c r="D523" s="61"/>
      <c r="E523" s="62"/>
      <c r="F523" s="63"/>
      <c r="G523" s="64"/>
    </row>
    <row r="524" spans="4:7" ht="14.25" customHeight="1">
      <c r="D524" s="61"/>
      <c r="E524" s="62"/>
      <c r="F524" s="63"/>
      <c r="G524" s="64"/>
    </row>
    <row r="525" spans="4:7" ht="14.25" customHeight="1">
      <c r="D525" s="61"/>
      <c r="E525" s="62"/>
      <c r="F525" s="63"/>
      <c r="G525" s="64"/>
    </row>
    <row r="526" spans="4:7" ht="14.25" customHeight="1">
      <c r="D526" s="61"/>
      <c r="E526" s="62"/>
      <c r="F526" s="63"/>
      <c r="G526" s="64"/>
    </row>
    <row r="527" spans="4:7" ht="14.25" customHeight="1">
      <c r="D527" s="61"/>
      <c r="E527" s="62"/>
      <c r="F527" s="63"/>
      <c r="G527" s="64"/>
    </row>
    <row r="528" spans="4:7" ht="14.25" customHeight="1">
      <c r="D528" s="61"/>
      <c r="E528" s="62"/>
      <c r="F528" s="63"/>
      <c r="G528" s="64"/>
    </row>
    <row r="529" spans="4:7" ht="14.25" customHeight="1">
      <c r="D529" s="61"/>
      <c r="E529" s="62"/>
      <c r="F529" s="63"/>
      <c r="G529" s="64"/>
    </row>
    <row r="530" spans="4:7" ht="14.25" customHeight="1">
      <c r="D530" s="61"/>
      <c r="E530" s="62"/>
      <c r="F530" s="63"/>
      <c r="G530" s="64"/>
    </row>
    <row r="531" spans="4:7" ht="14.25" customHeight="1">
      <c r="D531" s="61"/>
      <c r="E531" s="62"/>
      <c r="F531" s="63"/>
      <c r="G531" s="64"/>
    </row>
    <row r="532" spans="4:7" ht="14.25" customHeight="1">
      <c r="D532" s="61"/>
      <c r="E532" s="62"/>
      <c r="F532" s="63"/>
      <c r="G532" s="64"/>
    </row>
    <row r="533" spans="4:7" ht="14.25" customHeight="1">
      <c r="D533" s="61"/>
      <c r="E533" s="62"/>
      <c r="F533" s="63"/>
      <c r="G533" s="64"/>
    </row>
    <row r="534" spans="4:7" ht="14.25" customHeight="1">
      <c r="D534" s="61"/>
      <c r="E534" s="62"/>
      <c r="F534" s="63"/>
      <c r="G534" s="64"/>
    </row>
    <row r="535" spans="4:7" ht="14.25" customHeight="1">
      <c r="D535" s="61"/>
      <c r="E535" s="62"/>
      <c r="F535" s="63"/>
      <c r="G535" s="64"/>
    </row>
    <row r="536" spans="4:7" ht="14.25" customHeight="1">
      <c r="D536" s="61"/>
      <c r="E536" s="62"/>
      <c r="F536" s="63"/>
      <c r="G536" s="64"/>
    </row>
    <row r="537" spans="4:7" ht="14.25" customHeight="1">
      <c r="D537" s="61"/>
      <c r="E537" s="62"/>
      <c r="F537" s="63"/>
      <c r="G537" s="64"/>
    </row>
    <row r="538" spans="4:7" ht="14.25" customHeight="1">
      <c r="D538" s="61"/>
      <c r="E538" s="62"/>
      <c r="F538" s="63"/>
      <c r="G538" s="64"/>
    </row>
    <row r="539" spans="4:7" ht="14.25" customHeight="1">
      <c r="D539" s="61"/>
      <c r="E539" s="62"/>
      <c r="F539" s="63"/>
      <c r="G539" s="64"/>
    </row>
    <row r="540" spans="4:7" ht="14.25" customHeight="1">
      <c r="D540" s="61"/>
      <c r="E540" s="62"/>
      <c r="F540" s="63"/>
      <c r="G540" s="64"/>
    </row>
    <row r="541" spans="4:7" ht="14.25" customHeight="1">
      <c r="D541" s="61"/>
      <c r="E541" s="62"/>
      <c r="F541" s="63"/>
      <c r="G541" s="64"/>
    </row>
    <row r="542" spans="4:7" ht="14.25" customHeight="1">
      <c r="D542" s="61"/>
      <c r="E542" s="62"/>
      <c r="F542" s="63"/>
      <c r="G542" s="64"/>
    </row>
    <row r="543" spans="4:7" ht="14.25" customHeight="1">
      <c r="D543" s="61"/>
      <c r="E543" s="62"/>
      <c r="F543" s="63"/>
      <c r="G543" s="64"/>
    </row>
    <row r="544" spans="4:7" ht="14.25" customHeight="1">
      <c r="D544" s="61"/>
      <c r="E544" s="62"/>
      <c r="F544" s="63"/>
      <c r="G544" s="64"/>
    </row>
    <row r="545" spans="4:7" ht="14.25" customHeight="1">
      <c r="D545" s="61"/>
      <c r="E545" s="62"/>
      <c r="F545" s="63"/>
      <c r="G545" s="64"/>
    </row>
    <row r="546" spans="4:7" ht="14.25" customHeight="1">
      <c r="D546" s="61"/>
      <c r="E546" s="62"/>
      <c r="F546" s="63"/>
      <c r="G546" s="64"/>
    </row>
    <row r="547" spans="4:7" ht="14.25" customHeight="1">
      <c r="D547" s="61"/>
      <c r="E547" s="62"/>
      <c r="F547" s="63"/>
      <c r="G547" s="64"/>
    </row>
    <row r="548" spans="4:7" ht="14.25" customHeight="1">
      <c r="D548" s="61"/>
      <c r="E548" s="62"/>
      <c r="F548" s="63"/>
      <c r="G548" s="64"/>
    </row>
    <row r="549" spans="4:7" ht="14.25" customHeight="1">
      <c r="D549" s="61"/>
      <c r="E549" s="62"/>
      <c r="F549" s="63"/>
      <c r="G549" s="64"/>
    </row>
    <row r="550" spans="4:7" ht="14.25" customHeight="1">
      <c r="D550" s="61"/>
      <c r="E550" s="62"/>
      <c r="F550" s="63"/>
      <c r="G550" s="64"/>
    </row>
    <row r="551" spans="4:7" ht="14.25" customHeight="1">
      <c r="D551" s="61"/>
      <c r="E551" s="62"/>
      <c r="F551" s="63"/>
      <c r="G551" s="64"/>
    </row>
    <row r="552" spans="4:7" ht="14.25" customHeight="1">
      <c r="D552" s="61"/>
      <c r="E552" s="62"/>
      <c r="F552" s="63"/>
      <c r="G552" s="64"/>
    </row>
    <row r="553" spans="4:7" ht="14.25" customHeight="1">
      <c r="D553" s="61"/>
      <c r="E553" s="62"/>
      <c r="F553" s="63"/>
      <c r="G553" s="64"/>
    </row>
    <row r="554" spans="4:7" ht="14.25" customHeight="1">
      <c r="D554" s="61"/>
      <c r="E554" s="62"/>
      <c r="F554" s="63"/>
      <c r="G554" s="64"/>
    </row>
    <row r="555" spans="4:7" ht="14.25" customHeight="1">
      <c r="D555" s="61"/>
      <c r="E555" s="62"/>
      <c r="F555" s="63"/>
      <c r="G555" s="64"/>
    </row>
    <row r="556" spans="4:7" ht="14.25" customHeight="1">
      <c r="D556" s="61"/>
      <c r="E556" s="62"/>
      <c r="F556" s="63"/>
      <c r="G556" s="64"/>
    </row>
    <row r="557" spans="4:7" ht="14.25" customHeight="1">
      <c r="D557" s="61"/>
      <c r="E557" s="62"/>
      <c r="F557" s="63"/>
      <c r="G557" s="64"/>
    </row>
    <row r="558" spans="4:7" ht="14.25" customHeight="1">
      <c r="D558" s="61"/>
      <c r="E558" s="62"/>
      <c r="F558" s="63"/>
      <c r="G558" s="64"/>
    </row>
    <row r="559" spans="4:7" ht="14.25" customHeight="1">
      <c r="D559" s="61"/>
      <c r="E559" s="62"/>
      <c r="F559" s="63"/>
      <c r="G559" s="64"/>
    </row>
    <row r="560" spans="4:7" ht="14.25" customHeight="1">
      <c r="D560" s="61"/>
      <c r="E560" s="62"/>
      <c r="F560" s="63"/>
      <c r="G560" s="64"/>
    </row>
    <row r="561" spans="4:7" ht="14.25" customHeight="1">
      <c r="D561" s="61"/>
      <c r="E561" s="62"/>
      <c r="F561" s="63"/>
      <c r="G561" s="64"/>
    </row>
    <row r="562" spans="4:7" ht="14.25" customHeight="1">
      <c r="D562" s="61"/>
      <c r="E562" s="62"/>
      <c r="F562" s="63"/>
      <c r="G562" s="64"/>
    </row>
    <row r="563" spans="4:7" ht="14.25" customHeight="1">
      <c r="D563" s="61"/>
      <c r="E563" s="62"/>
      <c r="F563" s="63"/>
      <c r="G563" s="64"/>
    </row>
    <row r="564" spans="4:7" ht="14.25" customHeight="1">
      <c r="D564" s="61"/>
      <c r="E564" s="62"/>
      <c r="F564" s="63"/>
      <c r="G564" s="64"/>
    </row>
    <row r="565" spans="4:7" ht="14.25" customHeight="1">
      <c r="D565" s="61"/>
      <c r="E565" s="62"/>
      <c r="F565" s="63"/>
      <c r="G565" s="64"/>
    </row>
    <row r="566" spans="4:7" ht="14.25" customHeight="1">
      <c r="D566" s="61"/>
      <c r="E566" s="62"/>
      <c r="F566" s="63"/>
      <c r="G566" s="64"/>
    </row>
    <row r="567" spans="4:7" ht="14.25" customHeight="1">
      <c r="D567" s="61"/>
      <c r="E567" s="62"/>
      <c r="F567" s="63"/>
      <c r="G567" s="64"/>
    </row>
    <row r="568" spans="4:7" ht="14.25" customHeight="1">
      <c r="D568" s="61"/>
      <c r="E568" s="62"/>
      <c r="F568" s="63"/>
      <c r="G568" s="64"/>
    </row>
    <row r="569" spans="4:7" ht="14.25" customHeight="1">
      <c r="D569" s="61"/>
      <c r="E569" s="62"/>
      <c r="F569" s="63"/>
      <c r="G569" s="64"/>
    </row>
    <row r="570" spans="4:7" ht="14.25" customHeight="1">
      <c r="D570" s="61"/>
      <c r="E570" s="62"/>
      <c r="F570" s="63"/>
      <c r="G570" s="64"/>
    </row>
    <row r="571" spans="4:7" ht="14.25" customHeight="1">
      <c r="D571" s="61"/>
      <c r="E571" s="62"/>
      <c r="F571" s="63"/>
      <c r="G571" s="64"/>
    </row>
    <row r="572" spans="4:7" ht="14.25" customHeight="1">
      <c r="D572" s="61"/>
      <c r="E572" s="62"/>
      <c r="F572" s="63"/>
      <c r="G572" s="64"/>
    </row>
    <row r="573" spans="4:7" ht="14.25" customHeight="1">
      <c r="D573" s="61"/>
      <c r="E573" s="62"/>
      <c r="F573" s="63"/>
      <c r="G573" s="64"/>
    </row>
    <row r="574" spans="4:7" ht="14.25" customHeight="1">
      <c r="D574" s="61"/>
      <c r="E574" s="62"/>
      <c r="F574" s="63"/>
      <c r="G574" s="64"/>
    </row>
    <row r="575" spans="4:7" ht="14.25" customHeight="1">
      <c r="D575" s="61"/>
      <c r="E575" s="62"/>
      <c r="F575" s="63"/>
      <c r="G575" s="64"/>
    </row>
    <row r="576" spans="4:7" ht="14.25" customHeight="1">
      <c r="D576" s="61"/>
      <c r="E576" s="62"/>
      <c r="F576" s="63"/>
      <c r="G576" s="64"/>
    </row>
    <row r="577" spans="4:7" ht="14.25" customHeight="1">
      <c r="D577" s="61"/>
      <c r="E577" s="62"/>
      <c r="F577" s="63"/>
      <c r="G577" s="64"/>
    </row>
    <row r="578" spans="4:7" ht="14.25" customHeight="1">
      <c r="D578" s="61"/>
      <c r="E578" s="62"/>
      <c r="F578" s="63"/>
      <c r="G578" s="64"/>
    </row>
    <row r="579" spans="4:7" ht="14.25" customHeight="1">
      <c r="D579" s="61"/>
      <c r="E579" s="62"/>
      <c r="F579" s="63"/>
      <c r="G579" s="64"/>
    </row>
    <row r="580" spans="4:7" ht="14.25" customHeight="1">
      <c r="D580" s="61"/>
      <c r="E580" s="62"/>
      <c r="F580" s="63"/>
      <c r="G580" s="64"/>
    </row>
    <row r="581" spans="4:7" ht="14.25" customHeight="1">
      <c r="D581" s="61"/>
      <c r="E581" s="62"/>
      <c r="F581" s="63"/>
      <c r="G581" s="64"/>
    </row>
    <row r="582" spans="4:7" ht="14.25" customHeight="1">
      <c r="D582" s="61"/>
      <c r="E582" s="62"/>
      <c r="F582" s="63"/>
      <c r="G582" s="64"/>
    </row>
    <row r="583" spans="4:7" ht="14.25" customHeight="1">
      <c r="D583" s="61"/>
      <c r="E583" s="62"/>
      <c r="F583" s="63"/>
      <c r="G583" s="64"/>
    </row>
    <row r="584" spans="4:7" ht="14.25" customHeight="1">
      <c r="D584" s="61"/>
      <c r="E584" s="62"/>
      <c r="F584" s="63"/>
      <c r="G584" s="64"/>
    </row>
    <row r="585" spans="4:7" ht="14.25" customHeight="1">
      <c r="D585" s="61"/>
      <c r="E585" s="62"/>
      <c r="F585" s="63"/>
      <c r="G585" s="64"/>
    </row>
    <row r="586" spans="4:7" ht="14.25" customHeight="1">
      <c r="D586" s="61"/>
      <c r="E586" s="62"/>
      <c r="F586" s="63"/>
      <c r="G586" s="64"/>
    </row>
    <row r="587" spans="4:7" ht="14.25" customHeight="1">
      <c r="D587" s="61"/>
      <c r="E587" s="62"/>
      <c r="F587" s="63"/>
      <c r="G587" s="64"/>
    </row>
    <row r="588" spans="4:7" ht="14.25" customHeight="1">
      <c r="D588" s="61"/>
      <c r="E588" s="62"/>
      <c r="F588" s="63"/>
      <c r="G588" s="64"/>
    </row>
    <row r="589" spans="4:7" ht="14.25" customHeight="1">
      <c r="D589" s="61"/>
      <c r="E589" s="62"/>
      <c r="F589" s="63"/>
      <c r="G589" s="64"/>
    </row>
    <row r="590" spans="4:7" ht="14.25" customHeight="1">
      <c r="D590" s="61"/>
      <c r="E590" s="62"/>
      <c r="F590" s="63"/>
      <c r="G590" s="64"/>
    </row>
    <row r="591" spans="4:7" ht="14.25" customHeight="1">
      <c r="D591" s="61"/>
      <c r="E591" s="62"/>
      <c r="F591" s="63"/>
      <c r="G591" s="64"/>
    </row>
    <row r="592" spans="4:7" ht="14.25" customHeight="1">
      <c r="D592" s="61"/>
      <c r="E592" s="62"/>
      <c r="F592" s="63"/>
      <c r="G592" s="64"/>
    </row>
    <row r="593" spans="4:7" ht="14.25" customHeight="1">
      <c r="D593" s="61"/>
      <c r="E593" s="62"/>
      <c r="F593" s="63"/>
      <c r="G593" s="64"/>
    </row>
    <row r="594" spans="4:7" ht="14.25" customHeight="1">
      <c r="D594" s="61"/>
      <c r="E594" s="62"/>
      <c r="F594" s="63"/>
      <c r="G594" s="64"/>
    </row>
    <row r="595" spans="4:7" ht="14.25" customHeight="1">
      <c r="D595" s="61"/>
      <c r="E595" s="62"/>
      <c r="F595" s="63"/>
      <c r="G595" s="64"/>
    </row>
    <row r="596" spans="4:7" ht="14.25" customHeight="1">
      <c r="D596" s="61"/>
      <c r="E596" s="62"/>
      <c r="F596" s="63"/>
      <c r="G596" s="64"/>
    </row>
    <row r="597" spans="4:7" ht="14.25" customHeight="1">
      <c r="D597" s="61"/>
      <c r="E597" s="62"/>
      <c r="F597" s="63"/>
      <c r="G597" s="64"/>
    </row>
    <row r="598" spans="4:7" ht="14.25" customHeight="1">
      <c r="D598" s="61"/>
      <c r="E598" s="62"/>
      <c r="F598" s="63"/>
      <c r="G598" s="64"/>
    </row>
    <row r="599" spans="4:7" ht="14.25" customHeight="1">
      <c r="D599" s="61"/>
      <c r="E599" s="62"/>
      <c r="F599" s="63"/>
      <c r="G599" s="64"/>
    </row>
    <row r="600" spans="4:7" ht="14.25" customHeight="1">
      <c r="D600" s="61"/>
      <c r="E600" s="62"/>
      <c r="F600" s="63"/>
      <c r="G600" s="64"/>
    </row>
    <row r="601" spans="4:7" ht="14.25" customHeight="1">
      <c r="D601" s="61"/>
      <c r="E601" s="62"/>
      <c r="F601" s="63"/>
      <c r="G601" s="64"/>
    </row>
    <row r="602" spans="4:7" ht="14.25" customHeight="1">
      <c r="D602" s="61"/>
      <c r="E602" s="62"/>
      <c r="F602" s="63"/>
      <c r="G602" s="64"/>
    </row>
    <row r="603" spans="4:7" ht="14.25" customHeight="1">
      <c r="D603" s="61"/>
      <c r="E603" s="62"/>
      <c r="F603" s="63"/>
      <c r="G603" s="64"/>
    </row>
    <row r="604" spans="4:7" ht="14.25" customHeight="1">
      <c r="D604" s="61"/>
      <c r="E604" s="62"/>
      <c r="F604" s="63"/>
      <c r="G604" s="64"/>
    </row>
    <row r="605" spans="4:7" ht="14.25" customHeight="1">
      <c r="D605" s="61"/>
      <c r="E605" s="62"/>
      <c r="F605" s="63"/>
      <c r="G605" s="64"/>
    </row>
    <row r="606" spans="4:7" ht="14.25" customHeight="1">
      <c r="D606" s="61"/>
      <c r="E606" s="62"/>
      <c r="F606" s="63"/>
      <c r="G606" s="64"/>
    </row>
    <row r="607" spans="4:7" ht="14.25" customHeight="1">
      <c r="D607" s="61"/>
      <c r="E607" s="62"/>
      <c r="F607" s="63"/>
      <c r="G607" s="64"/>
    </row>
    <row r="608" spans="4:7" ht="14.25" customHeight="1">
      <c r="D608" s="61"/>
      <c r="E608" s="62"/>
      <c r="F608" s="63"/>
      <c r="G608" s="64"/>
    </row>
    <row r="609" spans="4:7" ht="14.25" customHeight="1">
      <c r="D609" s="61"/>
      <c r="E609" s="62"/>
      <c r="F609" s="63"/>
      <c r="G609" s="64"/>
    </row>
    <row r="610" spans="4:7" ht="14.25" customHeight="1">
      <c r="D610" s="61"/>
      <c r="E610" s="62"/>
      <c r="F610" s="63"/>
      <c r="G610" s="64"/>
    </row>
    <row r="611" spans="4:7" ht="14.25" customHeight="1">
      <c r="D611" s="61"/>
      <c r="E611" s="62"/>
      <c r="F611" s="63"/>
      <c r="G611" s="64"/>
    </row>
    <row r="612" spans="4:7" ht="14.25" customHeight="1">
      <c r="D612" s="61"/>
      <c r="E612" s="62"/>
      <c r="F612" s="63"/>
      <c r="G612" s="64"/>
    </row>
    <row r="613" spans="4:7" ht="14.25" customHeight="1">
      <c r="D613" s="61"/>
      <c r="E613" s="62"/>
      <c r="F613" s="63"/>
      <c r="G613" s="64"/>
    </row>
    <row r="614" spans="4:7" ht="14.25" customHeight="1">
      <c r="D614" s="61"/>
      <c r="E614" s="62"/>
      <c r="F614" s="63"/>
      <c r="G614" s="64"/>
    </row>
    <row r="615" spans="4:7" ht="14.25" customHeight="1">
      <c r="D615" s="61"/>
      <c r="E615" s="62"/>
      <c r="F615" s="63"/>
      <c r="G615" s="64"/>
    </row>
    <row r="616" spans="4:7" ht="14.25" customHeight="1">
      <c r="D616" s="61"/>
      <c r="E616" s="62"/>
      <c r="F616" s="63"/>
      <c r="G616" s="64"/>
    </row>
    <row r="617" spans="4:7" ht="14.25" customHeight="1">
      <c r="D617" s="61"/>
      <c r="E617" s="62"/>
      <c r="F617" s="63"/>
      <c r="G617" s="64"/>
    </row>
    <row r="618" spans="4:7" ht="14.25" customHeight="1">
      <c r="D618" s="61"/>
      <c r="E618" s="62"/>
      <c r="F618" s="63"/>
      <c r="G618" s="64"/>
    </row>
    <row r="619" spans="4:7" ht="14.25" customHeight="1">
      <c r="D619" s="61"/>
      <c r="E619" s="62"/>
      <c r="F619" s="63"/>
      <c r="G619" s="64"/>
    </row>
    <row r="620" spans="4:7" ht="14.25" customHeight="1">
      <c r="D620" s="61"/>
      <c r="E620" s="62"/>
      <c r="F620" s="63"/>
      <c r="G620" s="64"/>
    </row>
    <row r="621" spans="4:7" ht="14.25" customHeight="1">
      <c r="D621" s="61"/>
      <c r="E621" s="62"/>
      <c r="F621" s="63"/>
      <c r="G621" s="64"/>
    </row>
    <row r="622" spans="4:7" ht="14.25" customHeight="1">
      <c r="D622" s="61"/>
      <c r="E622" s="62"/>
      <c r="F622" s="63"/>
      <c r="G622" s="64"/>
    </row>
    <row r="623" spans="4:7" ht="14.25" customHeight="1">
      <c r="D623" s="61"/>
      <c r="E623" s="62"/>
      <c r="F623" s="63"/>
      <c r="G623" s="64"/>
    </row>
    <row r="624" spans="4:7" ht="14.25" customHeight="1">
      <c r="D624" s="61"/>
      <c r="E624" s="62"/>
      <c r="F624" s="63"/>
      <c r="G624" s="64"/>
    </row>
    <row r="625" spans="4:7" ht="14.25" customHeight="1">
      <c r="D625" s="61"/>
      <c r="E625" s="62"/>
      <c r="F625" s="63"/>
      <c r="G625" s="64"/>
    </row>
    <row r="626" spans="4:7" ht="14.25" customHeight="1">
      <c r="D626" s="61"/>
      <c r="E626" s="62"/>
      <c r="F626" s="63"/>
      <c r="G626" s="64"/>
    </row>
    <row r="627" spans="4:7" ht="14.25" customHeight="1">
      <c r="D627" s="61"/>
      <c r="E627" s="62"/>
      <c r="F627" s="63"/>
      <c r="G627" s="64"/>
    </row>
    <row r="628" spans="4:7" ht="14.25" customHeight="1">
      <c r="D628" s="61"/>
      <c r="E628" s="62"/>
      <c r="F628" s="63"/>
      <c r="G628" s="64"/>
    </row>
    <row r="629" spans="4:7" ht="14.25" customHeight="1">
      <c r="D629" s="61"/>
      <c r="E629" s="62"/>
      <c r="F629" s="63"/>
      <c r="G629" s="64"/>
    </row>
    <row r="630" spans="4:7" ht="14.25" customHeight="1">
      <c r="D630" s="61"/>
      <c r="E630" s="62"/>
      <c r="F630" s="63"/>
      <c r="G630" s="64"/>
    </row>
    <row r="631" spans="4:7" ht="14.25" customHeight="1">
      <c r="D631" s="61"/>
      <c r="E631" s="62"/>
      <c r="F631" s="63"/>
      <c r="G631" s="64"/>
    </row>
    <row r="632" spans="4:7" ht="14.25" customHeight="1">
      <c r="D632" s="61"/>
      <c r="E632" s="62"/>
      <c r="F632" s="63"/>
      <c r="G632" s="64"/>
    </row>
    <row r="633" spans="4:7" ht="14.25" customHeight="1">
      <c r="D633" s="61"/>
      <c r="E633" s="62"/>
      <c r="F633" s="63"/>
      <c r="G633" s="64"/>
    </row>
    <row r="634" spans="4:7" ht="14.25" customHeight="1">
      <c r="D634" s="61"/>
      <c r="E634" s="62"/>
      <c r="F634" s="63"/>
      <c r="G634" s="64"/>
    </row>
    <row r="635" spans="4:7" ht="14.25" customHeight="1">
      <c r="D635" s="61"/>
      <c r="E635" s="62"/>
      <c r="F635" s="63"/>
      <c r="G635" s="64"/>
    </row>
    <row r="636" spans="4:7" ht="14.25" customHeight="1">
      <c r="D636" s="61"/>
      <c r="E636" s="62"/>
      <c r="F636" s="63"/>
      <c r="G636" s="64"/>
    </row>
    <row r="637" spans="4:7" ht="14.25" customHeight="1">
      <c r="D637" s="61"/>
      <c r="E637" s="62"/>
      <c r="F637" s="63"/>
      <c r="G637" s="64"/>
    </row>
    <row r="638" spans="4:7" ht="14.25" customHeight="1">
      <c r="D638" s="61"/>
      <c r="E638" s="62"/>
      <c r="F638" s="63"/>
      <c r="G638" s="64"/>
    </row>
    <row r="639" spans="4:7" ht="14.25" customHeight="1">
      <c r="D639" s="61"/>
      <c r="E639" s="62"/>
      <c r="F639" s="63"/>
      <c r="G639" s="64"/>
    </row>
    <row r="640" spans="4:7" ht="14.25" customHeight="1">
      <c r="D640" s="61"/>
      <c r="E640" s="62"/>
      <c r="F640" s="63"/>
      <c r="G640" s="64"/>
    </row>
    <row r="641" spans="4:7" ht="14.25" customHeight="1">
      <c r="D641" s="61"/>
      <c r="E641" s="62"/>
      <c r="F641" s="63"/>
      <c r="G641" s="64"/>
    </row>
    <row r="642" spans="4:7" ht="14.25" customHeight="1">
      <c r="D642" s="61"/>
      <c r="E642" s="62"/>
      <c r="F642" s="63"/>
      <c r="G642" s="64"/>
    </row>
    <row r="643" spans="4:7" ht="14.25" customHeight="1">
      <c r="D643" s="61"/>
      <c r="E643" s="62"/>
      <c r="F643" s="63"/>
      <c r="G643" s="64"/>
    </row>
    <row r="644" spans="4:7" ht="14.25" customHeight="1">
      <c r="D644" s="61"/>
      <c r="E644" s="62"/>
      <c r="F644" s="63"/>
      <c r="G644" s="64"/>
    </row>
    <row r="645" spans="4:7" ht="14.25" customHeight="1">
      <c r="D645" s="61"/>
      <c r="E645" s="62"/>
      <c r="F645" s="63"/>
      <c r="G645" s="64"/>
    </row>
    <row r="646" spans="4:7" ht="14.25" customHeight="1">
      <c r="D646" s="61"/>
      <c r="E646" s="62"/>
      <c r="F646" s="63"/>
      <c r="G646" s="64"/>
    </row>
    <row r="647" spans="4:7" ht="14.25" customHeight="1">
      <c r="D647" s="61"/>
      <c r="E647" s="62"/>
      <c r="F647" s="63"/>
      <c r="G647" s="64"/>
    </row>
    <row r="648" spans="4:7" ht="14.25" customHeight="1">
      <c r="D648" s="61"/>
      <c r="E648" s="62"/>
      <c r="F648" s="63"/>
      <c r="G648" s="64"/>
    </row>
    <row r="649" spans="4:7" ht="14.25" customHeight="1">
      <c r="D649" s="61"/>
      <c r="E649" s="62"/>
      <c r="F649" s="63"/>
      <c r="G649" s="64"/>
    </row>
    <row r="650" spans="4:7" ht="14.25" customHeight="1">
      <c r="D650" s="61"/>
      <c r="E650" s="62"/>
      <c r="F650" s="63"/>
      <c r="G650" s="64"/>
    </row>
    <row r="651" spans="4:7" ht="14.25" customHeight="1">
      <c r="D651" s="61"/>
      <c r="E651" s="62"/>
      <c r="F651" s="63"/>
      <c r="G651" s="64"/>
    </row>
    <row r="652" spans="4:7" ht="14.25" customHeight="1">
      <c r="D652" s="61"/>
      <c r="E652" s="62"/>
      <c r="F652" s="63"/>
      <c r="G652" s="64"/>
    </row>
    <row r="653" spans="4:7" ht="14.25" customHeight="1">
      <c r="D653" s="61"/>
      <c r="E653" s="62"/>
      <c r="F653" s="63"/>
      <c r="G653" s="64"/>
    </row>
    <row r="654" spans="4:7" ht="14.25" customHeight="1">
      <c r="D654" s="61"/>
      <c r="E654" s="62"/>
      <c r="F654" s="63"/>
      <c r="G654" s="64"/>
    </row>
    <row r="655" spans="4:7" ht="14.25" customHeight="1">
      <c r="D655" s="61"/>
      <c r="E655" s="62"/>
      <c r="F655" s="63"/>
      <c r="G655" s="64"/>
    </row>
    <row r="656" spans="4:7" ht="14.25" customHeight="1">
      <c r="D656" s="61"/>
      <c r="E656" s="62"/>
      <c r="F656" s="63"/>
      <c r="G656" s="64"/>
    </row>
    <row r="657" spans="4:7" ht="14.25" customHeight="1">
      <c r="D657" s="61"/>
      <c r="E657" s="62"/>
      <c r="F657" s="63"/>
      <c r="G657" s="64"/>
    </row>
    <row r="658" spans="4:7" ht="14.25" customHeight="1">
      <c r="D658" s="61"/>
      <c r="E658" s="62"/>
      <c r="F658" s="63"/>
      <c r="G658" s="64"/>
    </row>
    <row r="659" spans="4:7" ht="14.25" customHeight="1">
      <c r="D659" s="61"/>
      <c r="E659" s="62"/>
      <c r="F659" s="63"/>
      <c r="G659" s="64"/>
    </row>
    <row r="660" spans="4:7" ht="14.25" customHeight="1">
      <c r="D660" s="61"/>
      <c r="E660" s="62"/>
      <c r="F660" s="63"/>
      <c r="G660" s="64"/>
    </row>
    <row r="661" spans="4:7" ht="14.25" customHeight="1">
      <c r="D661" s="61"/>
      <c r="E661" s="62"/>
      <c r="F661" s="63"/>
      <c r="G661" s="64"/>
    </row>
    <row r="662" spans="4:7" ht="14.25" customHeight="1">
      <c r="D662" s="61"/>
      <c r="E662" s="62"/>
      <c r="F662" s="63"/>
      <c r="G662" s="64"/>
    </row>
    <row r="663" spans="4:7" ht="14.25" customHeight="1">
      <c r="D663" s="61"/>
      <c r="E663" s="62"/>
      <c r="F663" s="63"/>
      <c r="G663" s="64"/>
    </row>
    <row r="664" spans="4:7" ht="14.25" customHeight="1">
      <c r="D664" s="61"/>
      <c r="E664" s="62"/>
      <c r="F664" s="63"/>
      <c r="G664" s="64"/>
    </row>
    <row r="665" spans="4:7" ht="14.25" customHeight="1">
      <c r="D665" s="61"/>
      <c r="E665" s="62"/>
      <c r="F665" s="63"/>
      <c r="G665" s="64"/>
    </row>
    <row r="666" spans="4:7" ht="14.25" customHeight="1">
      <c r="D666" s="61"/>
      <c r="E666" s="62"/>
      <c r="F666" s="63"/>
      <c r="G666" s="64"/>
    </row>
    <row r="667" spans="4:7" ht="14.25" customHeight="1">
      <c r="D667" s="61"/>
      <c r="E667" s="62"/>
      <c r="F667" s="63"/>
      <c r="G667" s="64"/>
    </row>
    <row r="668" spans="4:7" ht="14.25" customHeight="1">
      <c r="D668" s="61"/>
      <c r="E668" s="62"/>
      <c r="F668" s="63"/>
      <c r="G668" s="64"/>
    </row>
    <row r="669" spans="4:7" ht="14.25" customHeight="1">
      <c r="D669" s="61"/>
      <c r="E669" s="62"/>
      <c r="F669" s="63"/>
      <c r="G669" s="64"/>
    </row>
    <row r="670" spans="4:7" ht="14.25" customHeight="1">
      <c r="D670" s="61"/>
      <c r="E670" s="62"/>
      <c r="F670" s="63"/>
      <c r="G670" s="64"/>
    </row>
    <row r="671" spans="4:7" ht="14.25" customHeight="1">
      <c r="D671" s="61"/>
      <c r="E671" s="62"/>
      <c r="F671" s="63"/>
      <c r="G671" s="64"/>
    </row>
    <row r="672" spans="4:7" ht="14.25" customHeight="1">
      <c r="D672" s="61"/>
      <c r="E672" s="62"/>
      <c r="F672" s="63"/>
      <c r="G672" s="64"/>
    </row>
    <row r="673" spans="4:7" ht="14.25" customHeight="1">
      <c r="D673" s="61"/>
      <c r="E673" s="62"/>
      <c r="F673" s="63"/>
      <c r="G673" s="64"/>
    </row>
    <row r="674" spans="4:7" ht="14.25" customHeight="1">
      <c r="D674" s="61"/>
      <c r="E674" s="62"/>
      <c r="F674" s="63"/>
      <c r="G674" s="64"/>
    </row>
    <row r="675" spans="4:7" ht="14.25" customHeight="1">
      <c r="D675" s="61"/>
      <c r="E675" s="62"/>
      <c r="F675" s="63"/>
      <c r="G675" s="64"/>
    </row>
    <row r="676" spans="4:7" ht="14.25" customHeight="1">
      <c r="D676" s="61"/>
      <c r="E676" s="62"/>
      <c r="F676" s="63"/>
      <c r="G676" s="64"/>
    </row>
    <row r="677" spans="4:7" ht="14.25" customHeight="1">
      <c r="D677" s="61"/>
      <c r="E677" s="62"/>
      <c r="F677" s="63"/>
      <c r="G677" s="64"/>
    </row>
    <row r="678" spans="4:7" ht="14.25" customHeight="1">
      <c r="D678" s="61"/>
      <c r="E678" s="62"/>
      <c r="F678" s="63"/>
      <c r="G678" s="64"/>
    </row>
    <row r="679" spans="4:7" ht="14.25" customHeight="1">
      <c r="D679" s="61"/>
      <c r="E679" s="62"/>
      <c r="F679" s="63"/>
      <c r="G679" s="64"/>
    </row>
    <row r="680" spans="4:7" ht="14.25" customHeight="1">
      <c r="D680" s="61"/>
      <c r="E680" s="62"/>
      <c r="F680" s="63"/>
      <c r="G680" s="64"/>
    </row>
    <row r="681" spans="4:7" ht="14.25" customHeight="1">
      <c r="D681" s="61"/>
      <c r="E681" s="62"/>
      <c r="F681" s="63"/>
      <c r="G681" s="64"/>
    </row>
    <row r="682" spans="4:7" ht="14.25" customHeight="1">
      <c r="D682" s="61"/>
      <c r="E682" s="62"/>
      <c r="F682" s="63"/>
      <c r="G682" s="64"/>
    </row>
    <row r="683" spans="4:7" ht="14.25" customHeight="1">
      <c r="D683" s="61"/>
      <c r="E683" s="62"/>
      <c r="F683" s="63"/>
      <c r="G683" s="64"/>
    </row>
    <row r="684" spans="4:7" ht="14.25" customHeight="1">
      <c r="D684" s="61"/>
      <c r="E684" s="62"/>
      <c r="F684" s="63"/>
      <c r="G684" s="64"/>
    </row>
    <row r="685" spans="4:7" ht="14.25" customHeight="1">
      <c r="D685" s="61"/>
      <c r="E685" s="62"/>
      <c r="F685" s="63"/>
      <c r="G685" s="64"/>
    </row>
    <row r="686" spans="4:7" ht="14.25" customHeight="1">
      <c r="D686" s="61"/>
      <c r="E686" s="62"/>
      <c r="F686" s="63"/>
      <c r="G686" s="64"/>
    </row>
    <row r="687" spans="4:7" ht="14.25" customHeight="1">
      <c r="D687" s="61"/>
      <c r="E687" s="62"/>
      <c r="F687" s="63"/>
      <c r="G687" s="64"/>
    </row>
    <row r="688" spans="4:7" ht="14.25" customHeight="1">
      <c r="D688" s="61"/>
      <c r="E688" s="62"/>
      <c r="F688" s="63"/>
      <c r="G688" s="64"/>
    </row>
    <row r="689" spans="4:7" ht="14.25" customHeight="1">
      <c r="D689" s="61"/>
      <c r="E689" s="62"/>
      <c r="F689" s="63"/>
      <c r="G689" s="64"/>
    </row>
    <row r="690" spans="4:7" ht="14.25" customHeight="1">
      <c r="D690" s="61"/>
      <c r="E690" s="62"/>
      <c r="F690" s="63"/>
      <c r="G690" s="64"/>
    </row>
    <row r="691" spans="4:7" ht="14.25" customHeight="1">
      <c r="D691" s="61"/>
      <c r="E691" s="62"/>
      <c r="F691" s="63"/>
      <c r="G691" s="64"/>
    </row>
    <row r="692" spans="4:7" ht="14.25" customHeight="1">
      <c r="D692" s="61"/>
      <c r="E692" s="62"/>
      <c r="F692" s="63"/>
      <c r="G692" s="64"/>
    </row>
    <row r="693" spans="4:7" ht="14.25" customHeight="1">
      <c r="D693" s="61"/>
      <c r="E693" s="62"/>
      <c r="F693" s="63"/>
      <c r="G693" s="64"/>
    </row>
    <row r="694" spans="4:7" ht="14.25" customHeight="1">
      <c r="D694" s="61"/>
      <c r="E694" s="62"/>
      <c r="F694" s="63"/>
      <c r="G694" s="64"/>
    </row>
    <row r="695" spans="4:7" ht="14.25" customHeight="1">
      <c r="D695" s="61"/>
      <c r="E695" s="62"/>
      <c r="F695" s="63"/>
      <c r="G695" s="64"/>
    </row>
    <row r="696" spans="4:7" ht="14.25" customHeight="1">
      <c r="D696" s="61"/>
      <c r="E696" s="62"/>
      <c r="F696" s="63"/>
      <c r="G696" s="64"/>
    </row>
    <row r="697" spans="4:7" ht="14.25" customHeight="1">
      <c r="D697" s="61"/>
      <c r="E697" s="62"/>
      <c r="F697" s="63"/>
      <c r="G697" s="64"/>
    </row>
    <row r="698" spans="4:7" ht="14.25" customHeight="1">
      <c r="D698" s="61"/>
      <c r="E698" s="62"/>
      <c r="F698" s="63"/>
      <c r="G698" s="64"/>
    </row>
    <row r="699" spans="4:7" ht="14.25" customHeight="1">
      <c r="D699" s="61"/>
      <c r="E699" s="62"/>
      <c r="F699" s="63"/>
      <c r="G699" s="64"/>
    </row>
    <row r="700" spans="4:7" ht="14.25" customHeight="1">
      <c r="D700" s="61"/>
      <c r="E700" s="62"/>
      <c r="F700" s="63"/>
      <c r="G700" s="64"/>
    </row>
    <row r="701" spans="4:7" ht="14.25" customHeight="1">
      <c r="D701" s="61"/>
      <c r="E701" s="62"/>
      <c r="F701" s="63"/>
      <c r="G701" s="64"/>
    </row>
    <row r="702" spans="4:7" ht="14.25" customHeight="1">
      <c r="D702" s="61"/>
      <c r="E702" s="62"/>
      <c r="F702" s="63"/>
      <c r="G702" s="64"/>
    </row>
    <row r="703" spans="4:7" ht="14.25" customHeight="1">
      <c r="D703" s="61"/>
      <c r="E703" s="62"/>
      <c r="F703" s="63"/>
      <c r="G703" s="64"/>
    </row>
    <row r="704" spans="4:7" ht="14.25" customHeight="1">
      <c r="D704" s="61"/>
      <c r="E704" s="62"/>
      <c r="F704" s="63"/>
      <c r="G704" s="64"/>
    </row>
    <row r="705" spans="4:7" ht="14.25" customHeight="1">
      <c r="D705" s="61"/>
      <c r="E705" s="62"/>
      <c r="F705" s="63"/>
      <c r="G705" s="64"/>
    </row>
    <row r="706" spans="4:7" ht="14.25" customHeight="1">
      <c r="D706" s="61"/>
      <c r="E706" s="62"/>
      <c r="F706" s="63"/>
      <c r="G706" s="64"/>
    </row>
    <row r="707" spans="4:7" ht="14.25" customHeight="1">
      <c r="D707" s="61"/>
      <c r="E707" s="62"/>
      <c r="F707" s="63"/>
      <c r="G707" s="64"/>
    </row>
    <row r="708" spans="4:7" ht="14.25" customHeight="1">
      <c r="D708" s="61"/>
      <c r="E708" s="62"/>
      <c r="F708" s="63"/>
      <c r="G708" s="64"/>
    </row>
    <row r="709" spans="4:7" ht="14.25" customHeight="1">
      <c r="D709" s="61"/>
      <c r="E709" s="62"/>
      <c r="F709" s="63"/>
      <c r="G709" s="64"/>
    </row>
    <row r="710" spans="4:7" ht="14.25" customHeight="1">
      <c r="D710" s="61"/>
      <c r="E710" s="62"/>
      <c r="F710" s="63"/>
      <c r="G710" s="64"/>
    </row>
    <row r="711" spans="4:7" ht="14.25" customHeight="1">
      <c r="D711" s="61"/>
      <c r="E711" s="62"/>
      <c r="F711" s="63"/>
      <c r="G711" s="64"/>
    </row>
    <row r="712" spans="4:7" ht="14.25" customHeight="1">
      <c r="D712" s="61"/>
      <c r="E712" s="62"/>
      <c r="F712" s="63"/>
      <c r="G712" s="64"/>
    </row>
    <row r="713" spans="4:7" ht="14.25" customHeight="1">
      <c r="D713" s="61"/>
      <c r="E713" s="62"/>
      <c r="F713" s="63"/>
      <c r="G713" s="64"/>
    </row>
    <row r="714" spans="4:7" ht="14.25" customHeight="1">
      <c r="D714" s="61"/>
      <c r="E714" s="62"/>
      <c r="F714" s="63"/>
      <c r="G714" s="64"/>
    </row>
    <row r="715" spans="4:7" ht="14.25" customHeight="1">
      <c r="D715" s="61"/>
      <c r="E715" s="62"/>
      <c r="F715" s="63"/>
      <c r="G715" s="64"/>
    </row>
    <row r="716" spans="4:7" ht="14.25" customHeight="1">
      <c r="D716" s="61"/>
      <c r="E716" s="62"/>
      <c r="F716" s="63"/>
      <c r="G716" s="64"/>
    </row>
    <row r="717" spans="4:7" ht="14.25" customHeight="1">
      <c r="D717" s="61"/>
      <c r="E717" s="62"/>
      <c r="F717" s="63"/>
      <c r="G717" s="64"/>
    </row>
    <row r="718" spans="4:7" ht="14.25" customHeight="1">
      <c r="D718" s="61"/>
      <c r="E718" s="62"/>
      <c r="F718" s="63"/>
      <c r="G718" s="64"/>
    </row>
    <row r="719" spans="4:7" ht="14.25" customHeight="1">
      <c r="D719" s="61"/>
      <c r="E719" s="62"/>
      <c r="F719" s="63"/>
      <c r="G719" s="64"/>
    </row>
    <row r="720" spans="4:7" ht="14.25" customHeight="1">
      <c r="D720" s="61"/>
      <c r="E720" s="62"/>
      <c r="F720" s="63"/>
      <c r="G720" s="64"/>
    </row>
    <row r="721" spans="4:7" ht="14.25" customHeight="1">
      <c r="D721" s="61"/>
      <c r="E721" s="62"/>
      <c r="F721" s="63"/>
      <c r="G721" s="64"/>
    </row>
    <row r="722" spans="4:7" ht="14.25" customHeight="1">
      <c r="D722" s="61"/>
      <c r="E722" s="62"/>
      <c r="F722" s="63"/>
      <c r="G722" s="64"/>
    </row>
    <row r="723" spans="4:7" ht="14.25" customHeight="1">
      <c r="D723" s="61"/>
      <c r="E723" s="62"/>
      <c r="F723" s="63"/>
      <c r="G723" s="64"/>
    </row>
    <row r="724" spans="4:7" ht="14.25" customHeight="1">
      <c r="D724" s="61"/>
      <c r="E724" s="62"/>
      <c r="F724" s="63"/>
      <c r="G724" s="64"/>
    </row>
    <row r="725" spans="4:7" ht="14.25" customHeight="1">
      <c r="D725" s="61"/>
      <c r="E725" s="62"/>
      <c r="F725" s="63"/>
      <c r="G725" s="64"/>
    </row>
    <row r="726" spans="4:7" ht="14.25" customHeight="1">
      <c r="D726" s="61"/>
      <c r="E726" s="62"/>
      <c r="F726" s="63"/>
      <c r="G726" s="64"/>
    </row>
    <row r="727" spans="4:7" ht="14.25" customHeight="1">
      <c r="D727" s="61"/>
      <c r="E727" s="62"/>
      <c r="F727" s="63"/>
      <c r="G727" s="64"/>
    </row>
    <row r="728" spans="4:7" ht="14.25" customHeight="1">
      <c r="D728" s="61"/>
      <c r="E728" s="62"/>
      <c r="F728" s="63"/>
      <c r="G728" s="64"/>
    </row>
    <row r="729" spans="4:7" ht="14.25" customHeight="1">
      <c r="D729" s="61"/>
      <c r="E729" s="62"/>
      <c r="F729" s="63"/>
      <c r="G729" s="64"/>
    </row>
    <row r="730" spans="4:7" ht="14.25" customHeight="1">
      <c r="D730" s="61"/>
      <c r="E730" s="62"/>
      <c r="F730" s="63"/>
      <c r="G730" s="64"/>
    </row>
    <row r="731" spans="4:7" ht="14.25" customHeight="1">
      <c r="D731" s="61"/>
      <c r="E731" s="62"/>
      <c r="F731" s="63"/>
      <c r="G731" s="64"/>
    </row>
    <row r="732" spans="4:7" ht="14.25" customHeight="1">
      <c r="D732" s="61"/>
      <c r="E732" s="62"/>
      <c r="F732" s="63"/>
      <c r="G732" s="64"/>
    </row>
    <row r="733" spans="4:7" ht="14.25" customHeight="1">
      <c r="D733" s="61"/>
      <c r="E733" s="62"/>
      <c r="F733" s="63"/>
      <c r="G733" s="64"/>
    </row>
    <row r="734" spans="4:7" ht="14.25" customHeight="1">
      <c r="D734" s="61"/>
      <c r="E734" s="62"/>
      <c r="F734" s="63"/>
      <c r="G734" s="64"/>
    </row>
    <row r="735" spans="4:7" ht="14.25" customHeight="1">
      <c r="D735" s="61"/>
      <c r="E735" s="62"/>
      <c r="F735" s="63"/>
      <c r="G735" s="64"/>
    </row>
    <row r="736" spans="4:7" ht="14.25" customHeight="1">
      <c r="D736" s="61"/>
      <c r="E736" s="62"/>
      <c r="F736" s="63"/>
      <c r="G736" s="64"/>
    </row>
    <row r="737" spans="4:7" ht="14.25" customHeight="1">
      <c r="D737" s="61"/>
      <c r="E737" s="62"/>
      <c r="F737" s="63"/>
      <c r="G737" s="64"/>
    </row>
    <row r="738" spans="4:7" ht="14.25" customHeight="1">
      <c r="D738" s="61"/>
      <c r="E738" s="62"/>
      <c r="F738" s="63"/>
      <c r="G738" s="64"/>
    </row>
    <row r="739" spans="4:7" ht="14.25" customHeight="1">
      <c r="D739" s="61"/>
      <c r="E739" s="62"/>
      <c r="F739" s="63"/>
      <c r="G739" s="64"/>
    </row>
    <row r="740" spans="4:7" ht="14.25" customHeight="1">
      <c r="D740" s="61"/>
      <c r="E740" s="62"/>
      <c r="F740" s="63"/>
      <c r="G740" s="64"/>
    </row>
    <row r="741" spans="4:7" ht="14.25" customHeight="1">
      <c r="D741" s="61"/>
      <c r="E741" s="62"/>
      <c r="F741" s="63"/>
      <c r="G741" s="64"/>
    </row>
    <row r="742" spans="4:7" ht="14.25" customHeight="1">
      <c r="D742" s="61"/>
      <c r="E742" s="62"/>
      <c r="F742" s="63"/>
      <c r="G742" s="64"/>
    </row>
    <row r="743" spans="4:7" ht="14.25" customHeight="1">
      <c r="D743" s="61"/>
      <c r="E743" s="62"/>
      <c r="F743" s="63"/>
      <c r="G743" s="64"/>
    </row>
    <row r="744" spans="4:7" ht="14.25" customHeight="1">
      <c r="D744" s="61"/>
      <c r="E744" s="62"/>
      <c r="F744" s="63"/>
      <c r="G744" s="64"/>
    </row>
    <row r="745" spans="4:7" ht="14.25" customHeight="1">
      <c r="D745" s="61"/>
      <c r="E745" s="62"/>
      <c r="F745" s="63"/>
      <c r="G745" s="64"/>
    </row>
    <row r="746" spans="4:7" ht="14.25" customHeight="1">
      <c r="D746" s="61"/>
      <c r="E746" s="62"/>
      <c r="F746" s="63"/>
      <c r="G746" s="64"/>
    </row>
    <row r="747" spans="4:7" ht="14.25" customHeight="1">
      <c r="D747" s="61"/>
      <c r="E747" s="62"/>
      <c r="F747" s="63"/>
      <c r="G747" s="64"/>
    </row>
    <row r="748" spans="4:7" ht="14.25" customHeight="1">
      <c r="D748" s="61"/>
      <c r="E748" s="62"/>
      <c r="F748" s="63"/>
      <c r="G748" s="64"/>
    </row>
    <row r="749" spans="4:7" ht="14.25" customHeight="1">
      <c r="D749" s="61"/>
      <c r="E749" s="62"/>
      <c r="F749" s="63"/>
      <c r="G749" s="64"/>
    </row>
    <row r="750" spans="4:7" ht="14.25" customHeight="1">
      <c r="D750" s="61"/>
      <c r="E750" s="62"/>
      <c r="F750" s="63"/>
      <c r="G750" s="64"/>
    </row>
    <row r="751" spans="4:7" ht="14.25" customHeight="1">
      <c r="D751" s="61"/>
      <c r="E751" s="62"/>
      <c r="F751" s="63"/>
      <c r="G751" s="64"/>
    </row>
    <row r="752" spans="4:7" ht="14.25" customHeight="1">
      <c r="D752" s="61"/>
      <c r="E752" s="62"/>
      <c r="F752" s="63"/>
      <c r="G752" s="64"/>
    </row>
    <row r="753" spans="4:7" ht="14.25" customHeight="1">
      <c r="D753" s="61"/>
      <c r="E753" s="62"/>
      <c r="F753" s="63"/>
      <c r="G753" s="64"/>
    </row>
    <row r="754" spans="4:7" ht="14.25" customHeight="1">
      <c r="D754" s="61"/>
      <c r="E754" s="62"/>
      <c r="F754" s="63"/>
      <c r="G754" s="64"/>
    </row>
    <row r="755" spans="4:7" ht="14.25" customHeight="1">
      <c r="D755" s="61"/>
      <c r="E755" s="62"/>
      <c r="F755" s="63"/>
      <c r="G755" s="64"/>
    </row>
    <row r="756" spans="4:7" ht="14.25" customHeight="1">
      <c r="D756" s="61"/>
      <c r="E756" s="62"/>
      <c r="F756" s="63"/>
      <c r="G756" s="64"/>
    </row>
    <row r="757" spans="4:7" ht="14.25" customHeight="1">
      <c r="D757" s="61"/>
      <c r="E757" s="62"/>
      <c r="F757" s="63"/>
      <c r="G757" s="64"/>
    </row>
    <row r="758" spans="4:7" ht="14.25" customHeight="1">
      <c r="D758" s="61"/>
      <c r="E758" s="62"/>
      <c r="F758" s="63"/>
      <c r="G758" s="64"/>
    </row>
    <row r="759" spans="4:7" ht="14.25" customHeight="1">
      <c r="D759" s="61"/>
      <c r="E759" s="62"/>
      <c r="F759" s="63"/>
      <c r="G759" s="64"/>
    </row>
    <row r="760" spans="4:7" ht="14.25" customHeight="1">
      <c r="D760" s="61"/>
      <c r="E760" s="62"/>
      <c r="F760" s="63"/>
      <c r="G760" s="64"/>
    </row>
    <row r="761" spans="4:7" ht="14.25" customHeight="1">
      <c r="D761" s="61"/>
      <c r="E761" s="62"/>
      <c r="F761" s="63"/>
      <c r="G761" s="64"/>
    </row>
    <row r="762" spans="4:7" ht="14.25" customHeight="1">
      <c r="D762" s="61"/>
      <c r="E762" s="62"/>
      <c r="F762" s="63"/>
      <c r="G762" s="64"/>
    </row>
    <row r="763" spans="4:7" ht="14.25" customHeight="1">
      <c r="D763" s="61"/>
      <c r="E763" s="62"/>
      <c r="F763" s="63"/>
      <c r="G763" s="64"/>
    </row>
    <row r="764" spans="4:7" ht="14.25" customHeight="1">
      <c r="D764" s="61"/>
      <c r="E764" s="62"/>
      <c r="F764" s="63"/>
      <c r="G764" s="64"/>
    </row>
    <row r="765" spans="4:7" ht="14.25" customHeight="1">
      <c r="D765" s="61"/>
      <c r="E765" s="62"/>
      <c r="F765" s="63"/>
      <c r="G765" s="64"/>
    </row>
    <row r="766" spans="4:7" ht="14.25" customHeight="1">
      <c r="D766" s="61"/>
      <c r="E766" s="62"/>
      <c r="F766" s="63"/>
      <c r="G766" s="64"/>
    </row>
    <row r="767" spans="4:7" ht="14.25" customHeight="1">
      <c r="D767" s="61"/>
      <c r="E767" s="62"/>
      <c r="F767" s="63"/>
      <c r="G767" s="64"/>
    </row>
    <row r="768" spans="4:7" ht="14.25" customHeight="1">
      <c r="D768" s="61"/>
      <c r="E768" s="62"/>
      <c r="F768" s="63"/>
      <c r="G768" s="64"/>
    </row>
    <row r="769" spans="4:7" ht="14.25" customHeight="1">
      <c r="D769" s="61"/>
      <c r="E769" s="62"/>
      <c r="F769" s="63"/>
      <c r="G769" s="64"/>
    </row>
    <row r="770" spans="4:7" ht="14.25" customHeight="1">
      <c r="D770" s="61"/>
      <c r="E770" s="62"/>
      <c r="F770" s="63"/>
      <c r="G770" s="64"/>
    </row>
    <row r="771" spans="4:7" ht="14.25" customHeight="1">
      <c r="D771" s="61"/>
      <c r="E771" s="62"/>
      <c r="F771" s="63"/>
      <c r="G771" s="64"/>
    </row>
    <row r="772" spans="4:7" ht="14.25" customHeight="1">
      <c r="D772" s="61"/>
      <c r="E772" s="62"/>
      <c r="F772" s="63"/>
      <c r="G772" s="64"/>
    </row>
    <row r="773" spans="4:7" ht="14.25" customHeight="1">
      <c r="D773" s="61"/>
      <c r="E773" s="62"/>
      <c r="F773" s="63"/>
      <c r="G773" s="64"/>
    </row>
    <row r="774" spans="4:7" ht="14.25" customHeight="1">
      <c r="D774" s="61"/>
      <c r="E774" s="62"/>
      <c r="F774" s="63"/>
      <c r="G774" s="64"/>
    </row>
    <row r="775" spans="4:7" ht="14.25" customHeight="1">
      <c r="D775" s="61"/>
      <c r="E775" s="62"/>
      <c r="F775" s="63"/>
      <c r="G775" s="64"/>
    </row>
    <row r="776" spans="4:7" ht="14.25" customHeight="1">
      <c r="D776" s="61"/>
      <c r="E776" s="62"/>
      <c r="F776" s="63"/>
      <c r="G776" s="64"/>
    </row>
    <row r="777" spans="4:7" ht="14.25" customHeight="1">
      <c r="D777" s="61"/>
      <c r="E777" s="62"/>
      <c r="F777" s="63"/>
      <c r="G777" s="64"/>
    </row>
    <row r="778" spans="4:7" ht="14.25" customHeight="1">
      <c r="D778" s="61"/>
      <c r="E778" s="62"/>
      <c r="F778" s="63"/>
      <c r="G778" s="64"/>
    </row>
    <row r="779" spans="4:7" ht="14.25" customHeight="1">
      <c r="D779" s="61"/>
      <c r="E779" s="62"/>
      <c r="F779" s="63"/>
      <c r="G779" s="64"/>
    </row>
    <row r="780" spans="4:7" ht="14.25" customHeight="1">
      <c r="D780" s="61"/>
      <c r="E780" s="62"/>
      <c r="F780" s="63"/>
      <c r="G780" s="64"/>
    </row>
    <row r="781" spans="4:7" ht="14.25" customHeight="1">
      <c r="D781" s="61"/>
      <c r="E781" s="62"/>
      <c r="F781" s="63"/>
      <c r="G781" s="64"/>
    </row>
    <row r="782" spans="4:7" ht="14.25" customHeight="1">
      <c r="D782" s="61"/>
      <c r="E782" s="62"/>
      <c r="F782" s="63"/>
      <c r="G782" s="64"/>
    </row>
    <row r="783" spans="4:7" ht="14.25" customHeight="1">
      <c r="D783" s="61"/>
      <c r="E783" s="62"/>
      <c r="F783" s="63"/>
      <c r="G783" s="64"/>
    </row>
    <row r="784" spans="4:7" ht="14.25" customHeight="1">
      <c r="D784" s="61"/>
      <c r="E784" s="62"/>
      <c r="F784" s="63"/>
      <c r="G784" s="64"/>
    </row>
    <row r="785" spans="4:7" ht="14.25" customHeight="1">
      <c r="D785" s="61"/>
      <c r="E785" s="62"/>
      <c r="F785" s="63"/>
      <c r="G785" s="64"/>
    </row>
    <row r="786" spans="4:7" ht="14.25" customHeight="1">
      <c r="D786" s="61"/>
      <c r="E786" s="62"/>
      <c r="F786" s="63"/>
      <c r="G786" s="64"/>
    </row>
    <row r="787" spans="4:7" ht="14.25" customHeight="1">
      <c r="D787" s="61"/>
      <c r="E787" s="62"/>
      <c r="F787" s="63"/>
      <c r="G787" s="64"/>
    </row>
    <row r="788" spans="4:7" ht="14.25" customHeight="1">
      <c r="D788" s="61"/>
      <c r="E788" s="62"/>
      <c r="F788" s="63"/>
      <c r="G788" s="64"/>
    </row>
    <row r="789" spans="4:7" ht="14.25" customHeight="1">
      <c r="D789" s="61"/>
      <c r="E789" s="62"/>
      <c r="F789" s="63"/>
      <c r="G789" s="64"/>
    </row>
    <row r="790" spans="4:7" ht="14.25" customHeight="1">
      <c r="D790" s="61"/>
      <c r="E790" s="62"/>
      <c r="F790" s="63"/>
      <c r="G790" s="64"/>
    </row>
    <row r="791" spans="4:7" ht="14.25" customHeight="1">
      <c r="D791" s="61"/>
      <c r="E791" s="62"/>
      <c r="F791" s="63"/>
      <c r="G791" s="64"/>
    </row>
    <row r="792" spans="4:7" ht="14.25" customHeight="1">
      <c r="D792" s="61"/>
      <c r="E792" s="62"/>
      <c r="F792" s="63"/>
      <c r="G792" s="64"/>
    </row>
    <row r="793" spans="4:7" ht="14.25" customHeight="1">
      <c r="D793" s="61"/>
      <c r="E793" s="62"/>
      <c r="F793" s="63"/>
      <c r="G793" s="64"/>
    </row>
    <row r="794" spans="4:7" ht="14.25" customHeight="1">
      <c r="D794" s="61"/>
      <c r="E794" s="62"/>
      <c r="F794" s="63"/>
      <c r="G794" s="64"/>
    </row>
    <row r="795" spans="4:7" ht="14.25" customHeight="1">
      <c r="D795" s="61"/>
      <c r="E795" s="62"/>
      <c r="F795" s="63"/>
      <c r="G795" s="64"/>
    </row>
    <row r="796" spans="4:7" ht="14.25" customHeight="1">
      <c r="D796" s="61"/>
      <c r="E796" s="62"/>
      <c r="F796" s="63"/>
      <c r="G796" s="64"/>
    </row>
    <row r="797" spans="4:7" ht="14.25" customHeight="1">
      <c r="D797" s="61"/>
      <c r="E797" s="62"/>
      <c r="F797" s="63"/>
      <c r="G797" s="64"/>
    </row>
    <row r="798" spans="4:7" ht="14.25" customHeight="1">
      <c r="D798" s="61"/>
      <c r="E798" s="62"/>
      <c r="F798" s="63"/>
      <c r="G798" s="64"/>
    </row>
    <row r="799" spans="4:7" ht="14.25" customHeight="1">
      <c r="D799" s="61"/>
      <c r="E799" s="62"/>
      <c r="F799" s="63"/>
      <c r="G799" s="64"/>
    </row>
    <row r="800" spans="4:7" ht="14.25" customHeight="1">
      <c r="D800" s="61"/>
      <c r="E800" s="62"/>
      <c r="F800" s="63"/>
      <c r="G800" s="64"/>
    </row>
    <row r="801" spans="4:7" ht="14.25" customHeight="1">
      <c r="D801" s="61"/>
      <c r="E801" s="62"/>
      <c r="F801" s="63"/>
      <c r="G801" s="64"/>
    </row>
    <row r="802" spans="4:7" ht="14.25" customHeight="1">
      <c r="D802" s="61"/>
      <c r="E802" s="62"/>
      <c r="F802" s="63"/>
      <c r="G802" s="64"/>
    </row>
    <row r="803" spans="4:7" ht="14.25" customHeight="1">
      <c r="D803" s="61"/>
      <c r="E803" s="62"/>
      <c r="F803" s="63"/>
      <c r="G803" s="64"/>
    </row>
    <row r="804" spans="4:7" ht="14.25" customHeight="1">
      <c r="D804" s="61"/>
      <c r="E804" s="62"/>
      <c r="F804" s="63"/>
      <c r="G804" s="64"/>
    </row>
    <row r="805" spans="4:7" ht="14.25" customHeight="1">
      <c r="D805" s="61"/>
      <c r="E805" s="62"/>
      <c r="F805" s="63"/>
      <c r="G805" s="64"/>
    </row>
    <row r="806" spans="4:7" ht="14.25" customHeight="1">
      <c r="D806" s="61"/>
      <c r="E806" s="62"/>
      <c r="F806" s="63"/>
      <c r="G806" s="64"/>
    </row>
    <row r="807" spans="4:7" ht="14.25" customHeight="1">
      <c r="D807" s="61"/>
      <c r="E807" s="62"/>
      <c r="F807" s="63"/>
      <c r="G807" s="64"/>
    </row>
    <row r="808" spans="4:7" ht="14.25" customHeight="1">
      <c r="D808" s="61"/>
      <c r="E808" s="62"/>
      <c r="F808" s="63"/>
      <c r="G808" s="64"/>
    </row>
    <row r="809" spans="4:7" ht="14.25" customHeight="1">
      <c r="D809" s="61"/>
      <c r="E809" s="62"/>
      <c r="F809" s="63"/>
      <c r="G809" s="64"/>
    </row>
    <row r="810" spans="4:7" ht="14.25" customHeight="1">
      <c r="D810" s="61"/>
      <c r="E810" s="62"/>
      <c r="F810" s="63"/>
      <c r="G810" s="64"/>
    </row>
    <row r="811" spans="4:7" ht="14.25" customHeight="1">
      <c r="D811" s="61"/>
      <c r="E811" s="62"/>
      <c r="F811" s="63"/>
      <c r="G811" s="64"/>
    </row>
    <row r="812" spans="4:7" ht="14.25" customHeight="1">
      <c r="D812" s="61"/>
      <c r="E812" s="62"/>
      <c r="F812" s="63"/>
      <c r="G812" s="64"/>
    </row>
    <row r="813" spans="4:7" ht="14.25" customHeight="1">
      <c r="D813" s="61"/>
      <c r="E813" s="62"/>
      <c r="F813" s="63"/>
      <c r="G813" s="64"/>
    </row>
    <row r="814" spans="4:7" ht="14.25" customHeight="1">
      <c r="D814" s="61"/>
      <c r="E814" s="62"/>
      <c r="F814" s="63"/>
      <c r="G814" s="64"/>
    </row>
    <row r="815" spans="4:7" ht="14.25" customHeight="1">
      <c r="D815" s="61"/>
      <c r="E815" s="62"/>
      <c r="F815" s="63"/>
      <c r="G815" s="64"/>
    </row>
    <row r="816" spans="4:7" ht="14.25" customHeight="1">
      <c r="D816" s="61"/>
      <c r="E816" s="62"/>
      <c r="F816" s="63"/>
      <c r="G816" s="64"/>
    </row>
    <row r="817" spans="4:7" ht="14.25" customHeight="1">
      <c r="D817" s="61"/>
      <c r="E817" s="62"/>
      <c r="F817" s="63"/>
      <c r="G817" s="64"/>
    </row>
    <row r="818" spans="4:7" ht="14.25" customHeight="1">
      <c r="D818" s="61"/>
      <c r="E818" s="62"/>
      <c r="F818" s="63"/>
      <c r="G818" s="64"/>
    </row>
    <row r="819" spans="4:7" ht="14.25" customHeight="1">
      <c r="D819" s="61"/>
      <c r="E819" s="62"/>
      <c r="F819" s="63"/>
      <c r="G819" s="64"/>
    </row>
    <row r="820" spans="4:7" ht="14.25" customHeight="1">
      <c r="D820" s="61"/>
      <c r="E820" s="62"/>
      <c r="F820" s="63"/>
      <c r="G820" s="64"/>
    </row>
    <row r="821" spans="4:7" ht="14.25" customHeight="1">
      <c r="D821" s="61"/>
      <c r="E821" s="62"/>
      <c r="F821" s="63"/>
      <c r="G821" s="64"/>
    </row>
    <row r="822" spans="4:7" ht="14.25" customHeight="1">
      <c r="D822" s="61"/>
      <c r="E822" s="62"/>
      <c r="F822" s="63"/>
      <c r="G822" s="64"/>
    </row>
    <row r="823" spans="4:7" ht="14.25" customHeight="1">
      <c r="D823" s="61"/>
      <c r="E823" s="62"/>
      <c r="F823" s="63"/>
      <c r="G823" s="64"/>
    </row>
    <row r="824" spans="4:7" ht="14.25" customHeight="1">
      <c r="D824" s="61"/>
      <c r="E824" s="62"/>
      <c r="F824" s="63"/>
      <c r="G824" s="64"/>
    </row>
    <row r="825" spans="4:7" ht="14.25" customHeight="1">
      <c r="D825" s="61"/>
      <c r="E825" s="62"/>
      <c r="F825" s="63"/>
      <c r="G825" s="64"/>
    </row>
    <row r="826" spans="4:7" ht="14.25" customHeight="1">
      <c r="D826" s="61"/>
      <c r="E826" s="62"/>
      <c r="F826" s="63"/>
      <c r="G826" s="64"/>
    </row>
    <row r="827" spans="4:7" ht="14.25" customHeight="1">
      <c r="D827" s="61"/>
      <c r="E827" s="62"/>
      <c r="F827" s="63"/>
      <c r="G827" s="64"/>
    </row>
    <row r="828" spans="4:7" ht="14.25" customHeight="1">
      <c r="D828" s="61"/>
      <c r="E828" s="62"/>
      <c r="F828" s="63"/>
      <c r="G828" s="64"/>
    </row>
    <row r="829" spans="4:7" ht="14.25" customHeight="1">
      <c r="D829" s="61"/>
      <c r="E829" s="62"/>
      <c r="F829" s="63"/>
      <c r="G829" s="64"/>
    </row>
    <row r="830" spans="4:7" ht="14.25" customHeight="1">
      <c r="D830" s="61"/>
      <c r="E830" s="62"/>
      <c r="F830" s="63"/>
      <c r="G830" s="64"/>
    </row>
    <row r="831" spans="4:7" ht="14.25" customHeight="1">
      <c r="D831" s="61"/>
      <c r="E831" s="62"/>
      <c r="F831" s="63"/>
      <c r="G831" s="64"/>
    </row>
    <row r="832" spans="4:7" ht="14.25" customHeight="1">
      <c r="D832" s="61"/>
      <c r="E832" s="62"/>
      <c r="F832" s="63"/>
      <c r="G832" s="64"/>
    </row>
    <row r="833" spans="4:7" ht="14.25" customHeight="1">
      <c r="D833" s="61"/>
      <c r="E833" s="62"/>
      <c r="F833" s="63"/>
      <c r="G833" s="64"/>
    </row>
    <row r="834" spans="4:7" ht="14.25" customHeight="1">
      <c r="D834" s="61"/>
      <c r="E834" s="62"/>
      <c r="F834" s="63"/>
      <c r="G834" s="64"/>
    </row>
    <row r="835" spans="4:7" ht="14.25" customHeight="1">
      <c r="D835" s="61"/>
      <c r="E835" s="62"/>
      <c r="F835" s="63"/>
      <c r="G835" s="64"/>
    </row>
    <row r="836" spans="4:7" ht="14.25" customHeight="1">
      <c r="D836" s="61"/>
      <c r="E836" s="62"/>
      <c r="F836" s="63"/>
      <c r="G836" s="64"/>
    </row>
    <row r="837" spans="4:7" ht="14.25" customHeight="1">
      <c r="D837" s="61"/>
      <c r="E837" s="62"/>
      <c r="F837" s="63"/>
      <c r="G837" s="64"/>
    </row>
    <row r="838" spans="4:7" ht="14.25" customHeight="1">
      <c r="D838" s="61"/>
      <c r="E838" s="62"/>
      <c r="F838" s="63"/>
      <c r="G838" s="64"/>
    </row>
    <row r="839" spans="4:7" ht="14.25" customHeight="1">
      <c r="D839" s="61"/>
      <c r="E839" s="62"/>
      <c r="F839" s="63"/>
      <c r="G839" s="64"/>
    </row>
    <row r="840" spans="4:7" ht="14.25" customHeight="1">
      <c r="D840" s="61"/>
      <c r="E840" s="62"/>
      <c r="F840" s="63"/>
      <c r="G840" s="64"/>
    </row>
    <row r="841" spans="4:7" ht="14.25" customHeight="1">
      <c r="D841" s="61"/>
      <c r="E841" s="62"/>
      <c r="F841" s="63"/>
      <c r="G841" s="64"/>
    </row>
    <row r="842" spans="4:7" ht="14.25" customHeight="1">
      <c r="D842" s="61"/>
      <c r="E842" s="62"/>
      <c r="F842" s="63"/>
      <c r="G842" s="64"/>
    </row>
    <row r="843" spans="4:7" ht="14.25" customHeight="1">
      <c r="D843" s="61"/>
      <c r="E843" s="62"/>
      <c r="F843" s="63"/>
      <c r="G843" s="64"/>
    </row>
    <row r="844" spans="4:7" ht="14.25" customHeight="1">
      <c r="D844" s="61"/>
      <c r="E844" s="62"/>
      <c r="F844" s="63"/>
      <c r="G844" s="64"/>
    </row>
    <row r="845" spans="4:7" ht="14.25" customHeight="1">
      <c r="D845" s="61"/>
      <c r="E845" s="62"/>
      <c r="F845" s="63"/>
      <c r="G845" s="64"/>
    </row>
    <row r="846" spans="4:7" ht="14.25" customHeight="1">
      <c r="D846" s="61"/>
      <c r="E846" s="62"/>
      <c r="F846" s="63"/>
      <c r="G846" s="64"/>
    </row>
    <row r="847" spans="4:7" ht="14.25" customHeight="1">
      <c r="D847" s="61"/>
      <c r="E847" s="62"/>
      <c r="F847" s="63"/>
      <c r="G847" s="64"/>
    </row>
    <row r="848" spans="4:7" ht="14.25" customHeight="1">
      <c r="D848" s="61"/>
      <c r="E848" s="62"/>
      <c r="F848" s="63"/>
      <c r="G848" s="64"/>
    </row>
    <row r="849" spans="4:7" ht="14.25" customHeight="1">
      <c r="D849" s="61"/>
      <c r="E849" s="62"/>
      <c r="F849" s="63"/>
      <c r="G849" s="64"/>
    </row>
    <row r="850" spans="4:7" ht="14.25" customHeight="1">
      <c r="D850" s="61"/>
      <c r="E850" s="62"/>
      <c r="F850" s="63"/>
      <c r="G850" s="64"/>
    </row>
    <row r="851" spans="4:7" ht="14.25" customHeight="1">
      <c r="D851" s="61"/>
      <c r="E851" s="62"/>
      <c r="F851" s="63"/>
      <c r="G851" s="64"/>
    </row>
    <row r="852" spans="4:7" ht="14.25" customHeight="1">
      <c r="D852" s="61"/>
      <c r="E852" s="62"/>
      <c r="F852" s="63"/>
      <c r="G852" s="64"/>
    </row>
    <row r="853" spans="4:7" ht="14.25" customHeight="1">
      <c r="D853" s="61"/>
      <c r="E853" s="62"/>
      <c r="F853" s="63"/>
      <c r="G853" s="64"/>
    </row>
    <row r="854" spans="4:7" ht="14.25" customHeight="1">
      <c r="D854" s="61"/>
      <c r="E854" s="62"/>
      <c r="F854" s="63"/>
      <c r="G854" s="64"/>
    </row>
    <row r="855" spans="4:7" ht="14.25" customHeight="1">
      <c r="D855" s="61"/>
      <c r="E855" s="62"/>
      <c r="F855" s="63"/>
      <c r="G855" s="64"/>
    </row>
    <row r="856" spans="4:7" ht="14.25" customHeight="1">
      <c r="D856" s="61"/>
      <c r="E856" s="62"/>
      <c r="F856" s="63"/>
      <c r="G856" s="64"/>
    </row>
    <row r="857" spans="4:7" ht="14.25" customHeight="1">
      <c r="D857" s="61"/>
      <c r="E857" s="62"/>
      <c r="F857" s="63"/>
      <c r="G857" s="64"/>
    </row>
    <row r="858" spans="4:7" ht="14.25" customHeight="1">
      <c r="D858" s="61"/>
      <c r="E858" s="62"/>
      <c r="F858" s="63"/>
      <c r="G858" s="64"/>
    </row>
    <row r="859" spans="4:7" ht="14.25" customHeight="1">
      <c r="D859" s="61"/>
      <c r="E859" s="62"/>
      <c r="F859" s="63"/>
      <c r="G859" s="64"/>
    </row>
    <row r="860" spans="4:7" ht="14.25" customHeight="1">
      <c r="D860" s="61"/>
      <c r="E860" s="62"/>
      <c r="F860" s="63"/>
      <c r="G860" s="64"/>
    </row>
    <row r="861" spans="4:7" ht="14.25" customHeight="1">
      <c r="D861" s="61"/>
      <c r="E861" s="62"/>
      <c r="F861" s="63"/>
      <c r="G861" s="64"/>
    </row>
    <row r="862" spans="4:7" ht="14.25" customHeight="1">
      <c r="D862" s="61"/>
      <c r="E862" s="62"/>
      <c r="F862" s="63"/>
      <c r="G862" s="64"/>
    </row>
    <row r="863" spans="4:7" ht="14.25" customHeight="1">
      <c r="D863" s="61"/>
      <c r="E863" s="62"/>
      <c r="F863" s="63"/>
      <c r="G863" s="64"/>
    </row>
    <row r="864" spans="4:7" ht="14.25" customHeight="1">
      <c r="D864" s="61"/>
      <c r="E864" s="62"/>
      <c r="F864" s="63"/>
      <c r="G864" s="64"/>
    </row>
    <row r="865" spans="4:7" ht="14.25" customHeight="1">
      <c r="D865" s="61"/>
      <c r="E865" s="62"/>
      <c r="F865" s="63"/>
      <c r="G865" s="64"/>
    </row>
    <row r="866" spans="4:7" ht="14.25" customHeight="1">
      <c r="D866" s="61"/>
      <c r="E866" s="62"/>
      <c r="F866" s="63"/>
      <c r="G866" s="64"/>
    </row>
    <row r="867" spans="4:7" ht="14.25" customHeight="1">
      <c r="D867" s="61"/>
      <c r="E867" s="62"/>
      <c r="F867" s="63"/>
      <c r="G867" s="64"/>
    </row>
    <row r="868" spans="4:7" ht="14.25" customHeight="1">
      <c r="D868" s="61"/>
      <c r="E868" s="62"/>
      <c r="F868" s="63"/>
      <c r="G868" s="64"/>
    </row>
    <row r="869" spans="4:7" ht="14.25" customHeight="1">
      <c r="D869" s="61"/>
      <c r="E869" s="62"/>
      <c r="F869" s="63"/>
      <c r="G869" s="64"/>
    </row>
    <row r="870" spans="4:7" ht="14.25" customHeight="1">
      <c r="D870" s="61"/>
      <c r="E870" s="62"/>
      <c r="F870" s="63"/>
      <c r="G870" s="64"/>
    </row>
    <row r="871" spans="4:7" ht="14.25" customHeight="1">
      <c r="D871" s="61"/>
      <c r="E871" s="62"/>
      <c r="F871" s="63"/>
      <c r="G871" s="64"/>
    </row>
    <row r="872" spans="4:7" ht="14.25" customHeight="1">
      <c r="D872" s="61"/>
      <c r="E872" s="62"/>
      <c r="F872" s="63"/>
      <c r="G872" s="64"/>
    </row>
    <row r="873" spans="4:7" ht="14.25" customHeight="1">
      <c r="D873" s="61"/>
      <c r="E873" s="62"/>
      <c r="F873" s="63"/>
      <c r="G873" s="64"/>
    </row>
    <row r="874" spans="4:7" ht="14.25" customHeight="1">
      <c r="D874" s="61"/>
      <c r="E874" s="62"/>
      <c r="F874" s="63"/>
      <c r="G874" s="64"/>
    </row>
    <row r="875" spans="4:7" ht="14.25" customHeight="1">
      <c r="D875" s="61"/>
      <c r="E875" s="62"/>
      <c r="F875" s="63"/>
      <c r="G875" s="64"/>
    </row>
    <row r="876" spans="4:7" ht="14.25" customHeight="1">
      <c r="D876" s="61"/>
      <c r="E876" s="62"/>
      <c r="F876" s="63"/>
      <c r="G876" s="64"/>
    </row>
    <row r="877" spans="4:7" ht="14.25" customHeight="1">
      <c r="D877" s="61"/>
      <c r="E877" s="62"/>
      <c r="F877" s="63"/>
      <c r="G877" s="64"/>
    </row>
    <row r="878" spans="4:7" ht="14.25" customHeight="1">
      <c r="D878" s="61"/>
      <c r="E878" s="62"/>
      <c r="F878" s="63"/>
      <c r="G878" s="64"/>
    </row>
    <row r="879" spans="4:7" ht="14.25" customHeight="1">
      <c r="D879" s="61"/>
      <c r="E879" s="62"/>
      <c r="F879" s="63"/>
      <c r="G879" s="64"/>
    </row>
    <row r="880" spans="4:7" ht="14.25" customHeight="1">
      <c r="D880" s="61"/>
      <c r="E880" s="62"/>
      <c r="F880" s="63"/>
      <c r="G880" s="64"/>
    </row>
    <row r="881" spans="4:7" ht="14.25" customHeight="1">
      <c r="D881" s="61"/>
      <c r="E881" s="62"/>
      <c r="F881" s="63"/>
      <c r="G881" s="64"/>
    </row>
    <row r="882" spans="4:7" ht="14.25" customHeight="1">
      <c r="D882" s="61"/>
      <c r="E882" s="62"/>
      <c r="F882" s="63"/>
      <c r="G882" s="64"/>
    </row>
    <row r="883" spans="4:7" ht="14.25" customHeight="1">
      <c r="D883" s="61"/>
      <c r="E883" s="62"/>
      <c r="F883" s="63"/>
      <c r="G883" s="64"/>
    </row>
    <row r="884" spans="4:7" ht="14.25" customHeight="1">
      <c r="D884" s="61"/>
      <c r="E884" s="62"/>
      <c r="F884" s="63"/>
      <c r="G884" s="64"/>
    </row>
    <row r="885" spans="4:7" ht="14.25" customHeight="1">
      <c r="D885" s="61"/>
      <c r="E885" s="62"/>
      <c r="F885" s="63"/>
      <c r="G885" s="64"/>
    </row>
    <row r="886" spans="4:7" ht="14.25" customHeight="1">
      <c r="D886" s="61"/>
      <c r="E886" s="62"/>
      <c r="F886" s="63"/>
      <c r="G886" s="64"/>
    </row>
    <row r="887" spans="4:7" ht="14.25" customHeight="1">
      <c r="D887" s="61"/>
      <c r="E887" s="62"/>
      <c r="F887" s="63"/>
      <c r="G887" s="64"/>
    </row>
    <row r="888" spans="4:7" ht="14.25" customHeight="1">
      <c r="D888" s="61"/>
      <c r="E888" s="62"/>
      <c r="F888" s="63"/>
      <c r="G888" s="64"/>
    </row>
    <row r="889" spans="4:7" ht="14.25" customHeight="1">
      <c r="D889" s="61"/>
      <c r="E889" s="62"/>
      <c r="F889" s="63"/>
      <c r="G889" s="64"/>
    </row>
    <row r="890" spans="4:7" ht="14.25" customHeight="1">
      <c r="D890" s="61"/>
      <c r="E890" s="62"/>
      <c r="F890" s="63"/>
      <c r="G890" s="64"/>
    </row>
    <row r="891" spans="4:7" ht="14.25" customHeight="1">
      <c r="D891" s="61"/>
      <c r="E891" s="62"/>
      <c r="F891" s="63"/>
      <c r="G891" s="64"/>
    </row>
    <row r="892" spans="4:7" ht="14.25" customHeight="1">
      <c r="D892" s="61"/>
      <c r="E892" s="62"/>
      <c r="F892" s="63"/>
      <c r="G892" s="64"/>
    </row>
    <row r="893" spans="4:7" ht="14.25" customHeight="1">
      <c r="D893" s="61"/>
      <c r="E893" s="62"/>
      <c r="F893" s="63"/>
      <c r="G893" s="64"/>
    </row>
    <row r="894" spans="4:7" ht="14.25" customHeight="1">
      <c r="D894" s="61"/>
      <c r="E894" s="62"/>
      <c r="F894" s="63"/>
      <c r="G894" s="64"/>
    </row>
    <row r="895" spans="4:7" ht="14.25" customHeight="1">
      <c r="D895" s="61"/>
      <c r="E895" s="62"/>
      <c r="F895" s="63"/>
      <c r="G895" s="64"/>
    </row>
    <row r="896" spans="4:7" ht="14.25" customHeight="1">
      <c r="D896" s="61"/>
      <c r="E896" s="62"/>
      <c r="F896" s="63"/>
      <c r="G896" s="64"/>
    </row>
    <row r="897" spans="4:7" ht="14.25" customHeight="1">
      <c r="D897" s="61"/>
      <c r="E897" s="62"/>
      <c r="F897" s="63"/>
      <c r="G897" s="64"/>
    </row>
    <row r="898" spans="4:7" ht="14.25" customHeight="1">
      <c r="D898" s="61"/>
      <c r="E898" s="62"/>
      <c r="F898" s="63"/>
      <c r="G898" s="64"/>
    </row>
    <row r="899" spans="4:7" ht="14.25" customHeight="1">
      <c r="D899" s="61"/>
      <c r="E899" s="62"/>
      <c r="F899" s="63"/>
      <c r="G899" s="64"/>
    </row>
    <row r="900" spans="4:7" ht="14.25" customHeight="1">
      <c r="D900" s="61"/>
      <c r="E900" s="62"/>
      <c r="F900" s="63"/>
      <c r="G900" s="64"/>
    </row>
    <row r="901" spans="4:7" ht="14.25" customHeight="1">
      <c r="D901" s="61"/>
      <c r="E901" s="62"/>
      <c r="F901" s="63"/>
      <c r="G901" s="64"/>
    </row>
    <row r="902" spans="4:7" ht="14.25" customHeight="1">
      <c r="D902" s="61"/>
      <c r="E902" s="62"/>
      <c r="F902" s="63"/>
      <c r="G902" s="64"/>
    </row>
    <row r="903" spans="4:7" ht="14.25" customHeight="1">
      <c r="D903" s="61"/>
      <c r="E903" s="62"/>
      <c r="F903" s="63"/>
      <c r="G903" s="64"/>
    </row>
    <row r="904" spans="4:7" ht="14.25" customHeight="1">
      <c r="D904" s="61"/>
      <c r="E904" s="62"/>
      <c r="F904" s="63"/>
      <c r="G904" s="64"/>
    </row>
    <row r="905" spans="4:7" ht="14.25" customHeight="1">
      <c r="D905" s="61"/>
      <c r="E905" s="62"/>
      <c r="F905" s="63"/>
      <c r="G905" s="64"/>
    </row>
    <row r="906" spans="4:7" ht="14.25" customHeight="1">
      <c r="D906" s="61"/>
      <c r="E906" s="62"/>
      <c r="F906" s="63"/>
      <c r="G906" s="64"/>
    </row>
    <row r="907" spans="4:7" ht="14.25" customHeight="1">
      <c r="D907" s="61"/>
      <c r="E907" s="62"/>
      <c r="F907" s="63"/>
      <c r="G907" s="64"/>
    </row>
    <row r="908" spans="4:7" ht="14.25" customHeight="1">
      <c r="D908" s="61"/>
      <c r="E908" s="62"/>
      <c r="F908" s="63"/>
      <c r="G908" s="64"/>
    </row>
    <row r="909" spans="4:7" ht="14.25" customHeight="1">
      <c r="D909" s="61"/>
      <c r="E909" s="62"/>
      <c r="F909" s="63"/>
      <c r="G909" s="64"/>
    </row>
    <row r="910" spans="4:7" ht="14.25" customHeight="1">
      <c r="D910" s="61"/>
      <c r="E910" s="62"/>
      <c r="F910" s="63"/>
      <c r="G910" s="64"/>
    </row>
    <row r="911" spans="4:7" ht="14.25" customHeight="1">
      <c r="D911" s="61"/>
      <c r="E911" s="62"/>
      <c r="F911" s="63"/>
      <c r="G911" s="64"/>
    </row>
    <row r="912" spans="4:7" ht="14.25" customHeight="1">
      <c r="D912" s="61"/>
      <c r="E912" s="62"/>
      <c r="F912" s="63"/>
      <c r="G912" s="64"/>
    </row>
    <row r="913" spans="4:7" ht="14.25" customHeight="1">
      <c r="D913" s="61"/>
      <c r="E913" s="62"/>
      <c r="F913" s="63"/>
      <c r="G913" s="64"/>
    </row>
    <row r="914" spans="4:7" ht="14.25" customHeight="1">
      <c r="D914" s="61"/>
      <c r="E914" s="62"/>
      <c r="F914" s="63"/>
      <c r="G914" s="64"/>
    </row>
    <row r="915" spans="4:7" ht="14.25" customHeight="1">
      <c r="D915" s="61"/>
      <c r="E915" s="62"/>
      <c r="F915" s="63"/>
      <c r="G915" s="64"/>
    </row>
    <row r="916" spans="4:7" ht="14.25" customHeight="1">
      <c r="D916" s="61"/>
      <c r="E916" s="62"/>
      <c r="F916" s="63"/>
      <c r="G916" s="64"/>
    </row>
    <row r="917" spans="4:7" ht="14.25" customHeight="1">
      <c r="D917" s="61"/>
      <c r="E917" s="62"/>
      <c r="F917" s="63"/>
      <c r="G917" s="64"/>
    </row>
    <row r="918" spans="4:7" ht="14.25" customHeight="1">
      <c r="D918" s="61"/>
      <c r="E918" s="62"/>
      <c r="F918" s="63"/>
      <c r="G918" s="64"/>
    </row>
    <row r="919" spans="4:7" ht="14.25" customHeight="1">
      <c r="D919" s="61"/>
      <c r="E919" s="62"/>
      <c r="F919" s="63"/>
      <c r="G919" s="64"/>
    </row>
    <row r="920" spans="4:7" ht="14.25" customHeight="1">
      <c r="D920" s="61"/>
      <c r="E920" s="62"/>
      <c r="F920" s="63"/>
      <c r="G920" s="64"/>
    </row>
    <row r="921" spans="4:7" ht="14.25" customHeight="1">
      <c r="D921" s="61"/>
      <c r="E921" s="62"/>
      <c r="F921" s="63"/>
      <c r="G921" s="64"/>
    </row>
    <row r="922" spans="4:7" ht="14.25" customHeight="1">
      <c r="D922" s="61"/>
      <c r="E922" s="62"/>
      <c r="F922" s="63"/>
      <c r="G922" s="64"/>
    </row>
    <row r="923" spans="4:7" ht="14.25" customHeight="1">
      <c r="D923" s="61"/>
      <c r="E923" s="62"/>
      <c r="F923" s="63"/>
      <c r="G923" s="64"/>
    </row>
    <row r="924" spans="4:7" ht="14.25" customHeight="1">
      <c r="D924" s="61"/>
      <c r="E924" s="62"/>
      <c r="F924" s="63"/>
      <c r="G924" s="64"/>
    </row>
    <row r="925" spans="4:7" ht="14.25" customHeight="1">
      <c r="D925" s="61"/>
      <c r="E925" s="62"/>
      <c r="F925" s="63"/>
      <c r="G925" s="64"/>
    </row>
    <row r="926" spans="4:7" ht="14.25" customHeight="1">
      <c r="D926" s="61"/>
      <c r="E926" s="62"/>
      <c r="F926" s="63"/>
      <c r="G926" s="64"/>
    </row>
    <row r="927" spans="4:7" ht="14.25" customHeight="1">
      <c r="D927" s="61"/>
      <c r="E927" s="62"/>
      <c r="F927" s="63"/>
      <c r="G927" s="64"/>
    </row>
    <row r="928" spans="4:7" ht="14.25" customHeight="1">
      <c r="D928" s="61"/>
      <c r="E928" s="62"/>
      <c r="F928" s="63"/>
      <c r="G928" s="64"/>
    </row>
    <row r="929" spans="4:7" ht="14.25" customHeight="1">
      <c r="D929" s="61"/>
      <c r="E929" s="62"/>
      <c r="F929" s="63"/>
      <c r="G929" s="64"/>
    </row>
    <row r="930" spans="4:7" ht="14.25" customHeight="1">
      <c r="D930" s="61"/>
      <c r="E930" s="62"/>
      <c r="F930" s="63"/>
      <c r="G930" s="64"/>
    </row>
    <row r="931" spans="4:7" ht="14.25" customHeight="1">
      <c r="D931" s="61"/>
      <c r="E931" s="62"/>
      <c r="F931" s="63"/>
      <c r="G931" s="64"/>
    </row>
    <row r="932" spans="4:7" ht="14.25" customHeight="1">
      <c r="D932" s="61"/>
      <c r="E932" s="62"/>
      <c r="F932" s="63"/>
      <c r="G932" s="64"/>
    </row>
    <row r="933" spans="4:7" ht="14.25" customHeight="1">
      <c r="D933" s="61"/>
      <c r="E933" s="62"/>
      <c r="F933" s="63"/>
      <c r="G933" s="64"/>
    </row>
    <row r="934" spans="4:7" ht="14.25" customHeight="1">
      <c r="D934" s="61"/>
      <c r="E934" s="62"/>
      <c r="F934" s="63"/>
      <c r="G934" s="64"/>
    </row>
    <row r="935" spans="4:7" ht="14.25" customHeight="1">
      <c r="D935" s="61"/>
      <c r="E935" s="62"/>
      <c r="F935" s="63"/>
      <c r="G935" s="64"/>
    </row>
    <row r="936" spans="4:7" ht="14.25" customHeight="1">
      <c r="D936" s="61"/>
      <c r="E936" s="62"/>
      <c r="F936" s="63"/>
      <c r="G936" s="64"/>
    </row>
    <row r="937" spans="4:7" ht="14.25" customHeight="1">
      <c r="D937" s="61"/>
      <c r="E937" s="62"/>
      <c r="F937" s="63"/>
      <c r="G937" s="64"/>
    </row>
    <row r="938" spans="4:7" ht="14.25" customHeight="1">
      <c r="D938" s="61"/>
      <c r="E938" s="62"/>
      <c r="F938" s="63"/>
      <c r="G938" s="64"/>
    </row>
    <row r="939" spans="4:7" ht="14.25" customHeight="1">
      <c r="D939" s="61"/>
      <c r="E939" s="62"/>
      <c r="F939" s="63"/>
      <c r="G939" s="64"/>
    </row>
    <row r="940" spans="4:7" ht="14.25" customHeight="1">
      <c r="D940" s="61"/>
      <c r="E940" s="62"/>
      <c r="F940" s="63"/>
      <c r="G940" s="64"/>
    </row>
    <row r="941" spans="4:7" ht="14.25" customHeight="1">
      <c r="D941" s="61"/>
      <c r="E941" s="62"/>
      <c r="F941" s="63"/>
      <c r="G941" s="64"/>
    </row>
    <row r="942" spans="4:7" ht="14.25" customHeight="1">
      <c r="D942" s="61"/>
      <c r="E942" s="62"/>
      <c r="F942" s="63"/>
      <c r="G942" s="64"/>
    </row>
    <row r="943" spans="4:7" ht="14.25" customHeight="1">
      <c r="D943" s="61"/>
      <c r="E943" s="62"/>
      <c r="F943" s="63"/>
      <c r="G943" s="64"/>
    </row>
    <row r="944" spans="4:7" ht="14.25" customHeight="1">
      <c r="D944" s="61"/>
      <c r="E944" s="62"/>
      <c r="F944" s="63"/>
      <c r="G944" s="64"/>
    </row>
    <row r="945" spans="4:7" ht="14.25" customHeight="1">
      <c r="D945" s="61"/>
      <c r="E945" s="62"/>
      <c r="F945" s="63"/>
      <c r="G945" s="64"/>
    </row>
    <row r="946" spans="4:7" ht="14.25" customHeight="1">
      <c r="D946" s="61"/>
      <c r="E946" s="62"/>
      <c r="F946" s="63"/>
      <c r="G946" s="64"/>
    </row>
    <row r="947" spans="4:7" ht="14.25" customHeight="1">
      <c r="D947" s="61"/>
      <c r="E947" s="62"/>
      <c r="F947" s="63"/>
      <c r="G947" s="64"/>
    </row>
    <row r="948" spans="4:7" ht="14.25" customHeight="1">
      <c r="D948" s="61"/>
      <c r="E948" s="62"/>
      <c r="F948" s="63"/>
      <c r="G948" s="64"/>
    </row>
    <row r="949" spans="4:7" ht="14.25" customHeight="1">
      <c r="D949" s="61"/>
      <c r="E949" s="62"/>
      <c r="F949" s="63"/>
      <c r="G949" s="64"/>
    </row>
    <row r="950" spans="4:7" ht="14.25" customHeight="1">
      <c r="D950" s="61"/>
      <c r="E950" s="62"/>
      <c r="F950" s="63"/>
      <c r="G950" s="64"/>
    </row>
    <row r="951" spans="4:7" ht="14.25" customHeight="1">
      <c r="D951" s="61"/>
      <c r="E951" s="62"/>
      <c r="F951" s="63"/>
      <c r="G951" s="64"/>
    </row>
    <row r="952" spans="4:7" ht="14.25" customHeight="1">
      <c r="D952" s="61"/>
      <c r="E952" s="62"/>
      <c r="F952" s="63"/>
      <c r="G952" s="64"/>
    </row>
    <row r="953" spans="4:7" ht="14.25" customHeight="1">
      <c r="D953" s="61"/>
      <c r="E953" s="62"/>
      <c r="F953" s="63"/>
      <c r="G953" s="64"/>
    </row>
    <row r="954" spans="4:7" ht="14.25" customHeight="1">
      <c r="D954" s="61"/>
      <c r="E954" s="62"/>
      <c r="F954" s="63"/>
      <c r="G954" s="64"/>
    </row>
    <row r="955" spans="4:7" ht="14.25" customHeight="1">
      <c r="D955" s="61"/>
      <c r="E955" s="62"/>
      <c r="F955" s="63"/>
      <c r="G955" s="64"/>
    </row>
    <row r="956" spans="4:7" ht="14.25" customHeight="1">
      <c r="D956" s="61"/>
      <c r="E956" s="62"/>
      <c r="F956" s="63"/>
      <c r="G956" s="64"/>
    </row>
    <row r="957" spans="4:7" ht="14.25" customHeight="1">
      <c r="D957" s="61"/>
      <c r="E957" s="62"/>
      <c r="F957" s="63"/>
      <c r="G957" s="64"/>
    </row>
    <row r="958" spans="4:7" ht="14.25" customHeight="1">
      <c r="D958" s="61"/>
      <c r="E958" s="62"/>
      <c r="F958" s="63"/>
      <c r="G958" s="64"/>
    </row>
    <row r="959" spans="4:7" ht="14.25" customHeight="1">
      <c r="D959" s="61"/>
      <c r="E959" s="62"/>
      <c r="F959" s="63"/>
      <c r="G959" s="64"/>
    </row>
    <row r="960" spans="4:7" ht="14.25" customHeight="1">
      <c r="D960" s="61"/>
      <c r="E960" s="62"/>
      <c r="F960" s="63"/>
      <c r="G960" s="64"/>
    </row>
    <row r="961" spans="4:7" ht="14.25" customHeight="1">
      <c r="D961" s="61"/>
      <c r="E961" s="62"/>
      <c r="F961" s="63"/>
      <c r="G961" s="64"/>
    </row>
    <row r="962" spans="4:7" ht="14.25" customHeight="1">
      <c r="D962" s="61"/>
      <c r="E962" s="62"/>
      <c r="F962" s="63"/>
      <c r="G962" s="64"/>
    </row>
    <row r="963" spans="4:7" ht="14.25" customHeight="1">
      <c r="D963" s="61"/>
      <c r="E963" s="62"/>
      <c r="F963" s="63"/>
      <c r="G963" s="64"/>
    </row>
    <row r="964" spans="4:7" ht="14.25" customHeight="1">
      <c r="D964" s="61"/>
      <c r="E964" s="62"/>
      <c r="F964" s="63"/>
      <c r="G964" s="64"/>
    </row>
    <row r="965" spans="4:7" ht="14.25" customHeight="1">
      <c r="D965" s="61"/>
      <c r="E965" s="62"/>
      <c r="F965" s="63"/>
      <c r="G965" s="64"/>
    </row>
    <row r="966" spans="4:7" ht="14.25" customHeight="1">
      <c r="D966" s="61"/>
      <c r="E966" s="62"/>
      <c r="F966" s="63"/>
      <c r="G966" s="64"/>
    </row>
    <row r="967" spans="4:7" ht="14.25" customHeight="1">
      <c r="D967" s="61"/>
      <c r="E967" s="62"/>
      <c r="F967" s="63"/>
      <c r="G967" s="64"/>
    </row>
    <row r="968" spans="4:7" ht="14.25" customHeight="1">
      <c r="D968" s="61"/>
      <c r="E968" s="62"/>
      <c r="F968" s="63"/>
      <c r="G968" s="64"/>
    </row>
    <row r="969" spans="4:7" ht="14.25" customHeight="1">
      <c r="D969" s="61"/>
      <c r="E969" s="62"/>
      <c r="F969" s="63"/>
      <c r="G969" s="64"/>
    </row>
    <row r="970" spans="4:7" ht="14.25" customHeight="1">
      <c r="D970" s="61"/>
      <c r="E970" s="62"/>
      <c r="F970" s="63"/>
      <c r="G970" s="64"/>
    </row>
    <row r="971" spans="4:7" ht="14.25" customHeight="1">
      <c r="D971" s="61"/>
      <c r="E971" s="62"/>
      <c r="F971" s="63"/>
      <c r="G971" s="64"/>
    </row>
    <row r="972" spans="4:7" ht="14.25" customHeight="1">
      <c r="D972" s="61"/>
      <c r="E972" s="62"/>
      <c r="F972" s="63"/>
      <c r="G972" s="64"/>
    </row>
    <row r="973" spans="4:7" ht="14.25" customHeight="1">
      <c r="D973" s="61"/>
      <c r="E973" s="62"/>
      <c r="F973" s="63"/>
      <c r="G973" s="64"/>
    </row>
    <row r="974" spans="4:7" ht="14.25" customHeight="1">
      <c r="D974" s="61"/>
      <c r="E974" s="62"/>
      <c r="F974" s="63"/>
      <c r="G974" s="64"/>
    </row>
    <row r="975" spans="4:7" ht="14.25" customHeight="1">
      <c r="D975" s="61"/>
      <c r="E975" s="62"/>
      <c r="F975" s="63"/>
      <c r="G975" s="64"/>
    </row>
    <row r="976" spans="4:7" ht="14.25" customHeight="1">
      <c r="D976" s="61"/>
      <c r="E976" s="62"/>
      <c r="F976" s="63"/>
      <c r="G976" s="64"/>
    </row>
    <row r="977" spans="4:7" ht="14.25" customHeight="1">
      <c r="D977" s="61"/>
      <c r="E977" s="62"/>
      <c r="F977" s="63"/>
      <c r="G977" s="64"/>
    </row>
    <row r="978" spans="4:7" ht="14.25" customHeight="1">
      <c r="D978" s="61"/>
      <c r="E978" s="62"/>
      <c r="F978" s="63"/>
      <c r="G978" s="64"/>
    </row>
    <row r="979" spans="4:7" ht="14.25" customHeight="1">
      <c r="D979" s="61"/>
      <c r="E979" s="62"/>
      <c r="F979" s="63"/>
      <c r="G979" s="64"/>
    </row>
    <row r="980" spans="4:7" ht="14.25" customHeight="1">
      <c r="D980" s="61"/>
      <c r="E980" s="62"/>
      <c r="F980" s="63"/>
      <c r="G980" s="64"/>
    </row>
    <row r="981" spans="4:7" ht="14.25" customHeight="1">
      <c r="D981" s="61"/>
      <c r="E981" s="62"/>
      <c r="F981" s="63"/>
      <c r="G981" s="64"/>
    </row>
    <row r="982" spans="4:7" ht="14.25" customHeight="1">
      <c r="D982" s="61"/>
      <c r="E982" s="62"/>
      <c r="F982" s="63"/>
      <c r="G982" s="64"/>
    </row>
    <row r="983" spans="4:7" ht="14.25" customHeight="1">
      <c r="D983" s="61"/>
      <c r="E983" s="62"/>
      <c r="F983" s="63"/>
      <c r="G983" s="64"/>
    </row>
    <row r="984" spans="4:7" ht="14.25" customHeight="1">
      <c r="D984" s="61"/>
      <c r="E984" s="62"/>
      <c r="F984" s="63"/>
      <c r="G984" s="64"/>
    </row>
    <row r="985" spans="4:7" ht="14.25" customHeight="1">
      <c r="D985" s="61"/>
      <c r="E985" s="62"/>
      <c r="F985" s="63"/>
      <c r="G985" s="64"/>
    </row>
    <row r="986" spans="4:7" ht="14.25" customHeight="1">
      <c r="D986" s="61"/>
      <c r="E986" s="62"/>
      <c r="F986" s="63"/>
      <c r="G986" s="64"/>
    </row>
    <row r="987" spans="4:7" ht="14.25" customHeight="1">
      <c r="D987" s="61"/>
      <c r="E987" s="62"/>
      <c r="F987" s="63"/>
      <c r="G987" s="64"/>
    </row>
    <row r="988" spans="4:7" ht="14.25" customHeight="1">
      <c r="D988" s="61"/>
      <c r="E988" s="62"/>
      <c r="F988" s="63"/>
      <c r="G988" s="64"/>
    </row>
    <row r="989" spans="4:7" ht="14.25" customHeight="1">
      <c r="D989" s="61"/>
      <c r="E989" s="62"/>
      <c r="F989" s="63"/>
      <c r="G989" s="64"/>
    </row>
    <row r="990" spans="4:7" ht="14.25" customHeight="1">
      <c r="D990" s="61"/>
      <c r="E990" s="62"/>
      <c r="F990" s="63"/>
      <c r="G990" s="64"/>
    </row>
    <row r="991" spans="4:7" ht="14.25" customHeight="1">
      <c r="D991" s="61"/>
      <c r="E991" s="62"/>
      <c r="F991" s="63"/>
      <c r="G991" s="64"/>
    </row>
    <row r="992" spans="4:7" ht="14.25" customHeight="1">
      <c r="D992" s="61"/>
      <c r="E992" s="62"/>
      <c r="F992" s="63"/>
      <c r="G992" s="64"/>
    </row>
    <row r="993" spans="4:7" ht="14.25" customHeight="1">
      <c r="D993" s="61"/>
      <c r="E993" s="62"/>
      <c r="F993" s="63"/>
      <c r="G993" s="64"/>
    </row>
    <row r="994" spans="4:7" ht="14.25" customHeight="1">
      <c r="D994" s="61"/>
      <c r="E994" s="62"/>
      <c r="F994" s="63"/>
      <c r="G994" s="64"/>
    </row>
    <row r="995" spans="4:7" ht="14.25" customHeight="1">
      <c r="D995" s="61"/>
      <c r="E995" s="62"/>
      <c r="F995" s="63"/>
      <c r="G995" s="64"/>
    </row>
    <row r="996" spans="4:7" ht="14.25" customHeight="1">
      <c r="D996" s="61"/>
      <c r="E996" s="62"/>
      <c r="F996" s="63"/>
      <c r="G996" s="64"/>
    </row>
    <row r="997" spans="4:7" ht="14.25" customHeight="1">
      <c r="D997" s="61"/>
      <c r="E997" s="62"/>
      <c r="F997" s="63"/>
      <c r="G997" s="64"/>
    </row>
    <row r="998" spans="4:7" ht="14.25" customHeight="1">
      <c r="D998" s="61"/>
      <c r="E998" s="62"/>
      <c r="F998" s="63"/>
      <c r="G998" s="64"/>
    </row>
    <row r="999" spans="4:7" ht="14.25" customHeight="1">
      <c r="D999" s="61"/>
      <c r="E999" s="62"/>
      <c r="F999" s="63"/>
      <c r="G999" s="64"/>
    </row>
    <row r="1000" spans="4:7" ht="14.25" customHeight="1">
      <c r="D1000" s="61"/>
      <c r="E1000" s="62"/>
      <c r="F1000" s="63"/>
      <c r="G1000" s="64"/>
    </row>
    <row r="1001" spans="4:7" ht="14.25" customHeight="1">
      <c r="D1001" s="61"/>
      <c r="E1001" s="62"/>
      <c r="F1001" s="63"/>
      <c r="G1001" s="64"/>
    </row>
    <row r="1002" spans="4:7" ht="14.25" customHeight="1">
      <c r="D1002" s="61"/>
      <c r="E1002" s="62"/>
      <c r="F1002" s="63"/>
      <c r="G1002" s="64"/>
    </row>
    <row r="1003" spans="4:7" ht="14.25" customHeight="1">
      <c r="D1003" s="61"/>
      <c r="E1003" s="62"/>
      <c r="F1003" s="63"/>
      <c r="G1003" s="64"/>
    </row>
    <row r="1004" spans="4:7" ht="14.25" customHeight="1">
      <c r="D1004" s="61"/>
      <c r="E1004" s="62"/>
      <c r="F1004" s="63"/>
      <c r="G1004" s="64"/>
    </row>
    <row r="1005" spans="4:7" ht="14.25" customHeight="1">
      <c r="D1005" s="61"/>
      <c r="E1005" s="62"/>
      <c r="F1005" s="63"/>
      <c r="G1005" s="64"/>
    </row>
    <row r="1006" spans="4:7" ht="14.25" customHeight="1">
      <c r="D1006" s="61"/>
      <c r="E1006" s="62"/>
      <c r="F1006" s="63"/>
      <c r="G1006" s="64"/>
    </row>
    <row r="1007" spans="4:7" ht="14.25" customHeight="1">
      <c r="D1007" s="61"/>
      <c r="E1007" s="62"/>
      <c r="F1007" s="63"/>
      <c r="G1007" s="64"/>
    </row>
    <row r="1008" spans="4:7" ht="14.25" customHeight="1">
      <c r="D1008" s="61"/>
      <c r="E1008" s="62"/>
      <c r="F1008" s="63"/>
      <c r="G1008" s="64"/>
    </row>
  </sheetData>
  <mergeCells count="16">
    <mergeCell ref="L42:O42"/>
    <mergeCell ref="P42:R42"/>
    <mergeCell ref="K55:N55"/>
    <mergeCell ref="A1:B3"/>
    <mergeCell ref="D1:F1"/>
    <mergeCell ref="G1:J1"/>
    <mergeCell ref="K1:N1"/>
    <mergeCell ref="O1:R1"/>
    <mergeCell ref="D4:R4"/>
    <mergeCell ref="A13:O13"/>
    <mergeCell ref="A22:O22"/>
    <mergeCell ref="A5:A12"/>
    <mergeCell ref="A14:A21"/>
    <mergeCell ref="A23:A31"/>
    <mergeCell ref="D42:G42"/>
    <mergeCell ref="H42:K42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010"/>
  <sheetViews>
    <sheetView topLeftCell="A33" workbookViewId="0">
      <selection sqref="A1:B3"/>
    </sheetView>
  </sheetViews>
  <sheetFormatPr defaultColWidth="14.42578125" defaultRowHeight="15" customHeight="1"/>
  <cols>
    <col min="1" max="2" width="10.7109375" customWidth="1"/>
    <col min="3" max="3" width="55.28515625" customWidth="1"/>
    <col min="4" max="30" width="9.42578125" customWidth="1"/>
  </cols>
  <sheetData>
    <row r="1" spans="1:30" ht="14.25" customHeight="1">
      <c r="A1" s="225"/>
      <c r="B1" s="226"/>
      <c r="C1" s="112" t="s">
        <v>0</v>
      </c>
      <c r="D1" s="231">
        <v>2022</v>
      </c>
      <c r="E1" s="222"/>
      <c r="F1" s="223"/>
      <c r="G1" s="231">
        <v>2023</v>
      </c>
      <c r="H1" s="222"/>
      <c r="I1" s="222"/>
      <c r="J1" s="223"/>
      <c r="K1" s="231">
        <v>2024</v>
      </c>
      <c r="L1" s="222"/>
      <c r="M1" s="222"/>
      <c r="N1" s="223"/>
      <c r="O1" s="231">
        <v>2025</v>
      </c>
      <c r="P1" s="222"/>
      <c r="Q1" s="222"/>
      <c r="R1" s="223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</row>
    <row r="2" spans="1:30" ht="14.25" customHeight="1">
      <c r="A2" s="227"/>
      <c r="B2" s="228"/>
      <c r="C2" s="112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2" t="s">
        <v>2</v>
      </c>
      <c r="I2" s="3" t="s">
        <v>3</v>
      </c>
      <c r="J2" s="4" t="s">
        <v>4</v>
      </c>
      <c r="K2" s="5" t="s">
        <v>5</v>
      </c>
      <c r="L2" s="2" t="s">
        <v>2</v>
      </c>
      <c r="M2" s="3" t="s">
        <v>3</v>
      </c>
      <c r="N2" s="4" t="s">
        <v>4</v>
      </c>
      <c r="O2" s="5" t="s">
        <v>5</v>
      </c>
      <c r="P2" s="2" t="s">
        <v>2</v>
      </c>
      <c r="Q2" s="3" t="s">
        <v>3</v>
      </c>
      <c r="R2" s="4" t="s">
        <v>4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 ht="14.25" customHeight="1">
      <c r="A3" s="229"/>
      <c r="B3" s="230"/>
      <c r="C3" s="113" t="s">
        <v>6</v>
      </c>
      <c r="D3" s="114" t="s">
        <v>71</v>
      </c>
      <c r="E3" s="115" t="s">
        <v>71</v>
      </c>
      <c r="F3" s="78">
        <v>44901</v>
      </c>
      <c r="G3" s="68">
        <v>44967</v>
      </c>
      <c r="H3" s="74">
        <v>45097</v>
      </c>
      <c r="I3" s="75">
        <v>45147</v>
      </c>
      <c r="J3" s="70">
        <v>45279</v>
      </c>
      <c r="K3" s="68">
        <v>45363</v>
      </c>
      <c r="L3" s="74">
        <v>45408</v>
      </c>
      <c r="M3" s="75">
        <v>45533</v>
      </c>
      <c r="N3" s="76">
        <v>45586</v>
      </c>
      <c r="O3" s="116">
        <v>45687</v>
      </c>
      <c r="P3" s="74">
        <v>45825</v>
      </c>
      <c r="Q3" s="117">
        <v>45883</v>
      </c>
      <c r="R3" s="70">
        <v>45958</v>
      </c>
      <c r="S3" s="118"/>
    </row>
    <row r="4" spans="1:30" ht="14.25" customHeight="1">
      <c r="A4" s="14" t="s">
        <v>7</v>
      </c>
      <c r="B4" s="14" t="s">
        <v>8</v>
      </c>
      <c r="C4" s="15" t="s">
        <v>52</v>
      </c>
      <c r="D4" s="239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  <c r="S4" s="119"/>
    </row>
    <row r="5" spans="1:30" ht="23.25" customHeight="1">
      <c r="A5" s="233" t="s">
        <v>10</v>
      </c>
      <c r="B5" s="16" t="s">
        <v>11</v>
      </c>
      <c r="C5" s="16" t="s">
        <v>12</v>
      </c>
      <c r="D5" s="17"/>
      <c r="E5" s="18"/>
      <c r="F5" s="19">
        <v>0</v>
      </c>
      <c r="G5" s="84">
        <v>0</v>
      </c>
      <c r="H5" s="17">
        <v>0</v>
      </c>
      <c r="I5" s="18">
        <v>0</v>
      </c>
      <c r="J5" s="19">
        <v>0</v>
      </c>
      <c r="K5" s="84">
        <v>0</v>
      </c>
      <c r="L5" s="17">
        <v>0</v>
      </c>
      <c r="M5" s="18">
        <v>0</v>
      </c>
      <c r="N5" s="19">
        <v>0</v>
      </c>
      <c r="O5" s="84">
        <v>0</v>
      </c>
      <c r="P5" s="17">
        <v>0</v>
      </c>
      <c r="Q5" s="120">
        <v>0</v>
      </c>
      <c r="R5" s="27">
        <v>1</v>
      </c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</row>
    <row r="6" spans="1:30" ht="22.5" customHeight="1">
      <c r="A6" s="219"/>
      <c r="B6" s="24" t="s">
        <v>13</v>
      </c>
      <c r="C6" s="24" t="s">
        <v>14</v>
      </c>
      <c r="D6" s="25"/>
      <c r="E6" s="26"/>
      <c r="F6" s="27">
        <v>0</v>
      </c>
      <c r="G6" s="86">
        <v>0</v>
      </c>
      <c r="H6" s="25">
        <v>0</v>
      </c>
      <c r="I6" s="26">
        <v>0</v>
      </c>
      <c r="J6" s="27">
        <v>0</v>
      </c>
      <c r="K6" s="86">
        <v>0</v>
      </c>
      <c r="L6" s="25">
        <v>0</v>
      </c>
      <c r="M6" s="26">
        <v>0</v>
      </c>
      <c r="N6" s="27">
        <v>0</v>
      </c>
      <c r="O6" s="86">
        <v>0</v>
      </c>
      <c r="P6" s="25">
        <v>1</v>
      </c>
      <c r="Q6" s="120">
        <v>0</v>
      </c>
      <c r="R6" s="27">
        <v>0</v>
      </c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</row>
    <row r="7" spans="1:30" ht="22.5" customHeight="1">
      <c r="A7" s="219"/>
      <c r="B7" s="16" t="s">
        <v>15</v>
      </c>
      <c r="C7" s="16" t="s">
        <v>16</v>
      </c>
      <c r="D7" s="17"/>
      <c r="E7" s="18"/>
      <c r="F7" s="19">
        <v>2</v>
      </c>
      <c r="G7" s="84">
        <v>3</v>
      </c>
      <c r="H7" s="17">
        <v>1</v>
      </c>
      <c r="I7" s="18">
        <v>6</v>
      </c>
      <c r="J7" s="19">
        <v>0</v>
      </c>
      <c r="K7" s="84">
        <v>0</v>
      </c>
      <c r="L7" s="17">
        <v>0</v>
      </c>
      <c r="M7" s="18">
        <v>0</v>
      </c>
      <c r="N7" s="19">
        <v>3</v>
      </c>
      <c r="O7" s="84">
        <v>2</v>
      </c>
      <c r="P7" s="17">
        <v>0</v>
      </c>
      <c r="Q7" s="120">
        <v>69</v>
      </c>
      <c r="R7" s="27">
        <v>2</v>
      </c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</row>
    <row r="8" spans="1:30" ht="22.5" customHeight="1">
      <c r="A8" s="219"/>
      <c r="B8" s="24" t="s">
        <v>17</v>
      </c>
      <c r="C8" s="24" t="s">
        <v>18</v>
      </c>
      <c r="D8" s="25"/>
      <c r="E8" s="26"/>
      <c r="F8" s="27">
        <v>7</v>
      </c>
      <c r="G8" s="86">
        <v>1</v>
      </c>
      <c r="H8" s="25">
        <v>2</v>
      </c>
      <c r="I8" s="26">
        <v>1</v>
      </c>
      <c r="J8" s="27">
        <v>2</v>
      </c>
      <c r="K8" s="86">
        <v>0</v>
      </c>
      <c r="L8" s="25">
        <v>0</v>
      </c>
      <c r="M8" s="26">
        <v>0</v>
      </c>
      <c r="N8" s="27">
        <v>0</v>
      </c>
      <c r="O8" s="86">
        <v>0</v>
      </c>
      <c r="P8" s="25">
        <v>0</v>
      </c>
      <c r="Q8" s="120">
        <v>4</v>
      </c>
      <c r="R8" s="27">
        <v>0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</row>
    <row r="9" spans="1:30" ht="22.5" customHeight="1">
      <c r="A9" s="219"/>
      <c r="B9" s="16" t="s">
        <v>19</v>
      </c>
      <c r="C9" s="16" t="s">
        <v>20</v>
      </c>
      <c r="D9" s="17"/>
      <c r="E9" s="18"/>
      <c r="F9" s="19">
        <v>15</v>
      </c>
      <c r="G9" s="84">
        <v>5</v>
      </c>
      <c r="H9" s="17">
        <v>18</v>
      </c>
      <c r="I9" s="18">
        <v>25</v>
      </c>
      <c r="J9" s="19">
        <v>109</v>
      </c>
      <c r="K9" s="84">
        <v>11</v>
      </c>
      <c r="L9" s="17">
        <v>24</v>
      </c>
      <c r="M9" s="18">
        <v>2</v>
      </c>
      <c r="N9" s="19">
        <v>52</v>
      </c>
      <c r="O9" s="84">
        <v>17</v>
      </c>
      <c r="P9" s="17">
        <v>34</v>
      </c>
      <c r="Q9" s="120">
        <v>30</v>
      </c>
      <c r="R9" s="27">
        <v>7</v>
      </c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</row>
    <row r="10" spans="1:30" ht="23.25" customHeight="1">
      <c r="A10" s="219"/>
      <c r="B10" s="24" t="s">
        <v>21</v>
      </c>
      <c r="C10" s="24" t="s">
        <v>22</v>
      </c>
      <c r="D10" s="25"/>
      <c r="E10" s="26"/>
      <c r="F10" s="27">
        <v>535</v>
      </c>
      <c r="G10" s="86">
        <v>27</v>
      </c>
      <c r="H10" s="25">
        <v>56</v>
      </c>
      <c r="I10" s="26">
        <v>72</v>
      </c>
      <c r="J10" s="27">
        <v>467</v>
      </c>
      <c r="K10" s="86">
        <v>213</v>
      </c>
      <c r="L10" s="25">
        <v>394</v>
      </c>
      <c r="M10" s="26">
        <v>22</v>
      </c>
      <c r="N10" s="27">
        <v>22</v>
      </c>
      <c r="O10" s="86">
        <v>35</v>
      </c>
      <c r="P10" s="25">
        <v>10</v>
      </c>
      <c r="Q10" s="120">
        <v>34</v>
      </c>
      <c r="R10" s="27">
        <v>9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</row>
    <row r="11" spans="1:30" ht="24" customHeight="1">
      <c r="A11" s="219"/>
      <c r="B11" s="16" t="s">
        <v>23</v>
      </c>
      <c r="C11" s="16" t="s">
        <v>24</v>
      </c>
      <c r="D11" s="17"/>
      <c r="E11" s="18"/>
      <c r="F11" s="19">
        <v>5</v>
      </c>
      <c r="G11" s="84">
        <v>1</v>
      </c>
      <c r="H11" s="17">
        <v>0</v>
      </c>
      <c r="I11" s="18">
        <v>2</v>
      </c>
      <c r="J11" s="19">
        <v>0</v>
      </c>
      <c r="K11" s="84">
        <v>0</v>
      </c>
      <c r="L11" s="17">
        <v>2</v>
      </c>
      <c r="M11" s="18">
        <v>2</v>
      </c>
      <c r="N11" s="19">
        <v>0</v>
      </c>
      <c r="O11" s="84">
        <v>1</v>
      </c>
      <c r="P11" s="17">
        <v>0</v>
      </c>
      <c r="Q11" s="120">
        <v>1</v>
      </c>
      <c r="R11" s="27">
        <v>1</v>
      </c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</row>
    <row r="12" spans="1:30" ht="24.75" customHeight="1">
      <c r="A12" s="220"/>
      <c r="B12" s="32" t="s">
        <v>25</v>
      </c>
      <c r="C12" s="32" t="s">
        <v>26</v>
      </c>
      <c r="D12" s="25"/>
      <c r="E12" s="26"/>
      <c r="F12" s="27">
        <v>15</v>
      </c>
      <c r="G12" s="86">
        <v>1</v>
      </c>
      <c r="H12" s="25">
        <v>0</v>
      </c>
      <c r="I12" s="26">
        <v>1</v>
      </c>
      <c r="J12" s="27">
        <v>3</v>
      </c>
      <c r="K12" s="86">
        <v>0</v>
      </c>
      <c r="L12" s="25">
        <v>1</v>
      </c>
      <c r="M12" s="26">
        <v>0</v>
      </c>
      <c r="N12" s="27">
        <v>0</v>
      </c>
      <c r="O12" s="86">
        <v>2</v>
      </c>
      <c r="P12" s="25">
        <v>3</v>
      </c>
      <c r="Q12" s="120">
        <v>1</v>
      </c>
      <c r="R12" s="27">
        <v>0</v>
      </c>
    </row>
    <row r="13" spans="1:30">
      <c r="A13" s="221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3"/>
      <c r="P13" s="121"/>
      <c r="Q13" s="122"/>
      <c r="R13" s="121"/>
    </row>
    <row r="14" spans="1:30" ht="24.75" customHeight="1">
      <c r="A14" s="218" t="s">
        <v>27</v>
      </c>
      <c r="B14" s="16" t="s">
        <v>11</v>
      </c>
      <c r="C14" s="16" t="s">
        <v>12</v>
      </c>
      <c r="D14" s="17"/>
      <c r="E14" s="18"/>
      <c r="F14" s="123">
        <v>0</v>
      </c>
      <c r="G14" s="124">
        <v>0</v>
      </c>
      <c r="H14" s="17">
        <v>0</v>
      </c>
      <c r="I14" s="18">
        <v>0</v>
      </c>
      <c r="J14" s="123">
        <v>0</v>
      </c>
      <c r="K14" s="124">
        <v>0</v>
      </c>
      <c r="L14" s="17">
        <v>0</v>
      </c>
      <c r="M14" s="18">
        <v>0</v>
      </c>
      <c r="N14" s="123">
        <v>0</v>
      </c>
      <c r="O14" s="124">
        <v>0</v>
      </c>
      <c r="P14" s="17">
        <v>0</v>
      </c>
      <c r="Q14" s="26">
        <v>0</v>
      </c>
      <c r="R14" s="123">
        <v>0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</row>
    <row r="15" spans="1:30" ht="25.5" customHeight="1">
      <c r="A15" s="219"/>
      <c r="B15" s="24" t="s">
        <v>28</v>
      </c>
      <c r="C15" s="24" t="s">
        <v>29</v>
      </c>
      <c r="D15" s="25"/>
      <c r="E15" s="26"/>
      <c r="F15" s="125">
        <v>618</v>
      </c>
      <c r="G15" s="126">
        <v>75</v>
      </c>
      <c r="H15" s="25">
        <v>36</v>
      </c>
      <c r="I15" s="26">
        <v>118</v>
      </c>
      <c r="J15" s="125">
        <v>702</v>
      </c>
      <c r="K15" s="126">
        <v>224</v>
      </c>
      <c r="L15" s="25">
        <v>535</v>
      </c>
      <c r="M15" s="26">
        <v>17</v>
      </c>
      <c r="N15" s="125">
        <v>24</v>
      </c>
      <c r="O15" s="126">
        <v>19</v>
      </c>
      <c r="P15" s="25">
        <v>43</v>
      </c>
      <c r="Q15" s="26">
        <v>20</v>
      </c>
      <c r="R15" s="123">
        <v>73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</row>
    <row r="16" spans="1:30" ht="23.25" customHeight="1">
      <c r="A16" s="219"/>
      <c r="B16" s="16" t="s">
        <v>15</v>
      </c>
      <c r="C16" s="16" t="s">
        <v>16</v>
      </c>
      <c r="D16" s="17"/>
      <c r="E16" s="127"/>
      <c r="F16" s="123">
        <v>9</v>
      </c>
      <c r="G16" s="124">
        <v>2</v>
      </c>
      <c r="H16" s="17">
        <v>2</v>
      </c>
      <c r="I16" s="18">
        <v>1</v>
      </c>
      <c r="J16" s="123">
        <v>1</v>
      </c>
      <c r="K16" s="124">
        <v>0</v>
      </c>
      <c r="L16" s="17">
        <v>0</v>
      </c>
      <c r="M16" s="18">
        <v>0</v>
      </c>
      <c r="N16" s="123">
        <v>1</v>
      </c>
      <c r="O16" s="124">
        <v>0</v>
      </c>
      <c r="P16" s="17">
        <v>0</v>
      </c>
      <c r="Q16" s="26">
        <v>0</v>
      </c>
      <c r="R16" s="123">
        <v>0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</row>
    <row r="17" spans="1:30" ht="25.5" customHeight="1">
      <c r="A17" s="219"/>
      <c r="B17" s="24" t="s">
        <v>17</v>
      </c>
      <c r="C17" s="24" t="s">
        <v>18</v>
      </c>
      <c r="D17" s="25"/>
      <c r="E17" s="26"/>
      <c r="F17" s="125">
        <v>2</v>
      </c>
      <c r="G17" s="126">
        <v>1</v>
      </c>
      <c r="H17" s="25">
        <v>2</v>
      </c>
      <c r="I17" s="26">
        <v>0</v>
      </c>
      <c r="J17" s="41"/>
      <c r="K17" s="126">
        <v>0</v>
      </c>
      <c r="L17" s="25">
        <v>0</v>
      </c>
      <c r="M17" s="26">
        <v>0</v>
      </c>
      <c r="N17" s="125">
        <v>0</v>
      </c>
      <c r="O17" s="126">
        <v>0</v>
      </c>
      <c r="P17" s="25">
        <v>0</v>
      </c>
      <c r="Q17" s="26">
        <v>0</v>
      </c>
      <c r="R17" s="123">
        <v>1</v>
      </c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</row>
    <row r="18" spans="1:30" ht="22.5" customHeight="1">
      <c r="A18" s="219"/>
      <c r="B18" s="16" t="s">
        <v>19</v>
      </c>
      <c r="C18" s="16" t="s">
        <v>20</v>
      </c>
      <c r="D18" s="17"/>
      <c r="E18" s="127"/>
      <c r="F18" s="123">
        <v>3</v>
      </c>
      <c r="G18" s="124">
        <v>11</v>
      </c>
      <c r="H18" s="17">
        <v>7</v>
      </c>
      <c r="I18" s="18">
        <v>8</v>
      </c>
      <c r="J18" s="123">
        <v>52</v>
      </c>
      <c r="K18" s="124">
        <v>6</v>
      </c>
      <c r="L18" s="17">
        <v>13</v>
      </c>
      <c r="M18" s="18">
        <v>7</v>
      </c>
      <c r="N18" s="123">
        <v>29</v>
      </c>
      <c r="O18" s="124">
        <v>9</v>
      </c>
      <c r="P18" s="17">
        <v>62</v>
      </c>
      <c r="Q18" s="26">
        <v>12</v>
      </c>
      <c r="R18" s="123">
        <v>24</v>
      </c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</row>
    <row r="19" spans="1:30" ht="24" customHeight="1">
      <c r="A19" s="219"/>
      <c r="B19" s="24" t="s">
        <v>21</v>
      </c>
      <c r="C19" s="24" t="s">
        <v>22</v>
      </c>
      <c r="D19" s="25"/>
      <c r="E19" s="128"/>
      <c r="F19" s="125">
        <v>126</v>
      </c>
      <c r="G19" s="126">
        <v>71</v>
      </c>
      <c r="H19" s="25">
        <v>69</v>
      </c>
      <c r="I19" s="26">
        <v>138</v>
      </c>
      <c r="J19" s="125">
        <v>288</v>
      </c>
      <c r="K19" s="126">
        <v>25</v>
      </c>
      <c r="L19" s="25">
        <v>286</v>
      </c>
      <c r="M19" s="26">
        <v>97</v>
      </c>
      <c r="N19" s="125">
        <v>21</v>
      </c>
      <c r="O19" s="126">
        <v>14</v>
      </c>
      <c r="P19" s="25">
        <v>31</v>
      </c>
      <c r="Q19" s="26">
        <f>5+115</f>
        <v>120</v>
      </c>
      <c r="R19" s="123">
        <v>1334</v>
      </c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</row>
    <row r="20" spans="1:30" ht="25.5" customHeight="1">
      <c r="A20" s="219"/>
      <c r="B20" s="16" t="s">
        <v>23</v>
      </c>
      <c r="C20" s="16" t="s">
        <v>24</v>
      </c>
      <c r="D20" s="17"/>
      <c r="E20" s="18"/>
      <c r="F20" s="123">
        <v>3</v>
      </c>
      <c r="G20" s="124">
        <v>1</v>
      </c>
      <c r="H20" s="17">
        <v>1</v>
      </c>
      <c r="I20" s="18">
        <v>3</v>
      </c>
      <c r="J20" s="123">
        <v>0</v>
      </c>
      <c r="K20" s="124">
        <v>0</v>
      </c>
      <c r="L20" s="17">
        <v>2</v>
      </c>
      <c r="M20" s="18">
        <v>0</v>
      </c>
      <c r="N20" s="123">
        <v>0</v>
      </c>
      <c r="O20" s="124">
        <v>0</v>
      </c>
      <c r="P20" s="17">
        <v>5</v>
      </c>
      <c r="Q20" s="26">
        <v>0</v>
      </c>
      <c r="R20" s="123">
        <v>0</v>
      </c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</row>
    <row r="21" spans="1:30" ht="25.5" customHeight="1">
      <c r="A21" s="220"/>
      <c r="B21" s="32" t="s">
        <v>25</v>
      </c>
      <c r="C21" s="32" t="s">
        <v>26</v>
      </c>
      <c r="D21" s="25"/>
      <c r="E21" s="26"/>
      <c r="F21" s="125">
        <v>20</v>
      </c>
      <c r="G21" s="126">
        <v>3</v>
      </c>
      <c r="H21" s="25">
        <v>2</v>
      </c>
      <c r="I21" s="26">
        <v>5</v>
      </c>
      <c r="J21" s="125">
        <v>3</v>
      </c>
      <c r="K21" s="126">
        <v>1</v>
      </c>
      <c r="L21" s="25">
        <v>3</v>
      </c>
      <c r="M21" s="26">
        <v>1</v>
      </c>
      <c r="N21" s="125">
        <v>2</v>
      </c>
      <c r="O21" s="126">
        <v>0</v>
      </c>
      <c r="P21" s="25">
        <v>21</v>
      </c>
      <c r="Q21" s="26">
        <v>0</v>
      </c>
      <c r="R21" s="123">
        <v>0</v>
      </c>
    </row>
    <row r="22" spans="1:30" ht="6" customHeight="1">
      <c r="A22" s="221"/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3"/>
      <c r="P22" s="121"/>
      <c r="Q22" s="122"/>
      <c r="R22" s="121"/>
    </row>
    <row r="23" spans="1:30" ht="22.5" customHeight="1">
      <c r="A23" s="224" t="s">
        <v>30</v>
      </c>
      <c r="B23" s="38" t="s">
        <v>11</v>
      </c>
      <c r="C23" s="38" t="s">
        <v>12</v>
      </c>
      <c r="D23" s="21">
        <f t="shared" ref="D23:R23" si="0">SUM(D5+D14)</f>
        <v>0</v>
      </c>
      <c r="E23" s="22">
        <f t="shared" si="0"/>
        <v>0</v>
      </c>
      <c r="F23" s="39">
        <f t="shared" si="0"/>
        <v>0</v>
      </c>
      <c r="G23" s="40">
        <f t="shared" si="0"/>
        <v>0</v>
      </c>
      <c r="H23" s="21">
        <f t="shared" si="0"/>
        <v>0</v>
      </c>
      <c r="I23" s="22">
        <f t="shared" si="0"/>
        <v>0</v>
      </c>
      <c r="J23" s="39">
        <f t="shared" si="0"/>
        <v>0</v>
      </c>
      <c r="K23" s="40">
        <f t="shared" si="0"/>
        <v>0</v>
      </c>
      <c r="L23" s="21">
        <f t="shared" si="0"/>
        <v>0</v>
      </c>
      <c r="M23" s="22">
        <f t="shared" si="0"/>
        <v>0</v>
      </c>
      <c r="N23" s="39">
        <f t="shared" si="0"/>
        <v>0</v>
      </c>
      <c r="O23" s="40">
        <f t="shared" si="0"/>
        <v>0</v>
      </c>
      <c r="P23" s="29">
        <f t="shared" si="0"/>
        <v>0</v>
      </c>
      <c r="Q23" s="30">
        <f t="shared" si="0"/>
        <v>0</v>
      </c>
      <c r="R23" s="41">
        <f t="shared" si="0"/>
        <v>1</v>
      </c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</row>
    <row r="24" spans="1:30" ht="22.5" customHeight="1">
      <c r="A24" s="219"/>
      <c r="B24" s="24" t="s">
        <v>13</v>
      </c>
      <c r="C24" s="24" t="s">
        <v>14</v>
      </c>
      <c r="D24" s="29">
        <f t="shared" ref="D24:R24" si="1">SUM(D6)</f>
        <v>0</v>
      </c>
      <c r="E24" s="30">
        <f t="shared" si="1"/>
        <v>0</v>
      </c>
      <c r="F24" s="41">
        <f t="shared" si="1"/>
        <v>0</v>
      </c>
      <c r="G24" s="42">
        <f t="shared" si="1"/>
        <v>0</v>
      </c>
      <c r="H24" s="29">
        <f t="shared" si="1"/>
        <v>0</v>
      </c>
      <c r="I24" s="30">
        <f t="shared" si="1"/>
        <v>0</v>
      </c>
      <c r="J24" s="41">
        <f t="shared" si="1"/>
        <v>0</v>
      </c>
      <c r="K24" s="42">
        <f t="shared" si="1"/>
        <v>0</v>
      </c>
      <c r="L24" s="29">
        <f t="shared" si="1"/>
        <v>0</v>
      </c>
      <c r="M24" s="30">
        <f t="shared" si="1"/>
        <v>0</v>
      </c>
      <c r="N24" s="41">
        <f t="shared" si="1"/>
        <v>0</v>
      </c>
      <c r="O24" s="42">
        <f t="shared" si="1"/>
        <v>0</v>
      </c>
      <c r="P24" s="29">
        <f t="shared" si="1"/>
        <v>1</v>
      </c>
      <c r="Q24" s="30">
        <f t="shared" si="1"/>
        <v>0</v>
      </c>
      <c r="R24" s="41">
        <f t="shared" si="1"/>
        <v>0</v>
      </c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</row>
    <row r="25" spans="1:30" ht="25.5" customHeight="1">
      <c r="A25" s="219"/>
      <c r="B25" s="38" t="s">
        <v>28</v>
      </c>
      <c r="C25" s="38" t="s">
        <v>29</v>
      </c>
      <c r="D25" s="17">
        <f t="shared" ref="D25:R25" si="2">SUM(D15)</f>
        <v>0</v>
      </c>
      <c r="E25" s="22">
        <f t="shared" si="2"/>
        <v>0</v>
      </c>
      <c r="F25" s="39">
        <f t="shared" si="2"/>
        <v>618</v>
      </c>
      <c r="G25" s="40">
        <f t="shared" si="2"/>
        <v>75</v>
      </c>
      <c r="H25" s="29">
        <f t="shared" si="2"/>
        <v>36</v>
      </c>
      <c r="I25" s="22">
        <f t="shared" si="2"/>
        <v>118</v>
      </c>
      <c r="J25" s="39">
        <f t="shared" si="2"/>
        <v>702</v>
      </c>
      <c r="K25" s="40">
        <f t="shared" si="2"/>
        <v>224</v>
      </c>
      <c r="L25" s="29">
        <f t="shared" si="2"/>
        <v>535</v>
      </c>
      <c r="M25" s="30">
        <f t="shared" si="2"/>
        <v>17</v>
      </c>
      <c r="N25" s="39">
        <f t="shared" si="2"/>
        <v>24</v>
      </c>
      <c r="O25" s="40">
        <f t="shared" si="2"/>
        <v>19</v>
      </c>
      <c r="P25" s="29">
        <f t="shared" si="2"/>
        <v>43</v>
      </c>
      <c r="Q25" s="30">
        <f t="shared" si="2"/>
        <v>20</v>
      </c>
      <c r="R25" s="41">
        <f t="shared" si="2"/>
        <v>73</v>
      </c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</row>
    <row r="26" spans="1:30" ht="24.75" customHeight="1">
      <c r="A26" s="219"/>
      <c r="B26" s="24" t="s">
        <v>15</v>
      </c>
      <c r="C26" s="24" t="s">
        <v>16</v>
      </c>
      <c r="D26" s="29">
        <f t="shared" ref="D26:R26" si="3">SUM(D7+D16)</f>
        <v>0</v>
      </c>
      <c r="E26" s="30">
        <f t="shared" si="3"/>
        <v>0</v>
      </c>
      <c r="F26" s="41">
        <f t="shared" si="3"/>
        <v>11</v>
      </c>
      <c r="G26" s="42">
        <f t="shared" si="3"/>
        <v>5</v>
      </c>
      <c r="H26" s="29">
        <f t="shared" si="3"/>
        <v>3</v>
      </c>
      <c r="I26" s="30">
        <f t="shared" si="3"/>
        <v>7</v>
      </c>
      <c r="J26" s="41">
        <f t="shared" si="3"/>
        <v>1</v>
      </c>
      <c r="K26" s="42">
        <f t="shared" si="3"/>
        <v>0</v>
      </c>
      <c r="L26" s="29">
        <f t="shared" si="3"/>
        <v>0</v>
      </c>
      <c r="M26" s="30">
        <f t="shared" si="3"/>
        <v>0</v>
      </c>
      <c r="N26" s="41">
        <f t="shared" si="3"/>
        <v>4</v>
      </c>
      <c r="O26" s="42">
        <f t="shared" si="3"/>
        <v>2</v>
      </c>
      <c r="P26" s="29">
        <f t="shared" si="3"/>
        <v>0</v>
      </c>
      <c r="Q26" s="30">
        <f t="shared" si="3"/>
        <v>69</v>
      </c>
      <c r="R26" s="41">
        <f t="shared" si="3"/>
        <v>2</v>
      </c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</row>
    <row r="27" spans="1:30" ht="23.25" customHeight="1">
      <c r="A27" s="219"/>
      <c r="B27" s="38" t="s">
        <v>17</v>
      </c>
      <c r="C27" s="38" t="s">
        <v>18</v>
      </c>
      <c r="D27" s="21">
        <f t="shared" ref="D27:R27" si="4">SUM(D8+D17)</f>
        <v>0</v>
      </c>
      <c r="E27" s="22">
        <f t="shared" si="4"/>
        <v>0</v>
      </c>
      <c r="F27" s="39">
        <f t="shared" si="4"/>
        <v>9</v>
      </c>
      <c r="G27" s="40">
        <f t="shared" si="4"/>
        <v>2</v>
      </c>
      <c r="H27" s="21">
        <f t="shared" si="4"/>
        <v>4</v>
      </c>
      <c r="I27" s="22">
        <f t="shared" si="4"/>
        <v>1</v>
      </c>
      <c r="J27" s="39">
        <f t="shared" si="4"/>
        <v>2</v>
      </c>
      <c r="K27" s="40">
        <f t="shared" si="4"/>
        <v>0</v>
      </c>
      <c r="L27" s="21">
        <f t="shared" si="4"/>
        <v>0</v>
      </c>
      <c r="M27" s="22">
        <f t="shared" si="4"/>
        <v>0</v>
      </c>
      <c r="N27" s="39">
        <f t="shared" si="4"/>
        <v>0</v>
      </c>
      <c r="O27" s="40">
        <f t="shared" si="4"/>
        <v>0</v>
      </c>
      <c r="P27" s="29">
        <f t="shared" si="4"/>
        <v>0</v>
      </c>
      <c r="Q27" s="30">
        <f t="shared" si="4"/>
        <v>4</v>
      </c>
      <c r="R27" s="41">
        <f t="shared" si="4"/>
        <v>1</v>
      </c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</row>
    <row r="28" spans="1:30" ht="22.5" customHeight="1">
      <c r="A28" s="219"/>
      <c r="B28" s="24" t="s">
        <v>19</v>
      </c>
      <c r="C28" s="24" t="s">
        <v>20</v>
      </c>
      <c r="D28" s="29">
        <f t="shared" ref="D28:R28" si="5">SUM(D9+D18)</f>
        <v>0</v>
      </c>
      <c r="E28" s="30">
        <f t="shared" si="5"/>
        <v>0</v>
      </c>
      <c r="F28" s="41">
        <f t="shared" si="5"/>
        <v>18</v>
      </c>
      <c r="G28" s="42">
        <f t="shared" si="5"/>
        <v>16</v>
      </c>
      <c r="H28" s="29">
        <f t="shared" si="5"/>
        <v>25</v>
      </c>
      <c r="I28" s="30">
        <f t="shared" si="5"/>
        <v>33</v>
      </c>
      <c r="J28" s="41">
        <f t="shared" si="5"/>
        <v>161</v>
      </c>
      <c r="K28" s="42">
        <f t="shared" si="5"/>
        <v>17</v>
      </c>
      <c r="L28" s="29">
        <f t="shared" si="5"/>
        <v>37</v>
      </c>
      <c r="M28" s="30">
        <f t="shared" si="5"/>
        <v>9</v>
      </c>
      <c r="N28" s="41">
        <f t="shared" si="5"/>
        <v>81</v>
      </c>
      <c r="O28" s="42">
        <f t="shared" si="5"/>
        <v>26</v>
      </c>
      <c r="P28" s="29">
        <f t="shared" si="5"/>
        <v>96</v>
      </c>
      <c r="Q28" s="30">
        <f t="shared" si="5"/>
        <v>42</v>
      </c>
      <c r="R28" s="41">
        <f t="shared" si="5"/>
        <v>31</v>
      </c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</row>
    <row r="29" spans="1:30" ht="24.75" customHeight="1">
      <c r="A29" s="219"/>
      <c r="B29" s="38" t="s">
        <v>21</v>
      </c>
      <c r="C29" s="38" t="s">
        <v>22</v>
      </c>
      <c r="D29" s="21">
        <f t="shared" ref="D29:R29" si="6">SUM(D10+D19)</f>
        <v>0</v>
      </c>
      <c r="E29" s="22">
        <f t="shared" si="6"/>
        <v>0</v>
      </c>
      <c r="F29" s="39">
        <f t="shared" si="6"/>
        <v>661</v>
      </c>
      <c r="G29" s="40">
        <f t="shared" si="6"/>
        <v>98</v>
      </c>
      <c r="H29" s="21">
        <f t="shared" si="6"/>
        <v>125</v>
      </c>
      <c r="I29" s="22">
        <f t="shared" si="6"/>
        <v>210</v>
      </c>
      <c r="J29" s="39">
        <f t="shared" si="6"/>
        <v>755</v>
      </c>
      <c r="K29" s="40">
        <f t="shared" si="6"/>
        <v>238</v>
      </c>
      <c r="L29" s="21">
        <f t="shared" si="6"/>
        <v>680</v>
      </c>
      <c r="M29" s="22">
        <f t="shared" si="6"/>
        <v>119</v>
      </c>
      <c r="N29" s="39">
        <f t="shared" si="6"/>
        <v>43</v>
      </c>
      <c r="O29" s="40">
        <f t="shared" si="6"/>
        <v>49</v>
      </c>
      <c r="P29" s="29">
        <f t="shared" si="6"/>
        <v>41</v>
      </c>
      <c r="Q29" s="30">
        <f t="shared" si="6"/>
        <v>154</v>
      </c>
      <c r="R29" s="41">
        <f t="shared" si="6"/>
        <v>1343</v>
      </c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</row>
    <row r="30" spans="1:30" ht="24.75" customHeight="1">
      <c r="A30" s="219"/>
      <c r="B30" s="24" t="s">
        <v>23</v>
      </c>
      <c r="C30" s="24" t="s">
        <v>24</v>
      </c>
      <c r="D30" s="29">
        <f t="shared" ref="D30:R30" si="7">SUM(D11+D20)</f>
        <v>0</v>
      </c>
      <c r="E30" s="30">
        <f t="shared" si="7"/>
        <v>0</v>
      </c>
      <c r="F30" s="41">
        <f t="shared" si="7"/>
        <v>8</v>
      </c>
      <c r="G30" s="42">
        <f t="shared" si="7"/>
        <v>2</v>
      </c>
      <c r="H30" s="29">
        <f t="shared" si="7"/>
        <v>1</v>
      </c>
      <c r="I30" s="30">
        <f t="shared" si="7"/>
        <v>5</v>
      </c>
      <c r="J30" s="41">
        <f t="shared" si="7"/>
        <v>0</v>
      </c>
      <c r="K30" s="42">
        <f t="shared" si="7"/>
        <v>0</v>
      </c>
      <c r="L30" s="29">
        <f t="shared" si="7"/>
        <v>4</v>
      </c>
      <c r="M30" s="30">
        <f t="shared" si="7"/>
        <v>2</v>
      </c>
      <c r="N30" s="41">
        <f t="shared" si="7"/>
        <v>0</v>
      </c>
      <c r="O30" s="42">
        <f t="shared" si="7"/>
        <v>1</v>
      </c>
      <c r="P30" s="29">
        <f t="shared" si="7"/>
        <v>5</v>
      </c>
      <c r="Q30" s="30">
        <f t="shared" si="7"/>
        <v>1</v>
      </c>
      <c r="R30" s="41">
        <f t="shared" si="7"/>
        <v>1</v>
      </c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</row>
    <row r="31" spans="1:30" ht="25.5" customHeight="1">
      <c r="A31" s="220"/>
      <c r="B31" s="43" t="s">
        <v>25</v>
      </c>
      <c r="C31" s="43" t="s">
        <v>26</v>
      </c>
      <c r="D31" s="21">
        <f t="shared" ref="D31:R31" si="8">SUM(D12+D21)</f>
        <v>0</v>
      </c>
      <c r="E31" s="22">
        <f t="shared" si="8"/>
        <v>0</v>
      </c>
      <c r="F31" s="39">
        <f t="shared" si="8"/>
        <v>35</v>
      </c>
      <c r="G31" s="40">
        <f t="shared" si="8"/>
        <v>4</v>
      </c>
      <c r="H31" s="21">
        <f t="shared" si="8"/>
        <v>2</v>
      </c>
      <c r="I31" s="22">
        <f t="shared" si="8"/>
        <v>6</v>
      </c>
      <c r="J31" s="39">
        <f t="shared" si="8"/>
        <v>6</v>
      </c>
      <c r="K31" s="40">
        <f t="shared" si="8"/>
        <v>1</v>
      </c>
      <c r="L31" s="21">
        <f t="shared" si="8"/>
        <v>4</v>
      </c>
      <c r="M31" s="22">
        <f t="shared" si="8"/>
        <v>1</v>
      </c>
      <c r="N31" s="39">
        <f t="shared" si="8"/>
        <v>2</v>
      </c>
      <c r="O31" s="40">
        <f t="shared" si="8"/>
        <v>2</v>
      </c>
      <c r="P31" s="29">
        <f t="shared" si="8"/>
        <v>24</v>
      </c>
      <c r="Q31" s="30">
        <f t="shared" si="8"/>
        <v>1</v>
      </c>
      <c r="R31" s="41">
        <f t="shared" si="8"/>
        <v>0</v>
      </c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</row>
    <row r="32" spans="1:30" ht="21.75" customHeight="1">
      <c r="A32" s="129"/>
      <c r="B32" s="129"/>
      <c r="C32" s="45" t="s">
        <v>30</v>
      </c>
      <c r="D32" s="46">
        <f t="shared" ref="D32:R32" si="9">SUM(D23:D31)</f>
        <v>0</v>
      </c>
      <c r="E32" s="47">
        <f t="shared" si="9"/>
        <v>0</v>
      </c>
      <c r="F32" s="48">
        <f t="shared" si="9"/>
        <v>1360</v>
      </c>
      <c r="G32" s="49">
        <f t="shared" si="9"/>
        <v>202</v>
      </c>
      <c r="H32" s="46">
        <f t="shared" si="9"/>
        <v>196</v>
      </c>
      <c r="I32" s="47">
        <f t="shared" si="9"/>
        <v>380</v>
      </c>
      <c r="J32" s="48">
        <f t="shared" si="9"/>
        <v>1627</v>
      </c>
      <c r="K32" s="49">
        <f t="shared" si="9"/>
        <v>480</v>
      </c>
      <c r="L32" s="46">
        <f t="shared" si="9"/>
        <v>1260</v>
      </c>
      <c r="M32" s="47">
        <f t="shared" si="9"/>
        <v>148</v>
      </c>
      <c r="N32" s="48">
        <f t="shared" si="9"/>
        <v>154</v>
      </c>
      <c r="O32" s="49">
        <f t="shared" si="9"/>
        <v>99</v>
      </c>
      <c r="P32" s="29">
        <f t="shared" si="9"/>
        <v>210</v>
      </c>
      <c r="Q32" s="30">
        <f t="shared" si="9"/>
        <v>291</v>
      </c>
      <c r="R32" s="41">
        <f t="shared" si="9"/>
        <v>1452</v>
      </c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</row>
    <row r="33" spans="1:30" ht="24.75" customHeight="1">
      <c r="A33" s="130"/>
      <c r="B33" s="130"/>
      <c r="C33" s="45" t="s">
        <v>31</v>
      </c>
      <c r="D33" s="131"/>
      <c r="E33" s="132"/>
      <c r="F33" s="53">
        <f t="shared" ref="F33:R33" si="10">F32*40</f>
        <v>54400</v>
      </c>
      <c r="G33" s="54">
        <f t="shared" si="10"/>
        <v>8080</v>
      </c>
      <c r="H33" s="51">
        <f t="shared" si="10"/>
        <v>7840</v>
      </c>
      <c r="I33" s="52">
        <f t="shared" si="10"/>
        <v>15200</v>
      </c>
      <c r="J33" s="53">
        <f t="shared" si="10"/>
        <v>65080</v>
      </c>
      <c r="K33" s="54">
        <f t="shared" si="10"/>
        <v>19200</v>
      </c>
      <c r="L33" s="51">
        <f t="shared" si="10"/>
        <v>50400</v>
      </c>
      <c r="M33" s="52">
        <f t="shared" si="10"/>
        <v>5920</v>
      </c>
      <c r="N33" s="53">
        <f t="shared" si="10"/>
        <v>6160</v>
      </c>
      <c r="O33" s="54">
        <f t="shared" si="10"/>
        <v>3960</v>
      </c>
      <c r="P33" s="29">
        <f t="shared" si="10"/>
        <v>8400</v>
      </c>
      <c r="Q33" s="30">
        <f t="shared" si="10"/>
        <v>11640</v>
      </c>
      <c r="R33" s="41">
        <f t="shared" si="10"/>
        <v>58080</v>
      </c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</row>
    <row r="34" spans="1:30" ht="36" customHeight="1">
      <c r="A34" s="50"/>
      <c r="C34" s="98" t="s">
        <v>53</v>
      </c>
      <c r="D34" s="99"/>
      <c r="E34" s="99"/>
      <c r="F34" s="133" t="s">
        <v>72</v>
      </c>
      <c r="G34" s="100"/>
      <c r="H34" s="100"/>
      <c r="I34" s="100"/>
      <c r="J34" s="100"/>
      <c r="K34" s="100"/>
      <c r="L34" s="100"/>
      <c r="M34" s="100"/>
      <c r="N34" s="100"/>
      <c r="O34" s="100"/>
      <c r="P34" s="56"/>
      <c r="Q34" s="56"/>
      <c r="R34" s="134" t="s">
        <v>73</v>
      </c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</row>
    <row r="35" spans="1:30" ht="15" customHeight="1">
      <c r="D35" s="55"/>
      <c r="E35" s="55"/>
      <c r="F35" s="56"/>
      <c r="G35" s="56"/>
      <c r="H35" s="56"/>
      <c r="I35" s="56"/>
      <c r="J35" s="56"/>
      <c r="K35" s="56"/>
      <c r="L35" s="56"/>
      <c r="M35" s="56"/>
      <c r="N35" s="56"/>
      <c r="P35" s="55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</row>
    <row r="36" spans="1:30" ht="15" customHeight="1">
      <c r="B36" s="57" t="s">
        <v>32</v>
      </c>
      <c r="C36" s="58"/>
      <c r="D36" s="55"/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</row>
    <row r="37" spans="1:30" ht="18.75" customHeight="1">
      <c r="B37" s="59" t="s">
        <v>33</v>
      </c>
      <c r="C37" s="135" t="s">
        <v>74</v>
      </c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</row>
    <row r="38" spans="1:30" ht="17.25" customHeight="1">
      <c r="B38" s="59" t="s">
        <v>34</v>
      </c>
      <c r="C38" s="135" t="s">
        <v>75</v>
      </c>
      <c r="D38" s="55"/>
      <c r="E38" s="55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</row>
    <row r="39" spans="1:30" ht="15" customHeight="1">
      <c r="A39" s="50"/>
      <c r="B39" s="59" t="s">
        <v>35</v>
      </c>
      <c r="C39" s="135" t="s">
        <v>76</v>
      </c>
      <c r="D39" s="55"/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</row>
    <row r="40" spans="1:30" ht="15" customHeight="1">
      <c r="A40" s="50"/>
      <c r="B40" s="59" t="s">
        <v>36</v>
      </c>
      <c r="C40" s="135" t="s">
        <v>77</v>
      </c>
      <c r="D40" s="55"/>
      <c r="E40" s="55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</row>
    <row r="41" spans="1:30" ht="15" customHeight="1">
      <c r="A41" s="50"/>
      <c r="B41" s="50"/>
      <c r="C41" s="50"/>
      <c r="D41" s="55"/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</row>
    <row r="42" spans="1:30" ht="15" customHeight="1">
      <c r="A42" s="50"/>
      <c r="B42" s="50"/>
      <c r="C42" s="50"/>
      <c r="D42" s="237">
        <v>2022</v>
      </c>
      <c r="E42" s="222"/>
      <c r="F42" s="222"/>
      <c r="G42" s="223"/>
      <c r="H42" s="234">
        <v>2023</v>
      </c>
      <c r="I42" s="222"/>
      <c r="J42" s="222"/>
      <c r="K42" s="223"/>
      <c r="L42" s="234">
        <v>2024</v>
      </c>
      <c r="M42" s="222"/>
      <c r="N42" s="222"/>
      <c r="O42" s="223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</row>
    <row r="43" spans="1:30" ht="23.25" customHeight="1">
      <c r="C43" s="50"/>
      <c r="D43" s="103" t="s">
        <v>58</v>
      </c>
      <c r="E43" s="104" t="s">
        <v>59</v>
      </c>
      <c r="F43" s="105" t="s">
        <v>60</v>
      </c>
      <c r="G43" s="106" t="s">
        <v>61</v>
      </c>
      <c r="H43" s="107" t="s">
        <v>62</v>
      </c>
      <c r="I43" s="104" t="s">
        <v>63</v>
      </c>
      <c r="J43" s="105" t="s">
        <v>64</v>
      </c>
      <c r="K43" s="106" t="s">
        <v>65</v>
      </c>
      <c r="L43" s="107" t="s">
        <v>66</v>
      </c>
      <c r="M43" s="104" t="s">
        <v>67</v>
      </c>
      <c r="N43" s="105" t="s">
        <v>68</v>
      </c>
      <c r="O43" s="106" t="s">
        <v>69</v>
      </c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</row>
    <row r="44" spans="1:30" ht="14.25" customHeight="1">
      <c r="C44" s="38" t="s">
        <v>11</v>
      </c>
      <c r="D44" s="109"/>
      <c r="E44" s="109"/>
      <c r="F44" s="109">
        <f t="shared" ref="F44:O44" si="11">F23*40</f>
        <v>0</v>
      </c>
      <c r="G44" s="109">
        <f t="shared" si="11"/>
        <v>0</v>
      </c>
      <c r="H44" s="109">
        <f t="shared" si="11"/>
        <v>0</v>
      </c>
      <c r="I44" s="109">
        <f t="shared" si="11"/>
        <v>0</v>
      </c>
      <c r="J44" s="109">
        <f t="shared" si="11"/>
        <v>0</v>
      </c>
      <c r="K44" s="109">
        <f t="shared" si="11"/>
        <v>0</v>
      </c>
      <c r="L44" s="109">
        <f t="shared" si="11"/>
        <v>0</v>
      </c>
      <c r="M44" s="109">
        <f t="shared" si="11"/>
        <v>0</v>
      </c>
      <c r="N44" s="109">
        <f t="shared" si="11"/>
        <v>0</v>
      </c>
      <c r="O44" s="109">
        <f t="shared" si="11"/>
        <v>0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</row>
    <row r="45" spans="1:30" ht="14.25" customHeight="1">
      <c r="C45" s="24" t="s">
        <v>13</v>
      </c>
      <c r="D45" s="136"/>
      <c r="E45" s="136"/>
      <c r="F45" s="136">
        <f t="shared" ref="F45:O45" si="12">F24*40</f>
        <v>0</v>
      </c>
      <c r="G45" s="136">
        <f t="shared" si="12"/>
        <v>0</v>
      </c>
      <c r="H45" s="136">
        <f t="shared" si="12"/>
        <v>0</v>
      </c>
      <c r="I45" s="136">
        <f t="shared" si="12"/>
        <v>0</v>
      </c>
      <c r="J45" s="136">
        <f t="shared" si="12"/>
        <v>0</v>
      </c>
      <c r="K45" s="136">
        <f t="shared" si="12"/>
        <v>0</v>
      </c>
      <c r="L45" s="136">
        <f t="shared" si="12"/>
        <v>0</v>
      </c>
      <c r="M45" s="136">
        <f t="shared" si="12"/>
        <v>0</v>
      </c>
      <c r="N45" s="136">
        <f t="shared" si="12"/>
        <v>0</v>
      </c>
      <c r="O45" s="136">
        <f t="shared" si="12"/>
        <v>0</v>
      </c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</row>
    <row r="46" spans="1:30" ht="14.25" customHeight="1">
      <c r="C46" s="38" t="s">
        <v>28</v>
      </c>
      <c r="D46" s="109"/>
      <c r="E46" s="109"/>
      <c r="F46" s="109">
        <f t="shared" ref="F46:O46" si="13">F25*40</f>
        <v>24720</v>
      </c>
      <c r="G46" s="109">
        <f t="shared" si="13"/>
        <v>3000</v>
      </c>
      <c r="H46" s="109">
        <f t="shared" si="13"/>
        <v>1440</v>
      </c>
      <c r="I46" s="109">
        <f t="shared" si="13"/>
        <v>4720</v>
      </c>
      <c r="J46" s="109">
        <f t="shared" si="13"/>
        <v>28080</v>
      </c>
      <c r="K46" s="109">
        <f t="shared" si="13"/>
        <v>8960</v>
      </c>
      <c r="L46" s="109">
        <f t="shared" si="13"/>
        <v>21400</v>
      </c>
      <c r="M46" s="109">
        <f t="shared" si="13"/>
        <v>680</v>
      </c>
      <c r="N46" s="109">
        <f t="shared" si="13"/>
        <v>960</v>
      </c>
      <c r="O46" s="109">
        <f t="shared" si="13"/>
        <v>760</v>
      </c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</row>
    <row r="47" spans="1:30" ht="14.25" customHeight="1">
      <c r="C47" s="24" t="s">
        <v>15</v>
      </c>
      <c r="D47" s="136"/>
      <c r="E47" s="136"/>
      <c r="F47" s="136">
        <f t="shared" ref="F47:O47" si="14">F26*40</f>
        <v>440</v>
      </c>
      <c r="G47" s="136">
        <f t="shared" si="14"/>
        <v>200</v>
      </c>
      <c r="H47" s="136">
        <f t="shared" si="14"/>
        <v>120</v>
      </c>
      <c r="I47" s="136">
        <f t="shared" si="14"/>
        <v>280</v>
      </c>
      <c r="J47" s="136">
        <f t="shared" si="14"/>
        <v>40</v>
      </c>
      <c r="K47" s="136">
        <f t="shared" si="14"/>
        <v>0</v>
      </c>
      <c r="L47" s="136">
        <f t="shared" si="14"/>
        <v>0</v>
      </c>
      <c r="M47" s="136">
        <f t="shared" si="14"/>
        <v>0</v>
      </c>
      <c r="N47" s="136">
        <f t="shared" si="14"/>
        <v>160</v>
      </c>
      <c r="O47" s="136">
        <f t="shared" si="14"/>
        <v>80</v>
      </c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</row>
    <row r="48" spans="1:30" ht="14.25" customHeight="1">
      <c r="C48" s="38" t="s">
        <v>17</v>
      </c>
      <c r="D48" s="109"/>
      <c r="E48" s="109"/>
      <c r="F48" s="109">
        <f t="shared" ref="F48:O48" si="15">F27*40</f>
        <v>360</v>
      </c>
      <c r="G48" s="109">
        <f t="shared" si="15"/>
        <v>80</v>
      </c>
      <c r="H48" s="109">
        <f t="shared" si="15"/>
        <v>160</v>
      </c>
      <c r="I48" s="109">
        <f t="shared" si="15"/>
        <v>40</v>
      </c>
      <c r="J48" s="109">
        <f t="shared" si="15"/>
        <v>80</v>
      </c>
      <c r="K48" s="109">
        <f t="shared" si="15"/>
        <v>0</v>
      </c>
      <c r="L48" s="109">
        <f t="shared" si="15"/>
        <v>0</v>
      </c>
      <c r="M48" s="109">
        <f t="shared" si="15"/>
        <v>0</v>
      </c>
      <c r="N48" s="109">
        <f t="shared" si="15"/>
        <v>0</v>
      </c>
      <c r="O48" s="109">
        <f t="shared" si="15"/>
        <v>0</v>
      </c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</row>
    <row r="49" spans="3:30" ht="14.25" customHeight="1">
      <c r="C49" s="24" t="s">
        <v>19</v>
      </c>
      <c r="D49" s="136"/>
      <c r="E49" s="136"/>
      <c r="F49" s="136">
        <f t="shared" ref="F49:O49" si="16">F28*40</f>
        <v>720</v>
      </c>
      <c r="G49" s="136">
        <f t="shared" si="16"/>
        <v>640</v>
      </c>
      <c r="H49" s="136">
        <f t="shared" si="16"/>
        <v>1000</v>
      </c>
      <c r="I49" s="136">
        <f t="shared" si="16"/>
        <v>1320</v>
      </c>
      <c r="J49" s="136">
        <f t="shared" si="16"/>
        <v>6440</v>
      </c>
      <c r="K49" s="136">
        <f t="shared" si="16"/>
        <v>680</v>
      </c>
      <c r="L49" s="136">
        <f t="shared" si="16"/>
        <v>1480</v>
      </c>
      <c r="M49" s="136">
        <f t="shared" si="16"/>
        <v>360</v>
      </c>
      <c r="N49" s="136">
        <f t="shared" si="16"/>
        <v>3240</v>
      </c>
      <c r="O49" s="136">
        <f t="shared" si="16"/>
        <v>1040</v>
      </c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</row>
    <row r="50" spans="3:30" ht="14.25" customHeight="1">
      <c r="C50" s="38" t="s">
        <v>21</v>
      </c>
      <c r="D50" s="109"/>
      <c r="E50" s="109"/>
      <c r="F50" s="109">
        <f t="shared" ref="F50:O50" si="17">F29*40</f>
        <v>26440</v>
      </c>
      <c r="G50" s="109">
        <f t="shared" si="17"/>
        <v>3920</v>
      </c>
      <c r="H50" s="109">
        <f t="shared" si="17"/>
        <v>5000</v>
      </c>
      <c r="I50" s="109">
        <f t="shared" si="17"/>
        <v>8400</v>
      </c>
      <c r="J50" s="109">
        <f t="shared" si="17"/>
        <v>30200</v>
      </c>
      <c r="K50" s="109">
        <f t="shared" si="17"/>
        <v>9520</v>
      </c>
      <c r="L50" s="109">
        <f t="shared" si="17"/>
        <v>27200</v>
      </c>
      <c r="M50" s="109">
        <f t="shared" si="17"/>
        <v>4760</v>
      </c>
      <c r="N50" s="109">
        <f t="shared" si="17"/>
        <v>1720</v>
      </c>
      <c r="O50" s="109">
        <f t="shared" si="17"/>
        <v>1960</v>
      </c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</row>
    <row r="51" spans="3:30" ht="14.25" customHeight="1">
      <c r="C51" s="24" t="s">
        <v>23</v>
      </c>
      <c r="D51" s="136"/>
      <c r="E51" s="136"/>
      <c r="F51" s="136">
        <f t="shared" ref="F51:O51" si="18">F30*40</f>
        <v>320</v>
      </c>
      <c r="G51" s="136">
        <f t="shared" si="18"/>
        <v>80</v>
      </c>
      <c r="H51" s="136">
        <f t="shared" si="18"/>
        <v>40</v>
      </c>
      <c r="I51" s="136">
        <f t="shared" si="18"/>
        <v>200</v>
      </c>
      <c r="J51" s="136">
        <f t="shared" si="18"/>
        <v>0</v>
      </c>
      <c r="K51" s="136">
        <f t="shared" si="18"/>
        <v>0</v>
      </c>
      <c r="L51" s="136">
        <f t="shared" si="18"/>
        <v>160</v>
      </c>
      <c r="M51" s="136">
        <f t="shared" si="18"/>
        <v>80</v>
      </c>
      <c r="N51" s="136">
        <f t="shared" si="18"/>
        <v>0</v>
      </c>
      <c r="O51" s="136">
        <f t="shared" si="18"/>
        <v>40</v>
      </c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</row>
    <row r="52" spans="3:30" ht="14.25" customHeight="1">
      <c r="C52" s="43" t="s">
        <v>25</v>
      </c>
      <c r="D52" s="109"/>
      <c r="E52" s="109"/>
      <c r="F52" s="109">
        <f t="shared" ref="F52:O52" si="19">F31*40</f>
        <v>1400</v>
      </c>
      <c r="G52" s="109">
        <f t="shared" si="19"/>
        <v>160</v>
      </c>
      <c r="H52" s="109">
        <f t="shared" si="19"/>
        <v>80</v>
      </c>
      <c r="I52" s="109">
        <f t="shared" si="19"/>
        <v>240</v>
      </c>
      <c r="J52" s="109">
        <f t="shared" si="19"/>
        <v>240</v>
      </c>
      <c r="K52" s="109">
        <f t="shared" si="19"/>
        <v>40</v>
      </c>
      <c r="L52" s="109">
        <f t="shared" si="19"/>
        <v>160</v>
      </c>
      <c r="M52" s="109">
        <f t="shared" si="19"/>
        <v>40</v>
      </c>
      <c r="N52" s="109">
        <f t="shared" si="19"/>
        <v>80</v>
      </c>
      <c r="O52" s="109">
        <f t="shared" si="19"/>
        <v>80</v>
      </c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</row>
    <row r="53" spans="3:30" ht="14.25" customHeight="1"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</row>
    <row r="54" spans="3:30" ht="14.25" customHeight="1"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</row>
    <row r="55" spans="3:30" ht="14.25" customHeight="1">
      <c r="C55" s="67" t="s">
        <v>78</v>
      </c>
      <c r="D55" s="56"/>
      <c r="E55" s="56"/>
      <c r="F55" s="56"/>
      <c r="G55" s="56"/>
      <c r="H55" s="56">
        <f>SUM(H46:J46)</f>
        <v>34240</v>
      </c>
      <c r="I55" s="56"/>
      <c r="J55" s="56"/>
      <c r="K55" s="238">
        <f>SUM(K46:N46)</f>
        <v>32000</v>
      </c>
      <c r="L55" s="222"/>
      <c r="M55" s="222"/>
      <c r="N55" s="223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</row>
    <row r="56" spans="3:30" ht="14.25" customHeight="1"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</row>
    <row r="57" spans="3:30" ht="14.25" customHeight="1"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</row>
    <row r="58" spans="3:30" ht="14.25" customHeight="1"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</row>
    <row r="59" spans="3:30" ht="14.25" customHeight="1"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</row>
    <row r="60" spans="3:30" ht="14.25" customHeight="1"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</row>
    <row r="61" spans="3:30" ht="14.25" customHeight="1"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</row>
    <row r="62" spans="3:30" ht="14.25" customHeight="1"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</row>
    <row r="63" spans="3:30" ht="14.25" customHeight="1"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</row>
    <row r="64" spans="3:30" ht="14.25" customHeight="1"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</row>
    <row r="65" spans="4:30" ht="14.25" customHeight="1"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</row>
    <row r="66" spans="4:30" ht="14.25" customHeight="1"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</row>
    <row r="67" spans="4:30" ht="14.25" customHeight="1"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</row>
    <row r="68" spans="4:30" ht="14.25" customHeight="1"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</row>
    <row r="69" spans="4:30" ht="14.25" customHeight="1"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</row>
    <row r="70" spans="4:30" ht="14.25" customHeight="1"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</row>
    <row r="71" spans="4:30" ht="14.25" customHeight="1"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</row>
    <row r="72" spans="4:30" ht="14.25" customHeight="1"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</row>
    <row r="73" spans="4:30" ht="14.25" customHeight="1"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</row>
    <row r="74" spans="4:30" ht="14.25" customHeight="1"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</row>
    <row r="75" spans="4:30" ht="14.25" customHeight="1"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</row>
    <row r="76" spans="4:30" ht="14.25" customHeight="1"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</row>
    <row r="77" spans="4:30" ht="14.25" customHeight="1"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</row>
    <row r="78" spans="4:30" ht="14.25" customHeight="1"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</row>
    <row r="79" spans="4:30" ht="14.25" customHeight="1"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</row>
    <row r="80" spans="4:30" ht="14.25" customHeight="1"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</row>
    <row r="81" spans="4:30" ht="14.25" customHeight="1"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</row>
    <row r="82" spans="4:30" ht="14.25" customHeight="1"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</row>
    <row r="83" spans="4:30" ht="14.25" customHeight="1"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</row>
    <row r="84" spans="4:30" ht="14.25" customHeight="1"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</row>
    <row r="85" spans="4:30" ht="14.25" customHeight="1"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</row>
    <row r="86" spans="4:30" ht="14.25" customHeight="1"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</row>
    <row r="87" spans="4:30" ht="14.25" customHeight="1"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</row>
    <row r="88" spans="4:30" ht="14.25" customHeight="1"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</row>
    <row r="89" spans="4:30" ht="14.25" customHeight="1"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</row>
    <row r="90" spans="4:30" ht="14.25" customHeight="1"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</row>
    <row r="91" spans="4:30" ht="14.25" customHeight="1"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</row>
    <row r="92" spans="4:30" ht="14.25" customHeight="1"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</row>
    <row r="93" spans="4:30" ht="14.25" customHeight="1"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</row>
    <row r="94" spans="4:30" ht="14.25" customHeight="1"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</row>
    <row r="95" spans="4:30" ht="14.25" customHeight="1"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</row>
    <row r="96" spans="4:30" ht="14.25" customHeight="1"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</row>
    <row r="97" spans="4:30" ht="14.25" customHeight="1"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</row>
    <row r="98" spans="4:30" ht="14.25" customHeight="1"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</row>
    <row r="99" spans="4:30" ht="14.25" customHeight="1"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</row>
    <row r="100" spans="4:30" ht="14.25" customHeight="1"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</row>
    <row r="101" spans="4:30" ht="14.25" customHeight="1"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</row>
    <row r="102" spans="4:30" ht="14.25" customHeight="1"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</row>
    <row r="103" spans="4:30" ht="14.25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</row>
    <row r="104" spans="4:30" ht="14.25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</row>
    <row r="105" spans="4:30" ht="14.25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</row>
    <row r="106" spans="4:30" ht="14.25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</row>
    <row r="107" spans="4:30" ht="14.25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</row>
    <row r="108" spans="4:30" ht="14.25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</row>
    <row r="109" spans="4:30" ht="14.25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</row>
    <row r="110" spans="4:30" ht="14.25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</row>
    <row r="111" spans="4:30" ht="14.25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</row>
    <row r="112" spans="4:30" ht="14.25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</row>
    <row r="113" spans="4:7" ht="14.25" customHeight="1">
      <c r="D113" s="61"/>
      <c r="E113" s="62"/>
      <c r="F113" s="63"/>
      <c r="G113" s="64"/>
    </row>
    <row r="114" spans="4:7" ht="14.25" customHeight="1">
      <c r="D114" s="61"/>
      <c r="E114" s="62"/>
      <c r="F114" s="63"/>
      <c r="G114" s="64"/>
    </row>
    <row r="115" spans="4:7" ht="14.25" customHeight="1">
      <c r="D115" s="61"/>
      <c r="E115" s="62"/>
      <c r="F115" s="63"/>
      <c r="G115" s="64"/>
    </row>
    <row r="116" spans="4:7" ht="14.25" customHeight="1">
      <c r="D116" s="61"/>
      <c r="E116" s="62"/>
      <c r="F116" s="63"/>
      <c r="G116" s="64"/>
    </row>
    <row r="117" spans="4:7" ht="14.25" customHeight="1">
      <c r="D117" s="61"/>
      <c r="E117" s="62"/>
      <c r="F117" s="63"/>
      <c r="G117" s="64"/>
    </row>
    <row r="118" spans="4:7" ht="14.25" customHeight="1">
      <c r="D118" s="61"/>
      <c r="E118" s="62"/>
      <c r="F118" s="63"/>
      <c r="G118" s="64"/>
    </row>
    <row r="119" spans="4:7" ht="14.25" customHeight="1">
      <c r="D119" s="61"/>
      <c r="E119" s="62"/>
      <c r="F119" s="63"/>
      <c r="G119" s="64"/>
    </row>
    <row r="120" spans="4:7" ht="14.25" customHeight="1">
      <c r="D120" s="61"/>
      <c r="E120" s="62"/>
      <c r="F120" s="63"/>
      <c r="G120" s="64"/>
    </row>
    <row r="121" spans="4:7" ht="14.25" customHeight="1">
      <c r="D121" s="61"/>
      <c r="E121" s="62"/>
      <c r="F121" s="63"/>
      <c r="G121" s="64"/>
    </row>
    <row r="122" spans="4:7" ht="14.25" customHeight="1">
      <c r="D122" s="61"/>
      <c r="E122" s="62"/>
      <c r="F122" s="63"/>
      <c r="G122" s="64"/>
    </row>
    <row r="123" spans="4:7" ht="14.25" customHeight="1">
      <c r="D123" s="61"/>
      <c r="E123" s="62"/>
      <c r="F123" s="63"/>
      <c r="G123" s="64"/>
    </row>
    <row r="124" spans="4:7" ht="14.25" customHeight="1">
      <c r="D124" s="61"/>
      <c r="E124" s="62"/>
      <c r="F124" s="63"/>
      <c r="G124" s="64"/>
    </row>
    <row r="125" spans="4:7" ht="14.25" customHeight="1">
      <c r="D125" s="61"/>
      <c r="E125" s="62"/>
      <c r="F125" s="63"/>
      <c r="G125" s="64"/>
    </row>
    <row r="126" spans="4:7" ht="14.25" customHeight="1">
      <c r="D126" s="61"/>
      <c r="E126" s="62"/>
      <c r="F126" s="63"/>
      <c r="G126" s="64"/>
    </row>
    <row r="127" spans="4:7" ht="14.25" customHeight="1">
      <c r="D127" s="61"/>
      <c r="E127" s="62"/>
      <c r="F127" s="63"/>
      <c r="G127" s="64"/>
    </row>
    <row r="128" spans="4:7" ht="14.25" customHeight="1">
      <c r="D128" s="61"/>
      <c r="E128" s="62"/>
      <c r="F128" s="63"/>
      <c r="G128" s="64"/>
    </row>
    <row r="129" spans="4:7" ht="14.25" customHeight="1">
      <c r="D129" s="61"/>
      <c r="E129" s="62"/>
      <c r="F129" s="63"/>
      <c r="G129" s="64"/>
    </row>
    <row r="130" spans="4:7" ht="14.25" customHeight="1">
      <c r="D130" s="61"/>
      <c r="E130" s="62"/>
      <c r="F130" s="63"/>
      <c r="G130" s="64"/>
    </row>
    <row r="131" spans="4:7" ht="14.25" customHeight="1">
      <c r="D131" s="61"/>
      <c r="E131" s="62"/>
      <c r="F131" s="63"/>
      <c r="G131" s="64"/>
    </row>
    <row r="132" spans="4:7" ht="14.25" customHeight="1">
      <c r="D132" s="61"/>
      <c r="E132" s="62"/>
      <c r="F132" s="63"/>
      <c r="G132" s="64"/>
    </row>
    <row r="133" spans="4:7" ht="14.25" customHeight="1">
      <c r="D133" s="61"/>
      <c r="E133" s="62"/>
      <c r="F133" s="63"/>
      <c r="G133" s="64"/>
    </row>
    <row r="134" spans="4:7" ht="14.25" customHeight="1">
      <c r="D134" s="61"/>
      <c r="E134" s="62"/>
      <c r="F134" s="63"/>
      <c r="G134" s="64"/>
    </row>
    <row r="135" spans="4:7" ht="14.25" customHeight="1">
      <c r="D135" s="61"/>
      <c r="E135" s="62"/>
      <c r="F135" s="63"/>
      <c r="G135" s="64"/>
    </row>
    <row r="136" spans="4:7" ht="14.25" customHeight="1">
      <c r="D136" s="61"/>
      <c r="E136" s="62"/>
      <c r="F136" s="63"/>
      <c r="G136" s="64"/>
    </row>
    <row r="137" spans="4:7" ht="14.25" customHeight="1">
      <c r="D137" s="61"/>
      <c r="E137" s="62"/>
      <c r="F137" s="63"/>
      <c r="G137" s="64"/>
    </row>
    <row r="138" spans="4:7" ht="14.25" customHeight="1">
      <c r="D138" s="61"/>
      <c r="E138" s="62"/>
      <c r="F138" s="63"/>
      <c r="G138" s="64"/>
    </row>
    <row r="139" spans="4:7" ht="14.25" customHeight="1">
      <c r="D139" s="61"/>
      <c r="E139" s="62"/>
      <c r="F139" s="63"/>
      <c r="G139" s="64"/>
    </row>
    <row r="140" spans="4:7" ht="14.25" customHeight="1">
      <c r="D140" s="61"/>
      <c r="E140" s="62"/>
      <c r="F140" s="63"/>
      <c r="G140" s="64"/>
    </row>
    <row r="141" spans="4:7" ht="14.25" customHeight="1">
      <c r="D141" s="61"/>
      <c r="E141" s="62"/>
      <c r="F141" s="63"/>
      <c r="G141" s="64"/>
    </row>
    <row r="142" spans="4:7" ht="14.25" customHeight="1">
      <c r="D142" s="61"/>
      <c r="E142" s="62"/>
      <c r="F142" s="63"/>
      <c r="G142" s="64"/>
    </row>
    <row r="143" spans="4:7" ht="14.25" customHeight="1">
      <c r="D143" s="61"/>
      <c r="E143" s="62"/>
      <c r="F143" s="63"/>
      <c r="G143" s="64"/>
    </row>
    <row r="144" spans="4:7" ht="14.25" customHeight="1">
      <c r="D144" s="61"/>
      <c r="E144" s="62"/>
      <c r="F144" s="63"/>
      <c r="G144" s="64"/>
    </row>
    <row r="145" spans="4:7" ht="14.25" customHeight="1">
      <c r="D145" s="61"/>
      <c r="E145" s="62"/>
      <c r="F145" s="63"/>
      <c r="G145" s="64"/>
    </row>
    <row r="146" spans="4:7" ht="14.25" customHeight="1">
      <c r="D146" s="61"/>
      <c r="E146" s="62"/>
      <c r="F146" s="63"/>
      <c r="G146" s="64"/>
    </row>
    <row r="147" spans="4:7" ht="14.25" customHeight="1">
      <c r="D147" s="61"/>
      <c r="E147" s="62"/>
      <c r="F147" s="63"/>
      <c r="G147" s="64"/>
    </row>
    <row r="148" spans="4:7" ht="14.25" customHeight="1">
      <c r="D148" s="61"/>
      <c r="E148" s="62"/>
      <c r="F148" s="63"/>
      <c r="G148" s="64"/>
    </row>
    <row r="149" spans="4:7" ht="14.25" customHeight="1">
      <c r="D149" s="61"/>
      <c r="E149" s="62"/>
      <c r="F149" s="63"/>
      <c r="G149" s="64"/>
    </row>
    <row r="150" spans="4:7" ht="14.25" customHeight="1">
      <c r="D150" s="61"/>
      <c r="E150" s="62"/>
      <c r="F150" s="63"/>
      <c r="G150" s="64"/>
    </row>
    <row r="151" spans="4:7" ht="14.25" customHeight="1">
      <c r="D151" s="61"/>
      <c r="E151" s="62"/>
      <c r="F151" s="63"/>
      <c r="G151" s="64"/>
    </row>
    <row r="152" spans="4:7" ht="14.25" customHeight="1">
      <c r="D152" s="61"/>
      <c r="E152" s="62"/>
      <c r="F152" s="63"/>
      <c r="G152" s="64"/>
    </row>
    <row r="153" spans="4:7" ht="14.25" customHeight="1">
      <c r="D153" s="61"/>
      <c r="E153" s="62"/>
      <c r="F153" s="63"/>
      <c r="G153" s="64"/>
    </row>
    <row r="154" spans="4:7" ht="14.25" customHeight="1">
      <c r="D154" s="61"/>
      <c r="E154" s="62"/>
      <c r="F154" s="63"/>
      <c r="G154" s="64"/>
    </row>
    <row r="155" spans="4:7" ht="14.25" customHeight="1">
      <c r="D155" s="61"/>
      <c r="E155" s="62"/>
      <c r="F155" s="63"/>
      <c r="G155" s="64"/>
    </row>
    <row r="156" spans="4:7" ht="14.25" customHeight="1">
      <c r="D156" s="61"/>
      <c r="E156" s="62"/>
      <c r="F156" s="63"/>
      <c r="G156" s="64"/>
    </row>
    <row r="157" spans="4:7" ht="14.25" customHeight="1">
      <c r="D157" s="61"/>
      <c r="E157" s="62"/>
      <c r="F157" s="63"/>
      <c r="G157" s="64"/>
    </row>
    <row r="158" spans="4:7" ht="14.25" customHeight="1">
      <c r="D158" s="61"/>
      <c r="E158" s="62"/>
      <c r="F158" s="63"/>
      <c r="G158" s="64"/>
    </row>
    <row r="159" spans="4:7" ht="14.25" customHeight="1">
      <c r="D159" s="61"/>
      <c r="E159" s="62"/>
      <c r="F159" s="63"/>
      <c r="G159" s="64"/>
    </row>
    <row r="160" spans="4:7" ht="14.25" customHeight="1">
      <c r="D160" s="61"/>
      <c r="E160" s="62"/>
      <c r="F160" s="63"/>
      <c r="G160" s="64"/>
    </row>
    <row r="161" spans="4:7" ht="14.25" customHeight="1">
      <c r="D161" s="61"/>
      <c r="E161" s="62"/>
      <c r="F161" s="63"/>
      <c r="G161" s="64"/>
    </row>
    <row r="162" spans="4:7" ht="14.25" customHeight="1">
      <c r="D162" s="61"/>
      <c r="E162" s="62"/>
      <c r="F162" s="63"/>
      <c r="G162" s="64"/>
    </row>
    <row r="163" spans="4:7" ht="14.25" customHeight="1">
      <c r="D163" s="61"/>
      <c r="E163" s="62"/>
      <c r="F163" s="63"/>
      <c r="G163" s="64"/>
    </row>
    <row r="164" spans="4:7" ht="14.25" customHeight="1">
      <c r="D164" s="61"/>
      <c r="E164" s="62"/>
      <c r="F164" s="63"/>
      <c r="G164" s="64"/>
    </row>
    <row r="165" spans="4:7" ht="14.25" customHeight="1">
      <c r="D165" s="61"/>
      <c r="E165" s="62"/>
      <c r="F165" s="63"/>
      <c r="G165" s="64"/>
    </row>
    <row r="166" spans="4:7" ht="14.25" customHeight="1">
      <c r="D166" s="61"/>
      <c r="E166" s="62"/>
      <c r="F166" s="63"/>
      <c r="G166" s="64"/>
    </row>
    <row r="167" spans="4:7" ht="14.25" customHeight="1">
      <c r="D167" s="61"/>
      <c r="E167" s="62"/>
      <c r="F167" s="63"/>
      <c r="G167" s="64"/>
    </row>
    <row r="168" spans="4:7" ht="14.25" customHeight="1">
      <c r="D168" s="61"/>
      <c r="E168" s="62"/>
      <c r="F168" s="63"/>
      <c r="G168" s="64"/>
    </row>
    <row r="169" spans="4:7" ht="14.25" customHeight="1">
      <c r="D169" s="61"/>
      <c r="E169" s="62"/>
      <c r="F169" s="63"/>
      <c r="G169" s="64"/>
    </row>
    <row r="170" spans="4:7" ht="14.25" customHeight="1">
      <c r="D170" s="61"/>
      <c r="E170" s="62"/>
      <c r="F170" s="63"/>
      <c r="G170" s="64"/>
    </row>
    <row r="171" spans="4:7" ht="14.25" customHeight="1">
      <c r="D171" s="61"/>
      <c r="E171" s="62"/>
      <c r="F171" s="63"/>
      <c r="G171" s="64"/>
    </row>
    <row r="172" spans="4:7" ht="14.25" customHeight="1">
      <c r="D172" s="61"/>
      <c r="E172" s="62"/>
      <c r="F172" s="63"/>
      <c r="G172" s="64"/>
    </row>
    <row r="173" spans="4:7" ht="14.25" customHeight="1">
      <c r="D173" s="61"/>
      <c r="E173" s="62"/>
      <c r="F173" s="63"/>
      <c r="G173" s="64"/>
    </row>
    <row r="174" spans="4:7" ht="14.25" customHeight="1">
      <c r="D174" s="61"/>
      <c r="E174" s="62"/>
      <c r="F174" s="63"/>
      <c r="G174" s="64"/>
    </row>
    <row r="175" spans="4:7" ht="14.25" customHeight="1">
      <c r="D175" s="61"/>
      <c r="E175" s="62"/>
      <c r="F175" s="63"/>
      <c r="G175" s="64"/>
    </row>
    <row r="176" spans="4:7" ht="14.25" customHeight="1">
      <c r="D176" s="61"/>
      <c r="E176" s="62"/>
      <c r="F176" s="63"/>
      <c r="G176" s="64"/>
    </row>
    <row r="177" spans="4:7" ht="14.25" customHeight="1">
      <c r="D177" s="61"/>
      <c r="E177" s="62"/>
      <c r="F177" s="63"/>
      <c r="G177" s="64"/>
    </row>
    <row r="178" spans="4:7" ht="14.25" customHeight="1">
      <c r="D178" s="61"/>
      <c r="E178" s="62"/>
      <c r="F178" s="63"/>
      <c r="G178" s="64"/>
    </row>
    <row r="179" spans="4:7" ht="14.25" customHeight="1">
      <c r="D179" s="61"/>
      <c r="E179" s="62"/>
      <c r="F179" s="63"/>
      <c r="G179" s="64"/>
    </row>
    <row r="180" spans="4:7" ht="14.25" customHeight="1">
      <c r="D180" s="61"/>
      <c r="E180" s="62"/>
      <c r="F180" s="63"/>
      <c r="G180" s="64"/>
    </row>
    <row r="181" spans="4:7" ht="14.25" customHeight="1">
      <c r="D181" s="61"/>
      <c r="E181" s="62"/>
      <c r="F181" s="63"/>
      <c r="G181" s="64"/>
    </row>
    <row r="182" spans="4:7" ht="14.25" customHeight="1">
      <c r="D182" s="61"/>
      <c r="E182" s="62"/>
      <c r="F182" s="63"/>
      <c r="G182" s="64"/>
    </row>
    <row r="183" spans="4:7" ht="14.25" customHeight="1">
      <c r="D183" s="61"/>
      <c r="E183" s="62"/>
      <c r="F183" s="63"/>
      <c r="G183" s="64"/>
    </row>
    <row r="184" spans="4:7" ht="14.25" customHeight="1">
      <c r="D184" s="61"/>
      <c r="E184" s="62"/>
      <c r="F184" s="63"/>
      <c r="G184" s="64"/>
    </row>
    <row r="185" spans="4:7" ht="14.25" customHeight="1">
      <c r="D185" s="61"/>
      <c r="E185" s="62"/>
      <c r="F185" s="63"/>
      <c r="G185" s="64"/>
    </row>
    <row r="186" spans="4:7" ht="14.25" customHeight="1">
      <c r="D186" s="61"/>
      <c r="E186" s="62"/>
      <c r="F186" s="63"/>
      <c r="G186" s="64"/>
    </row>
    <row r="187" spans="4:7" ht="14.25" customHeight="1">
      <c r="D187" s="61"/>
      <c r="E187" s="62"/>
      <c r="F187" s="63"/>
      <c r="G187" s="64"/>
    </row>
    <row r="188" spans="4:7" ht="14.25" customHeight="1">
      <c r="D188" s="61"/>
      <c r="E188" s="62"/>
      <c r="F188" s="63"/>
      <c r="G188" s="64"/>
    </row>
    <row r="189" spans="4:7" ht="14.25" customHeight="1">
      <c r="D189" s="61"/>
      <c r="E189" s="62"/>
      <c r="F189" s="63"/>
      <c r="G189" s="64"/>
    </row>
    <row r="190" spans="4:7" ht="14.25" customHeight="1">
      <c r="D190" s="61"/>
      <c r="E190" s="62"/>
      <c r="F190" s="63"/>
      <c r="G190" s="64"/>
    </row>
    <row r="191" spans="4:7" ht="14.25" customHeight="1">
      <c r="D191" s="61"/>
      <c r="E191" s="62"/>
      <c r="F191" s="63"/>
      <c r="G191" s="64"/>
    </row>
    <row r="192" spans="4:7" ht="14.25" customHeight="1">
      <c r="D192" s="61"/>
      <c r="E192" s="62"/>
      <c r="F192" s="63"/>
      <c r="G192" s="64"/>
    </row>
    <row r="193" spans="4:7" ht="14.25" customHeight="1">
      <c r="D193" s="61"/>
      <c r="E193" s="62"/>
      <c r="F193" s="63"/>
      <c r="G193" s="64"/>
    </row>
    <row r="194" spans="4:7" ht="14.25" customHeight="1">
      <c r="D194" s="61"/>
      <c r="E194" s="62"/>
      <c r="F194" s="63"/>
      <c r="G194" s="64"/>
    </row>
    <row r="195" spans="4:7" ht="14.25" customHeight="1">
      <c r="D195" s="61"/>
      <c r="E195" s="62"/>
      <c r="F195" s="63"/>
      <c r="G195" s="64"/>
    </row>
    <row r="196" spans="4:7" ht="14.25" customHeight="1">
      <c r="D196" s="61"/>
      <c r="E196" s="62"/>
      <c r="F196" s="63"/>
      <c r="G196" s="64"/>
    </row>
    <row r="197" spans="4:7" ht="14.25" customHeight="1">
      <c r="D197" s="61"/>
      <c r="E197" s="62"/>
      <c r="F197" s="63"/>
      <c r="G197" s="64"/>
    </row>
    <row r="198" spans="4:7" ht="14.25" customHeight="1">
      <c r="D198" s="61"/>
      <c r="E198" s="62"/>
      <c r="F198" s="63"/>
      <c r="G198" s="64"/>
    </row>
    <row r="199" spans="4:7" ht="14.25" customHeight="1">
      <c r="D199" s="61"/>
      <c r="E199" s="62"/>
      <c r="F199" s="63"/>
      <c r="G199" s="64"/>
    </row>
    <row r="200" spans="4:7" ht="14.25" customHeight="1">
      <c r="D200" s="61"/>
      <c r="E200" s="62"/>
      <c r="F200" s="63"/>
      <c r="G200" s="64"/>
    </row>
    <row r="201" spans="4:7" ht="14.25" customHeight="1">
      <c r="D201" s="61"/>
      <c r="E201" s="62"/>
      <c r="F201" s="63"/>
      <c r="G201" s="64"/>
    </row>
    <row r="202" spans="4:7" ht="14.25" customHeight="1">
      <c r="D202" s="61"/>
      <c r="E202" s="62"/>
      <c r="F202" s="63"/>
      <c r="G202" s="64"/>
    </row>
    <row r="203" spans="4:7" ht="14.25" customHeight="1">
      <c r="D203" s="61"/>
      <c r="E203" s="62"/>
      <c r="F203" s="63"/>
      <c r="G203" s="64"/>
    </row>
    <row r="204" spans="4:7" ht="14.25" customHeight="1">
      <c r="D204" s="61"/>
      <c r="E204" s="62"/>
      <c r="F204" s="63"/>
      <c r="G204" s="64"/>
    </row>
    <row r="205" spans="4:7" ht="14.25" customHeight="1">
      <c r="D205" s="61"/>
      <c r="E205" s="62"/>
      <c r="F205" s="63"/>
      <c r="G205" s="64"/>
    </row>
    <row r="206" spans="4:7" ht="14.25" customHeight="1">
      <c r="D206" s="61"/>
      <c r="E206" s="62"/>
      <c r="F206" s="63"/>
      <c r="G206" s="64"/>
    </row>
    <row r="207" spans="4:7" ht="14.25" customHeight="1">
      <c r="D207" s="61"/>
      <c r="E207" s="62"/>
      <c r="F207" s="63"/>
      <c r="G207" s="64"/>
    </row>
    <row r="208" spans="4:7" ht="14.25" customHeight="1">
      <c r="D208" s="61"/>
      <c r="E208" s="62"/>
      <c r="F208" s="63"/>
      <c r="G208" s="64"/>
    </row>
    <row r="209" spans="4:7" ht="14.25" customHeight="1">
      <c r="D209" s="61"/>
      <c r="E209" s="62"/>
      <c r="F209" s="63"/>
      <c r="G209" s="64"/>
    </row>
    <row r="210" spans="4:7" ht="14.25" customHeight="1">
      <c r="D210" s="61"/>
      <c r="E210" s="62"/>
      <c r="F210" s="63"/>
      <c r="G210" s="64"/>
    </row>
    <row r="211" spans="4:7" ht="14.25" customHeight="1">
      <c r="D211" s="61"/>
      <c r="E211" s="62"/>
      <c r="F211" s="63"/>
      <c r="G211" s="64"/>
    </row>
    <row r="212" spans="4:7" ht="14.25" customHeight="1">
      <c r="D212" s="61"/>
      <c r="E212" s="62"/>
      <c r="F212" s="63"/>
      <c r="G212" s="64"/>
    </row>
    <row r="213" spans="4:7" ht="14.25" customHeight="1">
      <c r="D213" s="61"/>
      <c r="E213" s="62"/>
      <c r="F213" s="63"/>
      <c r="G213" s="64"/>
    </row>
    <row r="214" spans="4:7" ht="14.25" customHeight="1">
      <c r="D214" s="61"/>
      <c r="E214" s="62"/>
      <c r="F214" s="63"/>
      <c r="G214" s="64"/>
    </row>
    <row r="215" spans="4:7" ht="14.25" customHeight="1">
      <c r="D215" s="61"/>
      <c r="E215" s="62"/>
      <c r="F215" s="63"/>
      <c r="G215" s="64"/>
    </row>
    <row r="216" spans="4:7" ht="14.25" customHeight="1">
      <c r="D216" s="61"/>
      <c r="E216" s="62"/>
      <c r="F216" s="63"/>
      <c r="G216" s="64"/>
    </row>
    <row r="217" spans="4:7" ht="14.25" customHeight="1">
      <c r="D217" s="61"/>
      <c r="E217" s="62"/>
      <c r="F217" s="63"/>
      <c r="G217" s="64"/>
    </row>
    <row r="218" spans="4:7" ht="14.25" customHeight="1">
      <c r="D218" s="61"/>
      <c r="E218" s="62"/>
      <c r="F218" s="63"/>
      <c r="G218" s="64"/>
    </row>
    <row r="219" spans="4:7" ht="14.25" customHeight="1">
      <c r="D219" s="61"/>
      <c r="E219" s="62"/>
      <c r="F219" s="63"/>
      <c r="G219" s="64"/>
    </row>
    <row r="220" spans="4:7" ht="14.25" customHeight="1">
      <c r="D220" s="61"/>
      <c r="E220" s="62"/>
      <c r="F220" s="63"/>
      <c r="G220" s="64"/>
    </row>
    <row r="221" spans="4:7" ht="14.25" customHeight="1">
      <c r="D221" s="61"/>
      <c r="E221" s="62"/>
      <c r="F221" s="63"/>
      <c r="G221" s="64"/>
    </row>
    <row r="222" spans="4:7" ht="14.25" customHeight="1">
      <c r="D222" s="61"/>
      <c r="E222" s="62"/>
      <c r="F222" s="63"/>
      <c r="G222" s="64"/>
    </row>
    <row r="223" spans="4:7" ht="14.25" customHeight="1">
      <c r="D223" s="61"/>
      <c r="E223" s="62"/>
      <c r="F223" s="63"/>
      <c r="G223" s="64"/>
    </row>
    <row r="224" spans="4:7" ht="14.25" customHeight="1">
      <c r="D224" s="61"/>
      <c r="E224" s="62"/>
      <c r="F224" s="63"/>
      <c r="G224" s="64"/>
    </row>
    <row r="225" spans="4:7" ht="14.25" customHeight="1">
      <c r="D225" s="61"/>
      <c r="E225" s="62"/>
      <c r="F225" s="63"/>
      <c r="G225" s="64"/>
    </row>
    <row r="226" spans="4:7" ht="14.25" customHeight="1">
      <c r="D226" s="61"/>
      <c r="E226" s="62"/>
      <c r="F226" s="63"/>
      <c r="G226" s="64"/>
    </row>
    <row r="227" spans="4:7" ht="14.25" customHeight="1">
      <c r="D227" s="61"/>
      <c r="E227" s="62"/>
      <c r="F227" s="63"/>
      <c r="G227" s="64"/>
    </row>
    <row r="228" spans="4:7" ht="14.25" customHeight="1">
      <c r="D228" s="61"/>
      <c r="E228" s="62"/>
      <c r="F228" s="63"/>
      <c r="G228" s="64"/>
    </row>
    <row r="229" spans="4:7" ht="14.25" customHeight="1">
      <c r="D229" s="61"/>
      <c r="E229" s="62"/>
      <c r="F229" s="63"/>
      <c r="G229" s="64"/>
    </row>
    <row r="230" spans="4:7" ht="14.25" customHeight="1">
      <c r="D230" s="61"/>
      <c r="E230" s="62"/>
      <c r="F230" s="63"/>
      <c r="G230" s="64"/>
    </row>
    <row r="231" spans="4:7" ht="14.25" customHeight="1">
      <c r="D231" s="61"/>
      <c r="E231" s="62"/>
      <c r="F231" s="63"/>
      <c r="G231" s="64"/>
    </row>
    <row r="232" spans="4:7" ht="14.25" customHeight="1">
      <c r="D232" s="61"/>
      <c r="E232" s="62"/>
      <c r="F232" s="63"/>
      <c r="G232" s="64"/>
    </row>
    <row r="233" spans="4:7" ht="14.25" customHeight="1">
      <c r="D233" s="61"/>
      <c r="E233" s="62"/>
      <c r="F233" s="63"/>
      <c r="G233" s="64"/>
    </row>
    <row r="234" spans="4:7" ht="14.25" customHeight="1">
      <c r="D234" s="61"/>
      <c r="E234" s="62"/>
      <c r="F234" s="63"/>
      <c r="G234" s="64"/>
    </row>
    <row r="235" spans="4:7" ht="14.25" customHeight="1">
      <c r="D235" s="61"/>
      <c r="E235" s="62"/>
      <c r="F235" s="63"/>
      <c r="G235" s="64"/>
    </row>
    <row r="236" spans="4:7" ht="14.25" customHeight="1">
      <c r="D236" s="61"/>
      <c r="E236" s="62"/>
      <c r="F236" s="63"/>
      <c r="G236" s="64"/>
    </row>
    <row r="237" spans="4:7" ht="14.25" customHeight="1">
      <c r="D237" s="61"/>
      <c r="E237" s="62"/>
      <c r="F237" s="63"/>
      <c r="G237" s="64"/>
    </row>
    <row r="238" spans="4:7" ht="14.25" customHeight="1">
      <c r="D238" s="61"/>
      <c r="E238" s="62"/>
      <c r="F238" s="63"/>
      <c r="G238" s="64"/>
    </row>
    <row r="239" spans="4:7" ht="14.25" customHeight="1">
      <c r="D239" s="61"/>
      <c r="E239" s="62"/>
      <c r="F239" s="63"/>
      <c r="G239" s="64"/>
    </row>
    <row r="240" spans="4:7" ht="14.25" customHeight="1">
      <c r="D240" s="61"/>
      <c r="E240" s="62"/>
      <c r="F240" s="63"/>
      <c r="G240" s="64"/>
    </row>
    <row r="241" spans="4:7" ht="14.25" customHeight="1">
      <c r="D241" s="61"/>
      <c r="E241" s="62"/>
      <c r="F241" s="63"/>
      <c r="G241" s="64"/>
    </row>
    <row r="242" spans="4:7" ht="14.25" customHeight="1">
      <c r="D242" s="61"/>
      <c r="E242" s="62"/>
      <c r="F242" s="63"/>
      <c r="G242" s="64"/>
    </row>
    <row r="243" spans="4:7" ht="14.25" customHeight="1">
      <c r="D243" s="61"/>
      <c r="E243" s="62"/>
      <c r="F243" s="63"/>
      <c r="G243" s="64"/>
    </row>
    <row r="244" spans="4:7" ht="14.25" customHeight="1">
      <c r="D244" s="61"/>
      <c r="E244" s="62"/>
      <c r="F244" s="63"/>
      <c r="G244" s="64"/>
    </row>
    <row r="245" spans="4:7" ht="14.25" customHeight="1">
      <c r="D245" s="61"/>
      <c r="E245" s="62"/>
      <c r="F245" s="63"/>
      <c r="G245" s="64"/>
    </row>
    <row r="246" spans="4:7" ht="14.25" customHeight="1">
      <c r="D246" s="61"/>
      <c r="E246" s="62"/>
      <c r="F246" s="63"/>
      <c r="G246" s="64"/>
    </row>
    <row r="247" spans="4:7" ht="14.25" customHeight="1">
      <c r="D247" s="61"/>
      <c r="E247" s="62"/>
      <c r="F247" s="63"/>
      <c r="G247" s="64"/>
    </row>
    <row r="248" spans="4:7" ht="14.25" customHeight="1">
      <c r="D248" s="61"/>
      <c r="E248" s="62"/>
      <c r="F248" s="63"/>
      <c r="G248" s="64"/>
    </row>
    <row r="249" spans="4:7" ht="14.25" customHeight="1">
      <c r="D249" s="61"/>
      <c r="E249" s="62"/>
      <c r="F249" s="63"/>
      <c r="G249" s="64"/>
    </row>
    <row r="250" spans="4:7" ht="14.25" customHeight="1">
      <c r="D250" s="61"/>
      <c r="E250" s="62"/>
      <c r="F250" s="63"/>
      <c r="G250" s="64"/>
    </row>
    <row r="251" spans="4:7" ht="14.25" customHeight="1">
      <c r="D251" s="61"/>
      <c r="E251" s="62"/>
      <c r="F251" s="63"/>
      <c r="G251" s="64"/>
    </row>
    <row r="252" spans="4:7" ht="14.25" customHeight="1">
      <c r="D252" s="61"/>
      <c r="E252" s="62"/>
      <c r="F252" s="63"/>
      <c r="G252" s="64"/>
    </row>
    <row r="253" spans="4:7" ht="14.25" customHeight="1">
      <c r="D253" s="61"/>
      <c r="E253" s="62"/>
      <c r="F253" s="63"/>
      <c r="G253" s="64"/>
    </row>
    <row r="254" spans="4:7" ht="14.25" customHeight="1">
      <c r="D254" s="61"/>
      <c r="E254" s="62"/>
      <c r="F254" s="63"/>
      <c r="G254" s="64"/>
    </row>
    <row r="255" spans="4:7" ht="14.25" customHeight="1">
      <c r="D255" s="61"/>
      <c r="E255" s="62"/>
      <c r="F255" s="63"/>
      <c r="G255" s="64"/>
    </row>
    <row r="256" spans="4:7" ht="14.25" customHeight="1">
      <c r="D256" s="61"/>
      <c r="E256" s="62"/>
      <c r="F256" s="63"/>
      <c r="G256" s="64"/>
    </row>
    <row r="257" spans="4:7" ht="14.25" customHeight="1">
      <c r="D257" s="61"/>
      <c r="E257" s="62"/>
      <c r="F257" s="63"/>
      <c r="G257" s="64"/>
    </row>
    <row r="258" spans="4:7" ht="14.25" customHeight="1">
      <c r="D258" s="61"/>
      <c r="E258" s="62"/>
      <c r="F258" s="63"/>
      <c r="G258" s="64"/>
    </row>
    <row r="259" spans="4:7" ht="14.25" customHeight="1">
      <c r="D259" s="61"/>
      <c r="E259" s="62"/>
      <c r="F259" s="63"/>
      <c r="G259" s="64"/>
    </row>
    <row r="260" spans="4:7" ht="14.25" customHeight="1">
      <c r="D260" s="61"/>
      <c r="E260" s="62"/>
      <c r="F260" s="63"/>
      <c r="G260" s="64"/>
    </row>
    <row r="261" spans="4:7" ht="14.25" customHeight="1">
      <c r="D261" s="61"/>
      <c r="E261" s="62"/>
      <c r="F261" s="63"/>
      <c r="G261" s="64"/>
    </row>
    <row r="262" spans="4:7" ht="14.25" customHeight="1">
      <c r="D262" s="61"/>
      <c r="E262" s="62"/>
      <c r="F262" s="63"/>
      <c r="G262" s="64"/>
    </row>
    <row r="263" spans="4:7" ht="14.25" customHeight="1">
      <c r="D263" s="61"/>
      <c r="E263" s="62"/>
      <c r="F263" s="63"/>
      <c r="G263" s="64"/>
    </row>
    <row r="264" spans="4:7" ht="14.25" customHeight="1">
      <c r="D264" s="61"/>
      <c r="E264" s="62"/>
      <c r="F264" s="63"/>
      <c r="G264" s="64"/>
    </row>
    <row r="265" spans="4:7" ht="14.25" customHeight="1">
      <c r="D265" s="61"/>
      <c r="E265" s="62"/>
      <c r="F265" s="63"/>
      <c r="G265" s="64"/>
    </row>
    <row r="266" spans="4:7" ht="14.25" customHeight="1">
      <c r="D266" s="61"/>
      <c r="E266" s="62"/>
      <c r="F266" s="63"/>
      <c r="G266" s="64"/>
    </row>
    <row r="267" spans="4:7" ht="14.25" customHeight="1">
      <c r="D267" s="61"/>
      <c r="E267" s="62"/>
      <c r="F267" s="63"/>
      <c r="G267" s="64"/>
    </row>
    <row r="268" spans="4:7" ht="14.25" customHeight="1">
      <c r="D268" s="61"/>
      <c r="E268" s="62"/>
      <c r="F268" s="63"/>
      <c r="G268" s="64"/>
    </row>
    <row r="269" spans="4:7" ht="14.25" customHeight="1">
      <c r="D269" s="61"/>
      <c r="E269" s="62"/>
      <c r="F269" s="63"/>
      <c r="G269" s="64"/>
    </row>
    <row r="270" spans="4:7" ht="14.25" customHeight="1">
      <c r="D270" s="61"/>
      <c r="E270" s="62"/>
      <c r="F270" s="63"/>
      <c r="G270" s="64"/>
    </row>
    <row r="271" spans="4:7" ht="14.25" customHeight="1">
      <c r="D271" s="61"/>
      <c r="E271" s="62"/>
      <c r="F271" s="63"/>
      <c r="G271" s="64"/>
    </row>
    <row r="272" spans="4:7" ht="14.25" customHeight="1">
      <c r="D272" s="61"/>
      <c r="E272" s="62"/>
      <c r="F272" s="63"/>
      <c r="G272" s="64"/>
    </row>
    <row r="273" spans="4:7" ht="14.25" customHeight="1">
      <c r="D273" s="61"/>
      <c r="E273" s="62"/>
      <c r="F273" s="63"/>
      <c r="G273" s="64"/>
    </row>
    <row r="274" spans="4:7" ht="14.25" customHeight="1">
      <c r="D274" s="61"/>
      <c r="E274" s="62"/>
      <c r="F274" s="63"/>
      <c r="G274" s="64"/>
    </row>
    <row r="275" spans="4:7" ht="14.25" customHeight="1">
      <c r="D275" s="61"/>
      <c r="E275" s="62"/>
      <c r="F275" s="63"/>
      <c r="G275" s="64"/>
    </row>
    <row r="276" spans="4:7" ht="14.25" customHeight="1">
      <c r="D276" s="61"/>
      <c r="E276" s="62"/>
      <c r="F276" s="63"/>
      <c r="G276" s="64"/>
    </row>
    <row r="277" spans="4:7" ht="14.25" customHeight="1">
      <c r="D277" s="61"/>
      <c r="E277" s="62"/>
      <c r="F277" s="63"/>
      <c r="G277" s="64"/>
    </row>
    <row r="278" spans="4:7" ht="14.25" customHeight="1">
      <c r="D278" s="61"/>
      <c r="E278" s="62"/>
      <c r="F278" s="63"/>
      <c r="G278" s="64"/>
    </row>
    <row r="279" spans="4:7" ht="14.25" customHeight="1">
      <c r="D279" s="61"/>
      <c r="E279" s="62"/>
      <c r="F279" s="63"/>
      <c r="G279" s="64"/>
    </row>
    <row r="280" spans="4:7" ht="14.25" customHeight="1">
      <c r="D280" s="61"/>
      <c r="E280" s="62"/>
      <c r="F280" s="63"/>
      <c r="G280" s="64"/>
    </row>
    <row r="281" spans="4:7" ht="14.25" customHeight="1">
      <c r="D281" s="61"/>
      <c r="E281" s="62"/>
      <c r="F281" s="63"/>
      <c r="G281" s="64"/>
    </row>
    <row r="282" spans="4:7" ht="14.25" customHeight="1">
      <c r="D282" s="61"/>
      <c r="E282" s="62"/>
      <c r="F282" s="63"/>
      <c r="G282" s="64"/>
    </row>
    <row r="283" spans="4:7" ht="14.25" customHeight="1">
      <c r="D283" s="61"/>
      <c r="E283" s="62"/>
      <c r="F283" s="63"/>
      <c r="G283" s="64"/>
    </row>
    <row r="284" spans="4:7" ht="14.25" customHeight="1">
      <c r="D284" s="61"/>
      <c r="E284" s="62"/>
      <c r="F284" s="63"/>
      <c r="G284" s="64"/>
    </row>
    <row r="285" spans="4:7" ht="14.25" customHeight="1">
      <c r="D285" s="61"/>
      <c r="E285" s="62"/>
      <c r="F285" s="63"/>
      <c r="G285" s="64"/>
    </row>
    <row r="286" spans="4:7" ht="14.25" customHeight="1">
      <c r="D286" s="61"/>
      <c r="E286" s="62"/>
      <c r="F286" s="63"/>
      <c r="G286" s="64"/>
    </row>
    <row r="287" spans="4:7" ht="14.25" customHeight="1">
      <c r="D287" s="61"/>
      <c r="E287" s="62"/>
      <c r="F287" s="63"/>
      <c r="G287" s="64"/>
    </row>
    <row r="288" spans="4:7" ht="14.25" customHeight="1">
      <c r="D288" s="61"/>
      <c r="E288" s="62"/>
      <c r="F288" s="63"/>
      <c r="G288" s="64"/>
    </row>
    <row r="289" spans="4:7" ht="14.25" customHeight="1">
      <c r="D289" s="61"/>
      <c r="E289" s="62"/>
      <c r="F289" s="63"/>
      <c r="G289" s="64"/>
    </row>
    <row r="290" spans="4:7" ht="14.25" customHeight="1">
      <c r="D290" s="61"/>
      <c r="E290" s="62"/>
      <c r="F290" s="63"/>
      <c r="G290" s="64"/>
    </row>
    <row r="291" spans="4:7" ht="14.25" customHeight="1">
      <c r="D291" s="61"/>
      <c r="E291" s="62"/>
      <c r="F291" s="63"/>
      <c r="G291" s="64"/>
    </row>
    <row r="292" spans="4:7" ht="14.25" customHeight="1">
      <c r="D292" s="61"/>
      <c r="E292" s="62"/>
      <c r="F292" s="63"/>
      <c r="G292" s="64"/>
    </row>
    <row r="293" spans="4:7" ht="14.25" customHeight="1">
      <c r="D293" s="61"/>
      <c r="E293" s="62"/>
      <c r="F293" s="63"/>
      <c r="G293" s="64"/>
    </row>
    <row r="294" spans="4:7" ht="14.25" customHeight="1">
      <c r="D294" s="61"/>
      <c r="E294" s="62"/>
      <c r="F294" s="63"/>
      <c r="G294" s="64"/>
    </row>
    <row r="295" spans="4:7" ht="14.25" customHeight="1">
      <c r="D295" s="61"/>
      <c r="E295" s="62"/>
      <c r="F295" s="63"/>
      <c r="G295" s="64"/>
    </row>
    <row r="296" spans="4:7" ht="14.25" customHeight="1">
      <c r="D296" s="61"/>
      <c r="E296" s="62"/>
      <c r="F296" s="63"/>
      <c r="G296" s="64"/>
    </row>
    <row r="297" spans="4:7" ht="14.25" customHeight="1">
      <c r="D297" s="61"/>
      <c r="E297" s="62"/>
      <c r="F297" s="63"/>
      <c r="G297" s="64"/>
    </row>
    <row r="298" spans="4:7" ht="14.25" customHeight="1">
      <c r="D298" s="61"/>
      <c r="E298" s="62"/>
      <c r="F298" s="63"/>
      <c r="G298" s="64"/>
    </row>
    <row r="299" spans="4:7" ht="14.25" customHeight="1">
      <c r="D299" s="61"/>
      <c r="E299" s="62"/>
      <c r="F299" s="63"/>
      <c r="G299" s="64"/>
    </row>
    <row r="300" spans="4:7" ht="14.25" customHeight="1">
      <c r="D300" s="61"/>
      <c r="E300" s="62"/>
      <c r="F300" s="63"/>
      <c r="G300" s="64"/>
    </row>
    <row r="301" spans="4:7" ht="14.25" customHeight="1">
      <c r="D301" s="61"/>
      <c r="E301" s="62"/>
      <c r="F301" s="63"/>
      <c r="G301" s="64"/>
    </row>
    <row r="302" spans="4:7" ht="14.25" customHeight="1">
      <c r="D302" s="61"/>
      <c r="E302" s="62"/>
      <c r="F302" s="63"/>
      <c r="G302" s="64"/>
    </row>
    <row r="303" spans="4:7" ht="14.25" customHeight="1">
      <c r="D303" s="61"/>
      <c r="E303" s="62"/>
      <c r="F303" s="63"/>
      <c r="G303" s="64"/>
    </row>
    <row r="304" spans="4:7" ht="14.25" customHeight="1">
      <c r="D304" s="61"/>
      <c r="E304" s="62"/>
      <c r="F304" s="63"/>
      <c r="G304" s="64"/>
    </row>
    <row r="305" spans="4:7" ht="14.25" customHeight="1">
      <c r="D305" s="61"/>
      <c r="E305" s="62"/>
      <c r="F305" s="63"/>
      <c r="G305" s="64"/>
    </row>
    <row r="306" spans="4:7" ht="14.25" customHeight="1">
      <c r="D306" s="61"/>
      <c r="E306" s="62"/>
      <c r="F306" s="63"/>
      <c r="G306" s="64"/>
    </row>
    <row r="307" spans="4:7" ht="14.25" customHeight="1">
      <c r="D307" s="61"/>
      <c r="E307" s="62"/>
      <c r="F307" s="63"/>
      <c r="G307" s="64"/>
    </row>
    <row r="308" spans="4:7" ht="14.25" customHeight="1">
      <c r="D308" s="61"/>
      <c r="E308" s="62"/>
      <c r="F308" s="63"/>
      <c r="G308" s="64"/>
    </row>
    <row r="309" spans="4:7" ht="14.25" customHeight="1">
      <c r="D309" s="61"/>
      <c r="E309" s="62"/>
      <c r="F309" s="63"/>
      <c r="G309" s="64"/>
    </row>
    <row r="310" spans="4:7" ht="14.25" customHeight="1">
      <c r="D310" s="61"/>
      <c r="E310" s="62"/>
      <c r="F310" s="63"/>
      <c r="G310" s="64"/>
    </row>
    <row r="311" spans="4:7" ht="14.25" customHeight="1">
      <c r="D311" s="61"/>
      <c r="E311" s="62"/>
      <c r="F311" s="63"/>
      <c r="G311" s="64"/>
    </row>
    <row r="312" spans="4:7" ht="14.25" customHeight="1">
      <c r="D312" s="61"/>
      <c r="E312" s="62"/>
      <c r="F312" s="63"/>
      <c r="G312" s="64"/>
    </row>
    <row r="313" spans="4:7" ht="14.25" customHeight="1">
      <c r="D313" s="61"/>
      <c r="E313" s="62"/>
      <c r="F313" s="63"/>
      <c r="G313" s="64"/>
    </row>
    <row r="314" spans="4:7" ht="14.25" customHeight="1">
      <c r="D314" s="61"/>
      <c r="E314" s="62"/>
      <c r="F314" s="63"/>
      <c r="G314" s="64"/>
    </row>
    <row r="315" spans="4:7" ht="14.25" customHeight="1">
      <c r="D315" s="61"/>
      <c r="E315" s="62"/>
      <c r="F315" s="63"/>
      <c r="G315" s="64"/>
    </row>
    <row r="316" spans="4:7" ht="14.25" customHeight="1">
      <c r="D316" s="61"/>
      <c r="E316" s="62"/>
      <c r="F316" s="63"/>
      <c r="G316" s="64"/>
    </row>
    <row r="317" spans="4:7" ht="14.25" customHeight="1">
      <c r="D317" s="61"/>
      <c r="E317" s="62"/>
      <c r="F317" s="63"/>
      <c r="G317" s="64"/>
    </row>
    <row r="318" spans="4:7" ht="14.25" customHeight="1">
      <c r="D318" s="61"/>
      <c r="E318" s="62"/>
      <c r="F318" s="63"/>
      <c r="G318" s="64"/>
    </row>
    <row r="319" spans="4:7" ht="14.25" customHeight="1">
      <c r="D319" s="61"/>
      <c r="E319" s="62"/>
      <c r="F319" s="63"/>
      <c r="G319" s="64"/>
    </row>
    <row r="320" spans="4:7" ht="14.25" customHeight="1">
      <c r="D320" s="61"/>
      <c r="E320" s="62"/>
      <c r="F320" s="63"/>
      <c r="G320" s="64"/>
    </row>
    <row r="321" spans="4:7" ht="14.25" customHeight="1">
      <c r="D321" s="61"/>
      <c r="E321" s="62"/>
      <c r="F321" s="63"/>
      <c r="G321" s="64"/>
    </row>
    <row r="322" spans="4:7" ht="14.25" customHeight="1">
      <c r="D322" s="61"/>
      <c r="E322" s="62"/>
      <c r="F322" s="63"/>
      <c r="G322" s="64"/>
    </row>
    <row r="323" spans="4:7" ht="14.25" customHeight="1">
      <c r="D323" s="61"/>
      <c r="E323" s="62"/>
      <c r="F323" s="63"/>
      <c r="G323" s="64"/>
    </row>
    <row r="324" spans="4:7" ht="14.25" customHeight="1">
      <c r="D324" s="61"/>
      <c r="E324" s="62"/>
      <c r="F324" s="63"/>
      <c r="G324" s="64"/>
    </row>
    <row r="325" spans="4:7" ht="14.25" customHeight="1">
      <c r="D325" s="61"/>
      <c r="E325" s="62"/>
      <c r="F325" s="63"/>
      <c r="G325" s="64"/>
    </row>
    <row r="326" spans="4:7" ht="14.25" customHeight="1">
      <c r="D326" s="61"/>
      <c r="E326" s="62"/>
      <c r="F326" s="63"/>
      <c r="G326" s="64"/>
    </row>
    <row r="327" spans="4:7" ht="14.25" customHeight="1">
      <c r="D327" s="61"/>
      <c r="E327" s="62"/>
      <c r="F327" s="63"/>
      <c r="G327" s="64"/>
    </row>
    <row r="328" spans="4:7" ht="14.25" customHeight="1">
      <c r="D328" s="61"/>
      <c r="E328" s="62"/>
      <c r="F328" s="63"/>
      <c r="G328" s="64"/>
    </row>
    <row r="329" spans="4:7" ht="14.25" customHeight="1">
      <c r="D329" s="61"/>
      <c r="E329" s="62"/>
      <c r="F329" s="63"/>
      <c r="G329" s="64"/>
    </row>
    <row r="330" spans="4:7" ht="14.25" customHeight="1">
      <c r="D330" s="61"/>
      <c r="E330" s="62"/>
      <c r="F330" s="63"/>
      <c r="G330" s="64"/>
    </row>
    <row r="331" spans="4:7" ht="14.25" customHeight="1">
      <c r="D331" s="61"/>
      <c r="E331" s="62"/>
      <c r="F331" s="63"/>
      <c r="G331" s="64"/>
    </row>
    <row r="332" spans="4:7" ht="14.25" customHeight="1">
      <c r="D332" s="61"/>
      <c r="E332" s="62"/>
      <c r="F332" s="63"/>
      <c r="G332" s="64"/>
    </row>
    <row r="333" spans="4:7" ht="14.25" customHeight="1">
      <c r="D333" s="61"/>
      <c r="E333" s="62"/>
      <c r="F333" s="63"/>
      <c r="G333" s="64"/>
    </row>
    <row r="334" spans="4:7" ht="14.25" customHeight="1">
      <c r="D334" s="61"/>
      <c r="E334" s="62"/>
      <c r="F334" s="63"/>
      <c r="G334" s="64"/>
    </row>
    <row r="335" spans="4:7" ht="14.25" customHeight="1">
      <c r="D335" s="61"/>
      <c r="E335" s="62"/>
      <c r="F335" s="63"/>
      <c r="G335" s="64"/>
    </row>
    <row r="336" spans="4:7" ht="14.25" customHeight="1">
      <c r="D336" s="61"/>
      <c r="E336" s="62"/>
      <c r="F336" s="63"/>
      <c r="G336" s="64"/>
    </row>
    <row r="337" spans="4:7" ht="14.25" customHeight="1">
      <c r="D337" s="61"/>
      <c r="E337" s="62"/>
      <c r="F337" s="63"/>
      <c r="G337" s="64"/>
    </row>
    <row r="338" spans="4:7" ht="14.25" customHeight="1">
      <c r="D338" s="61"/>
      <c r="E338" s="62"/>
      <c r="F338" s="63"/>
      <c r="G338" s="64"/>
    </row>
    <row r="339" spans="4:7" ht="14.25" customHeight="1">
      <c r="D339" s="61"/>
      <c r="E339" s="62"/>
      <c r="F339" s="63"/>
      <c r="G339" s="64"/>
    </row>
    <row r="340" spans="4:7" ht="14.25" customHeight="1">
      <c r="D340" s="61"/>
      <c r="E340" s="62"/>
      <c r="F340" s="63"/>
      <c r="G340" s="64"/>
    </row>
    <row r="341" spans="4:7" ht="14.25" customHeight="1">
      <c r="D341" s="61"/>
      <c r="E341" s="62"/>
      <c r="F341" s="63"/>
      <c r="G341" s="64"/>
    </row>
    <row r="342" spans="4:7" ht="14.25" customHeight="1">
      <c r="D342" s="61"/>
      <c r="E342" s="62"/>
      <c r="F342" s="63"/>
      <c r="G342" s="64"/>
    </row>
    <row r="343" spans="4:7" ht="14.25" customHeight="1">
      <c r="D343" s="61"/>
      <c r="E343" s="62"/>
      <c r="F343" s="63"/>
      <c r="G343" s="64"/>
    </row>
    <row r="344" spans="4:7" ht="14.25" customHeight="1">
      <c r="D344" s="61"/>
      <c r="E344" s="62"/>
      <c r="F344" s="63"/>
      <c r="G344" s="64"/>
    </row>
    <row r="345" spans="4:7" ht="14.25" customHeight="1">
      <c r="D345" s="61"/>
      <c r="E345" s="62"/>
      <c r="F345" s="63"/>
      <c r="G345" s="64"/>
    </row>
    <row r="346" spans="4:7" ht="14.25" customHeight="1">
      <c r="D346" s="61"/>
      <c r="E346" s="62"/>
      <c r="F346" s="63"/>
      <c r="G346" s="64"/>
    </row>
    <row r="347" spans="4:7" ht="14.25" customHeight="1">
      <c r="D347" s="61"/>
      <c r="E347" s="62"/>
      <c r="F347" s="63"/>
      <c r="G347" s="64"/>
    </row>
    <row r="348" spans="4:7" ht="14.25" customHeight="1">
      <c r="D348" s="61"/>
      <c r="E348" s="62"/>
      <c r="F348" s="63"/>
      <c r="G348" s="64"/>
    </row>
    <row r="349" spans="4:7" ht="14.25" customHeight="1">
      <c r="D349" s="61"/>
      <c r="E349" s="62"/>
      <c r="F349" s="63"/>
      <c r="G349" s="64"/>
    </row>
    <row r="350" spans="4:7" ht="14.25" customHeight="1">
      <c r="D350" s="61"/>
      <c r="E350" s="62"/>
      <c r="F350" s="63"/>
      <c r="G350" s="64"/>
    </row>
    <row r="351" spans="4:7" ht="14.25" customHeight="1">
      <c r="D351" s="61"/>
      <c r="E351" s="62"/>
      <c r="F351" s="63"/>
      <c r="G351" s="64"/>
    </row>
    <row r="352" spans="4:7" ht="14.25" customHeight="1">
      <c r="D352" s="61"/>
      <c r="E352" s="62"/>
      <c r="F352" s="63"/>
      <c r="G352" s="64"/>
    </row>
    <row r="353" spans="4:7" ht="14.25" customHeight="1">
      <c r="D353" s="61"/>
      <c r="E353" s="62"/>
      <c r="F353" s="63"/>
      <c r="G353" s="64"/>
    </row>
    <row r="354" spans="4:7" ht="14.25" customHeight="1">
      <c r="D354" s="61"/>
      <c r="E354" s="62"/>
      <c r="F354" s="63"/>
      <c r="G354" s="64"/>
    </row>
    <row r="355" spans="4:7" ht="14.25" customHeight="1">
      <c r="D355" s="61"/>
      <c r="E355" s="62"/>
      <c r="F355" s="63"/>
      <c r="G355" s="64"/>
    </row>
    <row r="356" spans="4:7" ht="14.25" customHeight="1">
      <c r="D356" s="61"/>
      <c r="E356" s="62"/>
      <c r="F356" s="63"/>
      <c r="G356" s="64"/>
    </row>
    <row r="357" spans="4:7" ht="14.25" customHeight="1">
      <c r="D357" s="61"/>
      <c r="E357" s="62"/>
      <c r="F357" s="63"/>
      <c r="G357" s="64"/>
    </row>
    <row r="358" spans="4:7" ht="14.25" customHeight="1">
      <c r="D358" s="61"/>
      <c r="E358" s="62"/>
      <c r="F358" s="63"/>
      <c r="G358" s="64"/>
    </row>
    <row r="359" spans="4:7" ht="14.25" customHeight="1">
      <c r="D359" s="61"/>
      <c r="E359" s="62"/>
      <c r="F359" s="63"/>
      <c r="G359" s="64"/>
    </row>
    <row r="360" spans="4:7" ht="14.25" customHeight="1">
      <c r="D360" s="61"/>
      <c r="E360" s="62"/>
      <c r="F360" s="63"/>
      <c r="G360" s="64"/>
    </row>
    <row r="361" spans="4:7" ht="14.25" customHeight="1">
      <c r="D361" s="61"/>
      <c r="E361" s="62"/>
      <c r="F361" s="63"/>
      <c r="G361" s="64"/>
    </row>
    <row r="362" spans="4:7" ht="14.25" customHeight="1">
      <c r="D362" s="61"/>
      <c r="E362" s="62"/>
      <c r="F362" s="63"/>
      <c r="G362" s="64"/>
    </row>
    <row r="363" spans="4:7" ht="14.25" customHeight="1">
      <c r="D363" s="61"/>
      <c r="E363" s="62"/>
      <c r="F363" s="63"/>
      <c r="G363" s="64"/>
    </row>
    <row r="364" spans="4:7" ht="14.25" customHeight="1">
      <c r="D364" s="61"/>
      <c r="E364" s="62"/>
      <c r="F364" s="63"/>
      <c r="G364" s="64"/>
    </row>
    <row r="365" spans="4:7" ht="14.25" customHeight="1">
      <c r="D365" s="61"/>
      <c r="E365" s="62"/>
      <c r="F365" s="63"/>
      <c r="G365" s="64"/>
    </row>
    <row r="366" spans="4:7" ht="14.25" customHeight="1">
      <c r="D366" s="61"/>
      <c r="E366" s="62"/>
      <c r="F366" s="63"/>
      <c r="G366" s="64"/>
    </row>
    <row r="367" spans="4:7" ht="14.25" customHeight="1">
      <c r="D367" s="61"/>
      <c r="E367" s="62"/>
      <c r="F367" s="63"/>
      <c r="G367" s="64"/>
    </row>
    <row r="368" spans="4:7" ht="14.25" customHeight="1">
      <c r="D368" s="61"/>
      <c r="E368" s="62"/>
      <c r="F368" s="63"/>
      <c r="G368" s="64"/>
    </row>
    <row r="369" spans="4:7" ht="14.25" customHeight="1">
      <c r="D369" s="61"/>
      <c r="E369" s="62"/>
      <c r="F369" s="63"/>
      <c r="G369" s="64"/>
    </row>
    <row r="370" spans="4:7" ht="14.25" customHeight="1">
      <c r="D370" s="61"/>
      <c r="E370" s="62"/>
      <c r="F370" s="63"/>
      <c r="G370" s="64"/>
    </row>
    <row r="371" spans="4:7" ht="14.25" customHeight="1">
      <c r="D371" s="61"/>
      <c r="E371" s="62"/>
      <c r="F371" s="63"/>
      <c r="G371" s="64"/>
    </row>
    <row r="372" spans="4:7" ht="14.25" customHeight="1">
      <c r="D372" s="61"/>
      <c r="E372" s="62"/>
      <c r="F372" s="63"/>
      <c r="G372" s="64"/>
    </row>
    <row r="373" spans="4:7" ht="14.25" customHeight="1">
      <c r="D373" s="61"/>
      <c r="E373" s="62"/>
      <c r="F373" s="63"/>
      <c r="G373" s="64"/>
    </row>
    <row r="374" spans="4:7" ht="14.25" customHeight="1">
      <c r="D374" s="61"/>
      <c r="E374" s="62"/>
      <c r="F374" s="63"/>
      <c r="G374" s="64"/>
    </row>
    <row r="375" spans="4:7" ht="14.25" customHeight="1">
      <c r="D375" s="61"/>
      <c r="E375" s="62"/>
      <c r="F375" s="63"/>
      <c r="G375" s="64"/>
    </row>
    <row r="376" spans="4:7" ht="14.25" customHeight="1">
      <c r="D376" s="61"/>
      <c r="E376" s="62"/>
      <c r="F376" s="63"/>
      <c r="G376" s="64"/>
    </row>
    <row r="377" spans="4:7" ht="14.25" customHeight="1">
      <c r="D377" s="61"/>
      <c r="E377" s="62"/>
      <c r="F377" s="63"/>
      <c r="G377" s="64"/>
    </row>
    <row r="378" spans="4:7" ht="14.25" customHeight="1">
      <c r="D378" s="61"/>
      <c r="E378" s="62"/>
      <c r="F378" s="63"/>
      <c r="G378" s="64"/>
    </row>
    <row r="379" spans="4:7" ht="14.25" customHeight="1">
      <c r="D379" s="61"/>
      <c r="E379" s="62"/>
      <c r="F379" s="63"/>
      <c r="G379" s="64"/>
    </row>
    <row r="380" spans="4:7" ht="14.25" customHeight="1">
      <c r="D380" s="61"/>
      <c r="E380" s="62"/>
      <c r="F380" s="63"/>
      <c r="G380" s="64"/>
    </row>
    <row r="381" spans="4:7" ht="14.25" customHeight="1">
      <c r="D381" s="61"/>
      <c r="E381" s="62"/>
      <c r="F381" s="63"/>
      <c r="G381" s="64"/>
    </row>
    <row r="382" spans="4:7" ht="14.25" customHeight="1">
      <c r="D382" s="61"/>
      <c r="E382" s="62"/>
      <c r="F382" s="63"/>
      <c r="G382" s="64"/>
    </row>
    <row r="383" spans="4:7" ht="14.25" customHeight="1">
      <c r="D383" s="61"/>
      <c r="E383" s="62"/>
      <c r="F383" s="63"/>
      <c r="G383" s="64"/>
    </row>
    <row r="384" spans="4:7" ht="14.25" customHeight="1">
      <c r="D384" s="61"/>
      <c r="E384" s="62"/>
      <c r="F384" s="63"/>
      <c r="G384" s="64"/>
    </row>
    <row r="385" spans="4:7" ht="14.25" customHeight="1">
      <c r="D385" s="61"/>
      <c r="E385" s="62"/>
      <c r="F385" s="63"/>
      <c r="G385" s="64"/>
    </row>
    <row r="386" spans="4:7" ht="14.25" customHeight="1">
      <c r="D386" s="61"/>
      <c r="E386" s="62"/>
      <c r="F386" s="63"/>
      <c r="G386" s="64"/>
    </row>
    <row r="387" spans="4:7" ht="14.25" customHeight="1">
      <c r="D387" s="61"/>
      <c r="E387" s="62"/>
      <c r="F387" s="63"/>
      <c r="G387" s="64"/>
    </row>
    <row r="388" spans="4:7" ht="14.25" customHeight="1">
      <c r="D388" s="61"/>
      <c r="E388" s="62"/>
      <c r="F388" s="63"/>
      <c r="G388" s="64"/>
    </row>
    <row r="389" spans="4:7" ht="14.25" customHeight="1">
      <c r="D389" s="61"/>
      <c r="E389" s="62"/>
      <c r="F389" s="63"/>
      <c r="G389" s="64"/>
    </row>
    <row r="390" spans="4:7" ht="14.25" customHeight="1">
      <c r="D390" s="61"/>
      <c r="E390" s="62"/>
      <c r="F390" s="63"/>
      <c r="G390" s="64"/>
    </row>
    <row r="391" spans="4:7" ht="14.25" customHeight="1">
      <c r="D391" s="61"/>
      <c r="E391" s="62"/>
      <c r="F391" s="63"/>
      <c r="G391" s="64"/>
    </row>
    <row r="392" spans="4:7" ht="14.25" customHeight="1">
      <c r="D392" s="61"/>
      <c r="E392" s="62"/>
      <c r="F392" s="63"/>
      <c r="G392" s="64"/>
    </row>
    <row r="393" spans="4:7" ht="14.25" customHeight="1">
      <c r="D393" s="61"/>
      <c r="E393" s="62"/>
      <c r="F393" s="63"/>
      <c r="G393" s="64"/>
    </row>
    <row r="394" spans="4:7" ht="14.25" customHeight="1">
      <c r="D394" s="61"/>
      <c r="E394" s="62"/>
      <c r="F394" s="63"/>
      <c r="G394" s="64"/>
    </row>
    <row r="395" spans="4:7" ht="14.25" customHeight="1">
      <c r="D395" s="61"/>
      <c r="E395" s="62"/>
      <c r="F395" s="63"/>
      <c r="G395" s="64"/>
    </row>
    <row r="396" spans="4:7" ht="14.25" customHeight="1">
      <c r="D396" s="61"/>
      <c r="E396" s="62"/>
      <c r="F396" s="63"/>
      <c r="G396" s="64"/>
    </row>
    <row r="397" spans="4:7" ht="14.25" customHeight="1">
      <c r="D397" s="61"/>
      <c r="E397" s="62"/>
      <c r="F397" s="63"/>
      <c r="G397" s="64"/>
    </row>
    <row r="398" spans="4:7" ht="14.25" customHeight="1">
      <c r="D398" s="61"/>
      <c r="E398" s="62"/>
      <c r="F398" s="63"/>
      <c r="G398" s="64"/>
    </row>
    <row r="399" spans="4:7" ht="14.25" customHeight="1">
      <c r="D399" s="61"/>
      <c r="E399" s="62"/>
      <c r="F399" s="63"/>
      <c r="G399" s="64"/>
    </row>
    <row r="400" spans="4:7" ht="14.25" customHeight="1">
      <c r="D400" s="61"/>
      <c r="E400" s="62"/>
      <c r="F400" s="63"/>
      <c r="G400" s="64"/>
    </row>
    <row r="401" spans="4:7" ht="14.25" customHeight="1">
      <c r="D401" s="61"/>
      <c r="E401" s="62"/>
      <c r="F401" s="63"/>
      <c r="G401" s="64"/>
    </row>
    <row r="402" spans="4:7" ht="14.25" customHeight="1">
      <c r="D402" s="61"/>
      <c r="E402" s="62"/>
      <c r="F402" s="63"/>
      <c r="G402" s="64"/>
    </row>
    <row r="403" spans="4:7" ht="14.25" customHeight="1">
      <c r="D403" s="61"/>
      <c r="E403" s="62"/>
      <c r="F403" s="63"/>
      <c r="G403" s="64"/>
    </row>
    <row r="404" spans="4:7" ht="14.25" customHeight="1">
      <c r="D404" s="61"/>
      <c r="E404" s="62"/>
      <c r="F404" s="63"/>
      <c r="G404" s="64"/>
    </row>
    <row r="405" spans="4:7" ht="14.25" customHeight="1">
      <c r="D405" s="61"/>
      <c r="E405" s="62"/>
      <c r="F405" s="63"/>
      <c r="G405" s="64"/>
    </row>
    <row r="406" spans="4:7" ht="14.25" customHeight="1">
      <c r="D406" s="61"/>
      <c r="E406" s="62"/>
      <c r="F406" s="63"/>
      <c r="G406" s="64"/>
    </row>
    <row r="407" spans="4:7" ht="14.25" customHeight="1">
      <c r="D407" s="61"/>
      <c r="E407" s="62"/>
      <c r="F407" s="63"/>
      <c r="G407" s="64"/>
    </row>
    <row r="408" spans="4:7" ht="14.25" customHeight="1">
      <c r="D408" s="61"/>
      <c r="E408" s="62"/>
      <c r="F408" s="63"/>
      <c r="G408" s="64"/>
    </row>
    <row r="409" spans="4:7" ht="14.25" customHeight="1">
      <c r="D409" s="61"/>
      <c r="E409" s="62"/>
      <c r="F409" s="63"/>
      <c r="G409" s="64"/>
    </row>
    <row r="410" spans="4:7" ht="14.25" customHeight="1">
      <c r="D410" s="61"/>
      <c r="E410" s="62"/>
      <c r="F410" s="63"/>
      <c r="G410" s="64"/>
    </row>
    <row r="411" spans="4:7" ht="14.25" customHeight="1">
      <c r="D411" s="61"/>
      <c r="E411" s="62"/>
      <c r="F411" s="63"/>
      <c r="G411" s="64"/>
    </row>
    <row r="412" spans="4:7" ht="14.25" customHeight="1">
      <c r="D412" s="61"/>
      <c r="E412" s="62"/>
      <c r="F412" s="63"/>
      <c r="G412" s="64"/>
    </row>
    <row r="413" spans="4:7" ht="14.25" customHeight="1">
      <c r="D413" s="61"/>
      <c r="E413" s="62"/>
      <c r="F413" s="63"/>
      <c r="G413" s="64"/>
    </row>
    <row r="414" spans="4:7" ht="14.25" customHeight="1">
      <c r="D414" s="61"/>
      <c r="E414" s="62"/>
      <c r="F414" s="63"/>
      <c r="G414" s="64"/>
    </row>
    <row r="415" spans="4:7" ht="14.25" customHeight="1">
      <c r="D415" s="61"/>
      <c r="E415" s="62"/>
      <c r="F415" s="63"/>
      <c r="G415" s="64"/>
    </row>
    <row r="416" spans="4:7" ht="14.25" customHeight="1">
      <c r="D416" s="61"/>
      <c r="E416" s="62"/>
      <c r="F416" s="63"/>
      <c r="G416" s="64"/>
    </row>
    <row r="417" spans="4:7" ht="14.25" customHeight="1">
      <c r="D417" s="61"/>
      <c r="E417" s="62"/>
      <c r="F417" s="63"/>
      <c r="G417" s="64"/>
    </row>
    <row r="418" spans="4:7" ht="14.25" customHeight="1">
      <c r="D418" s="61"/>
      <c r="E418" s="62"/>
      <c r="F418" s="63"/>
      <c r="G418" s="64"/>
    </row>
    <row r="419" spans="4:7" ht="14.25" customHeight="1">
      <c r="D419" s="61"/>
      <c r="E419" s="62"/>
      <c r="F419" s="63"/>
      <c r="G419" s="64"/>
    </row>
    <row r="420" spans="4:7" ht="14.25" customHeight="1">
      <c r="D420" s="61"/>
      <c r="E420" s="62"/>
      <c r="F420" s="63"/>
      <c r="G420" s="64"/>
    </row>
    <row r="421" spans="4:7" ht="14.25" customHeight="1">
      <c r="D421" s="61"/>
      <c r="E421" s="62"/>
      <c r="F421" s="63"/>
      <c r="G421" s="64"/>
    </row>
    <row r="422" spans="4:7" ht="14.25" customHeight="1">
      <c r="D422" s="61"/>
      <c r="E422" s="62"/>
      <c r="F422" s="63"/>
      <c r="G422" s="64"/>
    </row>
    <row r="423" spans="4:7" ht="14.25" customHeight="1">
      <c r="D423" s="61"/>
      <c r="E423" s="62"/>
      <c r="F423" s="63"/>
      <c r="G423" s="64"/>
    </row>
    <row r="424" spans="4:7" ht="14.25" customHeight="1">
      <c r="D424" s="61"/>
      <c r="E424" s="62"/>
      <c r="F424" s="63"/>
      <c r="G424" s="64"/>
    </row>
    <row r="425" spans="4:7" ht="14.25" customHeight="1">
      <c r="D425" s="61"/>
      <c r="E425" s="62"/>
      <c r="F425" s="63"/>
      <c r="G425" s="64"/>
    </row>
    <row r="426" spans="4:7" ht="14.25" customHeight="1">
      <c r="D426" s="61"/>
      <c r="E426" s="62"/>
      <c r="F426" s="63"/>
      <c r="G426" s="64"/>
    </row>
    <row r="427" spans="4:7" ht="14.25" customHeight="1">
      <c r="D427" s="61"/>
      <c r="E427" s="62"/>
      <c r="F427" s="63"/>
      <c r="G427" s="64"/>
    </row>
    <row r="428" spans="4:7" ht="14.25" customHeight="1">
      <c r="D428" s="61"/>
      <c r="E428" s="62"/>
      <c r="F428" s="63"/>
      <c r="G428" s="64"/>
    </row>
    <row r="429" spans="4:7" ht="14.25" customHeight="1">
      <c r="D429" s="61"/>
      <c r="E429" s="62"/>
      <c r="F429" s="63"/>
      <c r="G429" s="64"/>
    </row>
    <row r="430" spans="4:7" ht="14.25" customHeight="1">
      <c r="D430" s="61"/>
      <c r="E430" s="62"/>
      <c r="F430" s="63"/>
      <c r="G430" s="64"/>
    </row>
    <row r="431" spans="4:7" ht="14.25" customHeight="1">
      <c r="D431" s="61"/>
      <c r="E431" s="62"/>
      <c r="F431" s="63"/>
      <c r="G431" s="64"/>
    </row>
    <row r="432" spans="4:7" ht="14.25" customHeight="1">
      <c r="D432" s="61"/>
      <c r="E432" s="62"/>
      <c r="F432" s="63"/>
      <c r="G432" s="64"/>
    </row>
    <row r="433" spans="4:7" ht="14.25" customHeight="1">
      <c r="D433" s="61"/>
      <c r="E433" s="62"/>
      <c r="F433" s="63"/>
      <c r="G433" s="64"/>
    </row>
    <row r="434" spans="4:7" ht="14.25" customHeight="1">
      <c r="D434" s="61"/>
      <c r="E434" s="62"/>
      <c r="F434" s="63"/>
      <c r="G434" s="64"/>
    </row>
    <row r="435" spans="4:7" ht="14.25" customHeight="1">
      <c r="D435" s="61"/>
      <c r="E435" s="62"/>
      <c r="F435" s="63"/>
      <c r="G435" s="64"/>
    </row>
    <row r="436" spans="4:7" ht="14.25" customHeight="1">
      <c r="D436" s="61"/>
      <c r="E436" s="62"/>
      <c r="F436" s="63"/>
      <c r="G436" s="64"/>
    </row>
    <row r="437" spans="4:7" ht="14.25" customHeight="1">
      <c r="D437" s="61"/>
      <c r="E437" s="62"/>
      <c r="F437" s="63"/>
      <c r="G437" s="64"/>
    </row>
    <row r="438" spans="4:7" ht="14.25" customHeight="1">
      <c r="D438" s="61"/>
      <c r="E438" s="62"/>
      <c r="F438" s="63"/>
      <c r="G438" s="64"/>
    </row>
    <row r="439" spans="4:7" ht="14.25" customHeight="1">
      <c r="D439" s="61"/>
      <c r="E439" s="62"/>
      <c r="F439" s="63"/>
      <c r="G439" s="64"/>
    </row>
    <row r="440" spans="4:7" ht="14.25" customHeight="1">
      <c r="D440" s="61"/>
      <c r="E440" s="62"/>
      <c r="F440" s="63"/>
      <c r="G440" s="64"/>
    </row>
    <row r="441" spans="4:7" ht="14.25" customHeight="1">
      <c r="D441" s="61"/>
      <c r="E441" s="62"/>
      <c r="F441" s="63"/>
      <c r="G441" s="64"/>
    </row>
    <row r="442" spans="4:7" ht="14.25" customHeight="1">
      <c r="D442" s="61"/>
      <c r="E442" s="62"/>
      <c r="F442" s="63"/>
      <c r="G442" s="64"/>
    </row>
    <row r="443" spans="4:7" ht="14.25" customHeight="1">
      <c r="D443" s="61"/>
      <c r="E443" s="62"/>
      <c r="F443" s="63"/>
      <c r="G443" s="64"/>
    </row>
    <row r="444" spans="4:7" ht="14.25" customHeight="1">
      <c r="D444" s="61"/>
      <c r="E444" s="62"/>
      <c r="F444" s="63"/>
      <c r="G444" s="64"/>
    </row>
    <row r="445" spans="4:7" ht="14.25" customHeight="1">
      <c r="D445" s="61"/>
      <c r="E445" s="62"/>
      <c r="F445" s="63"/>
      <c r="G445" s="64"/>
    </row>
    <row r="446" spans="4:7" ht="14.25" customHeight="1">
      <c r="D446" s="61"/>
      <c r="E446" s="62"/>
      <c r="F446" s="63"/>
      <c r="G446" s="64"/>
    </row>
    <row r="447" spans="4:7" ht="14.25" customHeight="1">
      <c r="D447" s="61"/>
      <c r="E447" s="62"/>
      <c r="F447" s="63"/>
      <c r="G447" s="64"/>
    </row>
    <row r="448" spans="4:7" ht="14.25" customHeight="1">
      <c r="D448" s="61"/>
      <c r="E448" s="62"/>
      <c r="F448" s="63"/>
      <c r="G448" s="64"/>
    </row>
    <row r="449" spans="4:7" ht="14.25" customHeight="1">
      <c r="D449" s="61"/>
      <c r="E449" s="62"/>
      <c r="F449" s="63"/>
      <c r="G449" s="64"/>
    </row>
    <row r="450" spans="4:7" ht="14.25" customHeight="1">
      <c r="D450" s="61"/>
      <c r="E450" s="62"/>
      <c r="F450" s="63"/>
      <c r="G450" s="64"/>
    </row>
    <row r="451" spans="4:7" ht="14.25" customHeight="1">
      <c r="D451" s="61"/>
      <c r="E451" s="62"/>
      <c r="F451" s="63"/>
      <c r="G451" s="64"/>
    </row>
    <row r="452" spans="4:7" ht="14.25" customHeight="1">
      <c r="D452" s="61"/>
      <c r="E452" s="62"/>
      <c r="F452" s="63"/>
      <c r="G452" s="64"/>
    </row>
    <row r="453" spans="4:7" ht="14.25" customHeight="1">
      <c r="D453" s="61"/>
      <c r="E453" s="62"/>
      <c r="F453" s="63"/>
      <c r="G453" s="64"/>
    </row>
    <row r="454" spans="4:7" ht="14.25" customHeight="1">
      <c r="D454" s="61"/>
      <c r="E454" s="62"/>
      <c r="F454" s="63"/>
      <c r="G454" s="64"/>
    </row>
    <row r="455" spans="4:7" ht="14.25" customHeight="1">
      <c r="D455" s="61"/>
      <c r="E455" s="62"/>
      <c r="F455" s="63"/>
      <c r="G455" s="64"/>
    </row>
    <row r="456" spans="4:7" ht="14.25" customHeight="1">
      <c r="D456" s="61"/>
      <c r="E456" s="62"/>
      <c r="F456" s="63"/>
      <c r="G456" s="64"/>
    </row>
    <row r="457" spans="4:7" ht="14.25" customHeight="1">
      <c r="D457" s="61"/>
      <c r="E457" s="62"/>
      <c r="F457" s="63"/>
      <c r="G457" s="64"/>
    </row>
    <row r="458" spans="4:7" ht="14.25" customHeight="1">
      <c r="D458" s="61"/>
      <c r="E458" s="62"/>
      <c r="F458" s="63"/>
      <c r="G458" s="64"/>
    </row>
    <row r="459" spans="4:7" ht="14.25" customHeight="1">
      <c r="D459" s="61"/>
      <c r="E459" s="62"/>
      <c r="F459" s="63"/>
      <c r="G459" s="64"/>
    </row>
    <row r="460" spans="4:7" ht="14.25" customHeight="1">
      <c r="D460" s="61"/>
      <c r="E460" s="62"/>
      <c r="F460" s="63"/>
      <c r="G460" s="64"/>
    </row>
    <row r="461" spans="4:7" ht="14.25" customHeight="1">
      <c r="D461" s="61"/>
      <c r="E461" s="62"/>
      <c r="F461" s="63"/>
      <c r="G461" s="64"/>
    </row>
    <row r="462" spans="4:7" ht="14.25" customHeight="1">
      <c r="D462" s="61"/>
      <c r="E462" s="62"/>
      <c r="F462" s="63"/>
      <c r="G462" s="64"/>
    </row>
    <row r="463" spans="4:7" ht="14.25" customHeight="1">
      <c r="D463" s="61"/>
      <c r="E463" s="62"/>
      <c r="F463" s="63"/>
      <c r="G463" s="64"/>
    </row>
    <row r="464" spans="4:7" ht="14.25" customHeight="1">
      <c r="D464" s="61"/>
      <c r="E464" s="62"/>
      <c r="F464" s="63"/>
      <c r="G464" s="64"/>
    </row>
    <row r="465" spans="4:7" ht="14.25" customHeight="1">
      <c r="D465" s="61"/>
      <c r="E465" s="62"/>
      <c r="F465" s="63"/>
      <c r="G465" s="64"/>
    </row>
    <row r="466" spans="4:7" ht="14.25" customHeight="1">
      <c r="D466" s="61"/>
      <c r="E466" s="62"/>
      <c r="F466" s="63"/>
      <c r="G466" s="64"/>
    </row>
    <row r="467" spans="4:7" ht="14.25" customHeight="1">
      <c r="D467" s="61"/>
      <c r="E467" s="62"/>
      <c r="F467" s="63"/>
      <c r="G467" s="64"/>
    </row>
    <row r="468" spans="4:7" ht="14.25" customHeight="1">
      <c r="D468" s="61"/>
      <c r="E468" s="62"/>
      <c r="F468" s="63"/>
      <c r="G468" s="64"/>
    </row>
    <row r="469" spans="4:7" ht="14.25" customHeight="1">
      <c r="D469" s="61"/>
      <c r="E469" s="62"/>
      <c r="F469" s="63"/>
      <c r="G469" s="64"/>
    </row>
    <row r="470" spans="4:7" ht="14.25" customHeight="1">
      <c r="D470" s="61"/>
      <c r="E470" s="62"/>
      <c r="F470" s="63"/>
      <c r="G470" s="64"/>
    </row>
    <row r="471" spans="4:7" ht="14.25" customHeight="1">
      <c r="D471" s="61"/>
      <c r="E471" s="62"/>
      <c r="F471" s="63"/>
      <c r="G471" s="64"/>
    </row>
    <row r="472" spans="4:7" ht="14.25" customHeight="1">
      <c r="D472" s="61"/>
      <c r="E472" s="62"/>
      <c r="F472" s="63"/>
      <c r="G472" s="64"/>
    </row>
    <row r="473" spans="4:7" ht="14.25" customHeight="1">
      <c r="D473" s="61"/>
      <c r="E473" s="62"/>
      <c r="F473" s="63"/>
      <c r="G473" s="64"/>
    </row>
    <row r="474" spans="4:7" ht="14.25" customHeight="1">
      <c r="D474" s="61"/>
      <c r="E474" s="62"/>
      <c r="F474" s="63"/>
      <c r="G474" s="64"/>
    </row>
    <row r="475" spans="4:7" ht="14.25" customHeight="1">
      <c r="D475" s="61"/>
      <c r="E475" s="62"/>
      <c r="F475" s="63"/>
      <c r="G475" s="64"/>
    </row>
    <row r="476" spans="4:7" ht="14.25" customHeight="1">
      <c r="D476" s="61"/>
      <c r="E476" s="62"/>
      <c r="F476" s="63"/>
      <c r="G476" s="64"/>
    </row>
    <row r="477" spans="4:7" ht="14.25" customHeight="1">
      <c r="D477" s="61"/>
      <c r="E477" s="62"/>
      <c r="F477" s="63"/>
      <c r="G477" s="64"/>
    </row>
    <row r="478" spans="4:7" ht="14.25" customHeight="1">
      <c r="D478" s="61"/>
      <c r="E478" s="62"/>
      <c r="F478" s="63"/>
      <c r="G478" s="64"/>
    </row>
    <row r="479" spans="4:7" ht="14.25" customHeight="1">
      <c r="D479" s="61"/>
      <c r="E479" s="62"/>
      <c r="F479" s="63"/>
      <c r="G479" s="64"/>
    </row>
    <row r="480" spans="4:7" ht="14.25" customHeight="1">
      <c r="D480" s="61"/>
      <c r="E480" s="62"/>
      <c r="F480" s="63"/>
      <c r="G480" s="64"/>
    </row>
    <row r="481" spans="4:7" ht="14.25" customHeight="1">
      <c r="D481" s="61"/>
      <c r="E481" s="62"/>
      <c r="F481" s="63"/>
      <c r="G481" s="64"/>
    </row>
    <row r="482" spans="4:7" ht="14.25" customHeight="1">
      <c r="D482" s="61"/>
      <c r="E482" s="62"/>
      <c r="F482" s="63"/>
      <c r="G482" s="64"/>
    </row>
    <row r="483" spans="4:7" ht="14.25" customHeight="1">
      <c r="D483" s="61"/>
      <c r="E483" s="62"/>
      <c r="F483" s="63"/>
      <c r="G483" s="64"/>
    </row>
    <row r="484" spans="4:7" ht="14.25" customHeight="1">
      <c r="D484" s="61"/>
      <c r="E484" s="62"/>
      <c r="F484" s="63"/>
      <c r="G484" s="64"/>
    </row>
    <row r="485" spans="4:7" ht="14.25" customHeight="1">
      <c r="D485" s="61"/>
      <c r="E485" s="62"/>
      <c r="F485" s="63"/>
      <c r="G485" s="64"/>
    </row>
    <row r="486" spans="4:7" ht="14.25" customHeight="1">
      <c r="D486" s="61"/>
      <c r="E486" s="62"/>
      <c r="F486" s="63"/>
      <c r="G486" s="64"/>
    </row>
    <row r="487" spans="4:7" ht="14.25" customHeight="1">
      <c r="D487" s="61"/>
      <c r="E487" s="62"/>
      <c r="F487" s="63"/>
      <c r="G487" s="64"/>
    </row>
    <row r="488" spans="4:7" ht="14.25" customHeight="1">
      <c r="D488" s="61"/>
      <c r="E488" s="62"/>
      <c r="F488" s="63"/>
      <c r="G488" s="64"/>
    </row>
    <row r="489" spans="4:7" ht="14.25" customHeight="1">
      <c r="D489" s="61"/>
      <c r="E489" s="62"/>
      <c r="F489" s="63"/>
      <c r="G489" s="64"/>
    </row>
    <row r="490" spans="4:7" ht="14.25" customHeight="1">
      <c r="D490" s="61"/>
      <c r="E490" s="62"/>
      <c r="F490" s="63"/>
      <c r="G490" s="64"/>
    </row>
    <row r="491" spans="4:7" ht="14.25" customHeight="1">
      <c r="D491" s="61"/>
      <c r="E491" s="62"/>
      <c r="F491" s="63"/>
      <c r="G491" s="64"/>
    </row>
    <row r="492" spans="4:7" ht="14.25" customHeight="1">
      <c r="D492" s="61"/>
      <c r="E492" s="62"/>
      <c r="F492" s="63"/>
      <c r="G492" s="64"/>
    </row>
    <row r="493" spans="4:7" ht="14.25" customHeight="1">
      <c r="D493" s="61"/>
      <c r="E493" s="62"/>
      <c r="F493" s="63"/>
      <c r="G493" s="64"/>
    </row>
    <row r="494" spans="4:7" ht="14.25" customHeight="1">
      <c r="D494" s="61"/>
      <c r="E494" s="62"/>
      <c r="F494" s="63"/>
      <c r="G494" s="64"/>
    </row>
    <row r="495" spans="4:7" ht="14.25" customHeight="1">
      <c r="D495" s="61"/>
      <c r="E495" s="62"/>
      <c r="F495" s="63"/>
      <c r="G495" s="64"/>
    </row>
    <row r="496" spans="4:7" ht="14.25" customHeight="1">
      <c r="D496" s="61"/>
      <c r="E496" s="62"/>
      <c r="F496" s="63"/>
      <c r="G496" s="64"/>
    </row>
    <row r="497" spans="4:7" ht="14.25" customHeight="1">
      <c r="D497" s="61"/>
      <c r="E497" s="62"/>
      <c r="F497" s="63"/>
      <c r="G497" s="64"/>
    </row>
    <row r="498" spans="4:7" ht="14.25" customHeight="1">
      <c r="D498" s="61"/>
      <c r="E498" s="62"/>
      <c r="F498" s="63"/>
      <c r="G498" s="64"/>
    </row>
    <row r="499" spans="4:7" ht="14.25" customHeight="1">
      <c r="D499" s="61"/>
      <c r="E499" s="62"/>
      <c r="F499" s="63"/>
      <c r="G499" s="64"/>
    </row>
    <row r="500" spans="4:7" ht="14.25" customHeight="1">
      <c r="D500" s="61"/>
      <c r="E500" s="62"/>
      <c r="F500" s="63"/>
      <c r="G500" s="64"/>
    </row>
    <row r="501" spans="4:7" ht="14.25" customHeight="1">
      <c r="D501" s="61"/>
      <c r="E501" s="62"/>
      <c r="F501" s="63"/>
      <c r="G501" s="64"/>
    </row>
    <row r="502" spans="4:7" ht="14.25" customHeight="1">
      <c r="D502" s="61"/>
      <c r="E502" s="62"/>
      <c r="F502" s="63"/>
      <c r="G502" s="64"/>
    </row>
    <row r="503" spans="4:7" ht="14.25" customHeight="1">
      <c r="D503" s="61"/>
      <c r="E503" s="62"/>
      <c r="F503" s="63"/>
      <c r="G503" s="64"/>
    </row>
    <row r="504" spans="4:7" ht="14.25" customHeight="1">
      <c r="D504" s="61"/>
      <c r="E504" s="62"/>
      <c r="F504" s="63"/>
      <c r="G504" s="64"/>
    </row>
    <row r="505" spans="4:7" ht="14.25" customHeight="1">
      <c r="D505" s="61"/>
      <c r="E505" s="62"/>
      <c r="F505" s="63"/>
      <c r="G505" s="64"/>
    </row>
    <row r="506" spans="4:7" ht="14.25" customHeight="1">
      <c r="D506" s="61"/>
      <c r="E506" s="62"/>
      <c r="F506" s="63"/>
      <c r="G506" s="64"/>
    </row>
    <row r="507" spans="4:7" ht="14.25" customHeight="1">
      <c r="D507" s="61"/>
      <c r="E507" s="62"/>
      <c r="F507" s="63"/>
      <c r="G507" s="64"/>
    </row>
    <row r="508" spans="4:7" ht="14.25" customHeight="1">
      <c r="D508" s="61"/>
      <c r="E508" s="62"/>
      <c r="F508" s="63"/>
      <c r="G508" s="64"/>
    </row>
    <row r="509" spans="4:7" ht="14.25" customHeight="1">
      <c r="D509" s="61"/>
      <c r="E509" s="62"/>
      <c r="F509" s="63"/>
      <c r="G509" s="64"/>
    </row>
    <row r="510" spans="4:7" ht="14.25" customHeight="1">
      <c r="D510" s="61"/>
      <c r="E510" s="62"/>
      <c r="F510" s="63"/>
      <c r="G510" s="64"/>
    </row>
    <row r="511" spans="4:7" ht="14.25" customHeight="1">
      <c r="D511" s="61"/>
      <c r="E511" s="62"/>
      <c r="F511" s="63"/>
      <c r="G511" s="64"/>
    </row>
    <row r="512" spans="4:7" ht="14.25" customHeight="1">
      <c r="D512" s="61"/>
      <c r="E512" s="62"/>
      <c r="F512" s="63"/>
      <c r="G512" s="64"/>
    </row>
    <row r="513" spans="4:7" ht="14.25" customHeight="1">
      <c r="D513" s="61"/>
      <c r="E513" s="62"/>
      <c r="F513" s="63"/>
      <c r="G513" s="64"/>
    </row>
    <row r="514" spans="4:7" ht="14.25" customHeight="1">
      <c r="D514" s="61"/>
      <c r="E514" s="62"/>
      <c r="F514" s="63"/>
      <c r="G514" s="64"/>
    </row>
    <row r="515" spans="4:7" ht="14.25" customHeight="1">
      <c r="D515" s="61"/>
      <c r="E515" s="62"/>
      <c r="F515" s="63"/>
      <c r="G515" s="64"/>
    </row>
    <row r="516" spans="4:7" ht="14.25" customHeight="1">
      <c r="D516" s="61"/>
      <c r="E516" s="62"/>
      <c r="F516" s="63"/>
      <c r="G516" s="64"/>
    </row>
    <row r="517" spans="4:7" ht="14.25" customHeight="1">
      <c r="D517" s="61"/>
      <c r="E517" s="62"/>
      <c r="F517" s="63"/>
      <c r="G517" s="64"/>
    </row>
    <row r="518" spans="4:7" ht="14.25" customHeight="1">
      <c r="D518" s="61"/>
      <c r="E518" s="62"/>
      <c r="F518" s="63"/>
      <c r="G518" s="64"/>
    </row>
    <row r="519" spans="4:7" ht="14.25" customHeight="1">
      <c r="D519" s="61"/>
      <c r="E519" s="62"/>
      <c r="F519" s="63"/>
      <c r="G519" s="64"/>
    </row>
    <row r="520" spans="4:7" ht="14.25" customHeight="1">
      <c r="D520" s="61"/>
      <c r="E520" s="62"/>
      <c r="F520" s="63"/>
      <c r="G520" s="64"/>
    </row>
    <row r="521" spans="4:7" ht="14.25" customHeight="1">
      <c r="D521" s="61"/>
      <c r="E521" s="62"/>
      <c r="F521" s="63"/>
      <c r="G521" s="64"/>
    </row>
    <row r="522" spans="4:7" ht="14.25" customHeight="1">
      <c r="D522" s="61"/>
      <c r="E522" s="62"/>
      <c r="F522" s="63"/>
      <c r="G522" s="64"/>
    </row>
    <row r="523" spans="4:7" ht="14.25" customHeight="1">
      <c r="D523" s="61"/>
      <c r="E523" s="62"/>
      <c r="F523" s="63"/>
      <c r="G523" s="64"/>
    </row>
    <row r="524" spans="4:7" ht="14.25" customHeight="1">
      <c r="D524" s="61"/>
      <c r="E524" s="62"/>
      <c r="F524" s="63"/>
      <c r="G524" s="64"/>
    </row>
    <row r="525" spans="4:7" ht="14.25" customHeight="1">
      <c r="D525" s="61"/>
      <c r="E525" s="62"/>
      <c r="F525" s="63"/>
      <c r="G525" s="64"/>
    </row>
    <row r="526" spans="4:7" ht="14.25" customHeight="1">
      <c r="D526" s="61"/>
      <c r="E526" s="62"/>
      <c r="F526" s="63"/>
      <c r="G526" s="64"/>
    </row>
    <row r="527" spans="4:7" ht="14.25" customHeight="1">
      <c r="D527" s="61"/>
      <c r="E527" s="62"/>
      <c r="F527" s="63"/>
      <c r="G527" s="64"/>
    </row>
    <row r="528" spans="4:7" ht="14.25" customHeight="1">
      <c r="D528" s="61"/>
      <c r="E528" s="62"/>
      <c r="F528" s="63"/>
      <c r="G528" s="64"/>
    </row>
    <row r="529" spans="4:7" ht="14.25" customHeight="1">
      <c r="D529" s="61"/>
      <c r="E529" s="62"/>
      <c r="F529" s="63"/>
      <c r="G529" s="64"/>
    </row>
    <row r="530" spans="4:7" ht="14.25" customHeight="1">
      <c r="D530" s="61"/>
      <c r="E530" s="62"/>
      <c r="F530" s="63"/>
      <c r="G530" s="64"/>
    </row>
    <row r="531" spans="4:7" ht="14.25" customHeight="1">
      <c r="D531" s="61"/>
      <c r="E531" s="62"/>
      <c r="F531" s="63"/>
      <c r="G531" s="64"/>
    </row>
    <row r="532" spans="4:7" ht="14.25" customHeight="1">
      <c r="D532" s="61"/>
      <c r="E532" s="62"/>
      <c r="F532" s="63"/>
      <c r="G532" s="64"/>
    </row>
    <row r="533" spans="4:7" ht="14.25" customHeight="1">
      <c r="D533" s="61"/>
      <c r="E533" s="62"/>
      <c r="F533" s="63"/>
      <c r="G533" s="64"/>
    </row>
    <row r="534" spans="4:7" ht="14.25" customHeight="1">
      <c r="D534" s="61"/>
      <c r="E534" s="62"/>
      <c r="F534" s="63"/>
      <c r="G534" s="64"/>
    </row>
    <row r="535" spans="4:7" ht="14.25" customHeight="1">
      <c r="D535" s="61"/>
      <c r="E535" s="62"/>
      <c r="F535" s="63"/>
      <c r="G535" s="64"/>
    </row>
    <row r="536" spans="4:7" ht="14.25" customHeight="1">
      <c r="D536" s="61"/>
      <c r="E536" s="62"/>
      <c r="F536" s="63"/>
      <c r="G536" s="64"/>
    </row>
    <row r="537" spans="4:7" ht="14.25" customHeight="1">
      <c r="D537" s="61"/>
      <c r="E537" s="62"/>
      <c r="F537" s="63"/>
      <c r="G537" s="64"/>
    </row>
    <row r="538" spans="4:7" ht="14.25" customHeight="1">
      <c r="D538" s="61"/>
      <c r="E538" s="62"/>
      <c r="F538" s="63"/>
      <c r="G538" s="64"/>
    </row>
    <row r="539" spans="4:7" ht="14.25" customHeight="1">
      <c r="D539" s="61"/>
      <c r="E539" s="62"/>
      <c r="F539" s="63"/>
      <c r="G539" s="64"/>
    </row>
    <row r="540" spans="4:7" ht="14.25" customHeight="1">
      <c r="D540" s="61"/>
      <c r="E540" s="62"/>
      <c r="F540" s="63"/>
      <c r="G540" s="64"/>
    </row>
    <row r="541" spans="4:7" ht="14.25" customHeight="1">
      <c r="D541" s="61"/>
      <c r="E541" s="62"/>
      <c r="F541" s="63"/>
      <c r="G541" s="64"/>
    </row>
    <row r="542" spans="4:7" ht="14.25" customHeight="1">
      <c r="D542" s="61"/>
      <c r="E542" s="62"/>
      <c r="F542" s="63"/>
      <c r="G542" s="64"/>
    </row>
    <row r="543" spans="4:7" ht="14.25" customHeight="1">
      <c r="D543" s="61"/>
      <c r="E543" s="62"/>
      <c r="F543" s="63"/>
      <c r="G543" s="64"/>
    </row>
    <row r="544" spans="4:7" ht="14.25" customHeight="1">
      <c r="D544" s="61"/>
      <c r="E544" s="62"/>
      <c r="F544" s="63"/>
      <c r="G544" s="64"/>
    </row>
    <row r="545" spans="4:7" ht="14.25" customHeight="1">
      <c r="D545" s="61"/>
      <c r="E545" s="62"/>
      <c r="F545" s="63"/>
      <c r="G545" s="64"/>
    </row>
    <row r="546" spans="4:7" ht="14.25" customHeight="1">
      <c r="D546" s="61"/>
      <c r="E546" s="62"/>
      <c r="F546" s="63"/>
      <c r="G546" s="64"/>
    </row>
    <row r="547" spans="4:7" ht="14.25" customHeight="1">
      <c r="D547" s="61"/>
      <c r="E547" s="62"/>
      <c r="F547" s="63"/>
      <c r="G547" s="64"/>
    </row>
    <row r="548" spans="4:7" ht="14.25" customHeight="1">
      <c r="D548" s="61"/>
      <c r="E548" s="62"/>
      <c r="F548" s="63"/>
      <c r="G548" s="64"/>
    </row>
    <row r="549" spans="4:7" ht="14.25" customHeight="1">
      <c r="D549" s="61"/>
      <c r="E549" s="62"/>
      <c r="F549" s="63"/>
      <c r="G549" s="64"/>
    </row>
    <row r="550" spans="4:7" ht="14.25" customHeight="1">
      <c r="D550" s="61"/>
      <c r="E550" s="62"/>
      <c r="F550" s="63"/>
      <c r="G550" s="64"/>
    </row>
    <row r="551" spans="4:7" ht="14.25" customHeight="1">
      <c r="D551" s="61"/>
      <c r="E551" s="62"/>
      <c r="F551" s="63"/>
      <c r="G551" s="64"/>
    </row>
    <row r="552" spans="4:7" ht="14.25" customHeight="1">
      <c r="D552" s="61"/>
      <c r="E552" s="62"/>
      <c r="F552" s="63"/>
      <c r="G552" s="64"/>
    </row>
    <row r="553" spans="4:7" ht="14.25" customHeight="1">
      <c r="D553" s="61"/>
      <c r="E553" s="62"/>
      <c r="F553" s="63"/>
      <c r="G553" s="64"/>
    </row>
    <row r="554" spans="4:7" ht="14.25" customHeight="1">
      <c r="D554" s="61"/>
      <c r="E554" s="62"/>
      <c r="F554" s="63"/>
      <c r="G554" s="64"/>
    </row>
    <row r="555" spans="4:7" ht="14.25" customHeight="1">
      <c r="D555" s="61"/>
      <c r="E555" s="62"/>
      <c r="F555" s="63"/>
      <c r="G555" s="64"/>
    </row>
    <row r="556" spans="4:7" ht="14.25" customHeight="1">
      <c r="D556" s="61"/>
      <c r="E556" s="62"/>
      <c r="F556" s="63"/>
      <c r="G556" s="64"/>
    </row>
    <row r="557" spans="4:7" ht="14.25" customHeight="1">
      <c r="D557" s="61"/>
      <c r="E557" s="62"/>
      <c r="F557" s="63"/>
      <c r="G557" s="64"/>
    </row>
    <row r="558" spans="4:7" ht="14.25" customHeight="1">
      <c r="D558" s="61"/>
      <c r="E558" s="62"/>
      <c r="F558" s="63"/>
      <c r="G558" s="64"/>
    </row>
    <row r="559" spans="4:7" ht="14.25" customHeight="1">
      <c r="D559" s="61"/>
      <c r="E559" s="62"/>
      <c r="F559" s="63"/>
      <c r="G559" s="64"/>
    </row>
    <row r="560" spans="4:7" ht="14.25" customHeight="1">
      <c r="D560" s="61"/>
      <c r="E560" s="62"/>
      <c r="F560" s="63"/>
      <c r="G560" s="64"/>
    </row>
    <row r="561" spans="4:7" ht="14.25" customHeight="1">
      <c r="D561" s="61"/>
      <c r="E561" s="62"/>
      <c r="F561" s="63"/>
      <c r="G561" s="64"/>
    </row>
    <row r="562" spans="4:7" ht="14.25" customHeight="1">
      <c r="D562" s="61"/>
      <c r="E562" s="62"/>
      <c r="F562" s="63"/>
      <c r="G562" s="64"/>
    </row>
    <row r="563" spans="4:7" ht="14.25" customHeight="1">
      <c r="D563" s="61"/>
      <c r="E563" s="62"/>
      <c r="F563" s="63"/>
      <c r="G563" s="64"/>
    </row>
    <row r="564" spans="4:7" ht="14.25" customHeight="1">
      <c r="D564" s="61"/>
      <c r="E564" s="62"/>
      <c r="F564" s="63"/>
      <c r="G564" s="64"/>
    </row>
    <row r="565" spans="4:7" ht="14.25" customHeight="1">
      <c r="D565" s="61"/>
      <c r="E565" s="62"/>
      <c r="F565" s="63"/>
      <c r="G565" s="64"/>
    </row>
    <row r="566" spans="4:7" ht="14.25" customHeight="1">
      <c r="D566" s="61"/>
      <c r="E566" s="62"/>
      <c r="F566" s="63"/>
      <c r="G566" s="64"/>
    </row>
    <row r="567" spans="4:7" ht="14.25" customHeight="1">
      <c r="D567" s="61"/>
      <c r="E567" s="62"/>
      <c r="F567" s="63"/>
      <c r="G567" s="64"/>
    </row>
    <row r="568" spans="4:7" ht="14.25" customHeight="1">
      <c r="D568" s="61"/>
      <c r="E568" s="62"/>
      <c r="F568" s="63"/>
      <c r="G568" s="64"/>
    </row>
    <row r="569" spans="4:7" ht="14.25" customHeight="1">
      <c r="D569" s="61"/>
      <c r="E569" s="62"/>
      <c r="F569" s="63"/>
      <c r="G569" s="64"/>
    </row>
    <row r="570" spans="4:7" ht="14.25" customHeight="1">
      <c r="D570" s="61"/>
      <c r="E570" s="62"/>
      <c r="F570" s="63"/>
      <c r="G570" s="64"/>
    </row>
    <row r="571" spans="4:7" ht="14.25" customHeight="1">
      <c r="D571" s="61"/>
      <c r="E571" s="62"/>
      <c r="F571" s="63"/>
      <c r="G571" s="64"/>
    </row>
    <row r="572" spans="4:7" ht="14.25" customHeight="1">
      <c r="D572" s="61"/>
      <c r="E572" s="62"/>
      <c r="F572" s="63"/>
      <c r="G572" s="64"/>
    </row>
    <row r="573" spans="4:7" ht="14.25" customHeight="1">
      <c r="D573" s="61"/>
      <c r="E573" s="62"/>
      <c r="F573" s="63"/>
      <c r="G573" s="64"/>
    </row>
    <row r="574" spans="4:7" ht="14.25" customHeight="1">
      <c r="D574" s="61"/>
      <c r="E574" s="62"/>
      <c r="F574" s="63"/>
      <c r="G574" s="64"/>
    </row>
    <row r="575" spans="4:7" ht="14.25" customHeight="1">
      <c r="D575" s="61"/>
      <c r="E575" s="62"/>
      <c r="F575" s="63"/>
      <c r="G575" s="64"/>
    </row>
    <row r="576" spans="4:7" ht="14.25" customHeight="1">
      <c r="D576" s="61"/>
      <c r="E576" s="62"/>
      <c r="F576" s="63"/>
      <c r="G576" s="64"/>
    </row>
    <row r="577" spans="4:7" ht="14.25" customHeight="1">
      <c r="D577" s="61"/>
      <c r="E577" s="62"/>
      <c r="F577" s="63"/>
      <c r="G577" s="64"/>
    </row>
    <row r="578" spans="4:7" ht="14.25" customHeight="1">
      <c r="D578" s="61"/>
      <c r="E578" s="62"/>
      <c r="F578" s="63"/>
      <c r="G578" s="64"/>
    </row>
    <row r="579" spans="4:7" ht="14.25" customHeight="1">
      <c r="D579" s="61"/>
      <c r="E579" s="62"/>
      <c r="F579" s="63"/>
      <c r="G579" s="64"/>
    </row>
    <row r="580" spans="4:7" ht="14.25" customHeight="1">
      <c r="D580" s="61"/>
      <c r="E580" s="62"/>
      <c r="F580" s="63"/>
      <c r="G580" s="64"/>
    </row>
    <row r="581" spans="4:7" ht="14.25" customHeight="1">
      <c r="D581" s="61"/>
      <c r="E581" s="62"/>
      <c r="F581" s="63"/>
      <c r="G581" s="64"/>
    </row>
    <row r="582" spans="4:7" ht="14.25" customHeight="1">
      <c r="D582" s="61"/>
      <c r="E582" s="62"/>
      <c r="F582" s="63"/>
      <c r="G582" s="64"/>
    </row>
    <row r="583" spans="4:7" ht="14.25" customHeight="1">
      <c r="D583" s="61"/>
      <c r="E583" s="62"/>
      <c r="F583" s="63"/>
      <c r="G583" s="64"/>
    </row>
    <row r="584" spans="4:7" ht="14.25" customHeight="1">
      <c r="D584" s="61"/>
      <c r="E584" s="62"/>
      <c r="F584" s="63"/>
      <c r="G584" s="64"/>
    </row>
    <row r="585" spans="4:7" ht="14.25" customHeight="1">
      <c r="D585" s="61"/>
      <c r="E585" s="62"/>
      <c r="F585" s="63"/>
      <c r="G585" s="64"/>
    </row>
    <row r="586" spans="4:7" ht="14.25" customHeight="1">
      <c r="D586" s="61"/>
      <c r="E586" s="62"/>
      <c r="F586" s="63"/>
      <c r="G586" s="64"/>
    </row>
    <row r="587" spans="4:7" ht="14.25" customHeight="1">
      <c r="D587" s="61"/>
      <c r="E587" s="62"/>
      <c r="F587" s="63"/>
      <c r="G587" s="64"/>
    </row>
    <row r="588" spans="4:7" ht="14.25" customHeight="1">
      <c r="D588" s="61"/>
      <c r="E588" s="62"/>
      <c r="F588" s="63"/>
      <c r="G588" s="64"/>
    </row>
    <row r="589" spans="4:7" ht="14.25" customHeight="1">
      <c r="D589" s="61"/>
      <c r="E589" s="62"/>
      <c r="F589" s="63"/>
      <c r="G589" s="64"/>
    </row>
    <row r="590" spans="4:7" ht="14.25" customHeight="1">
      <c r="D590" s="61"/>
      <c r="E590" s="62"/>
      <c r="F590" s="63"/>
      <c r="G590" s="64"/>
    </row>
    <row r="591" spans="4:7" ht="14.25" customHeight="1">
      <c r="D591" s="61"/>
      <c r="E591" s="62"/>
      <c r="F591" s="63"/>
      <c r="G591" s="64"/>
    </row>
    <row r="592" spans="4:7" ht="14.25" customHeight="1">
      <c r="D592" s="61"/>
      <c r="E592" s="62"/>
      <c r="F592" s="63"/>
      <c r="G592" s="64"/>
    </row>
    <row r="593" spans="4:7" ht="14.25" customHeight="1">
      <c r="D593" s="61"/>
      <c r="E593" s="62"/>
      <c r="F593" s="63"/>
      <c r="G593" s="64"/>
    </row>
    <row r="594" spans="4:7" ht="14.25" customHeight="1">
      <c r="D594" s="61"/>
      <c r="E594" s="62"/>
      <c r="F594" s="63"/>
      <c r="G594" s="64"/>
    </row>
    <row r="595" spans="4:7" ht="14.25" customHeight="1">
      <c r="D595" s="61"/>
      <c r="E595" s="62"/>
      <c r="F595" s="63"/>
      <c r="G595" s="64"/>
    </row>
    <row r="596" spans="4:7" ht="14.25" customHeight="1">
      <c r="D596" s="61"/>
      <c r="E596" s="62"/>
      <c r="F596" s="63"/>
      <c r="G596" s="64"/>
    </row>
    <row r="597" spans="4:7" ht="14.25" customHeight="1">
      <c r="D597" s="61"/>
      <c r="E597" s="62"/>
      <c r="F597" s="63"/>
      <c r="G597" s="64"/>
    </row>
    <row r="598" spans="4:7" ht="14.25" customHeight="1">
      <c r="D598" s="61"/>
      <c r="E598" s="62"/>
      <c r="F598" s="63"/>
      <c r="G598" s="64"/>
    </row>
    <row r="599" spans="4:7" ht="14.25" customHeight="1">
      <c r="D599" s="61"/>
      <c r="E599" s="62"/>
      <c r="F599" s="63"/>
      <c r="G599" s="64"/>
    </row>
    <row r="600" spans="4:7" ht="14.25" customHeight="1">
      <c r="D600" s="61"/>
      <c r="E600" s="62"/>
      <c r="F600" s="63"/>
      <c r="G600" s="64"/>
    </row>
    <row r="601" spans="4:7" ht="14.25" customHeight="1">
      <c r="D601" s="61"/>
      <c r="E601" s="62"/>
      <c r="F601" s="63"/>
      <c r="G601" s="64"/>
    </row>
    <row r="602" spans="4:7" ht="14.25" customHeight="1">
      <c r="D602" s="61"/>
      <c r="E602" s="62"/>
      <c r="F602" s="63"/>
      <c r="G602" s="64"/>
    </row>
    <row r="603" spans="4:7" ht="14.25" customHeight="1">
      <c r="D603" s="61"/>
      <c r="E603" s="62"/>
      <c r="F603" s="63"/>
      <c r="G603" s="64"/>
    </row>
    <row r="604" spans="4:7" ht="14.25" customHeight="1">
      <c r="D604" s="61"/>
      <c r="E604" s="62"/>
      <c r="F604" s="63"/>
      <c r="G604" s="64"/>
    </row>
    <row r="605" spans="4:7" ht="14.25" customHeight="1">
      <c r="D605" s="61"/>
      <c r="E605" s="62"/>
      <c r="F605" s="63"/>
      <c r="G605" s="64"/>
    </row>
    <row r="606" spans="4:7" ht="14.25" customHeight="1">
      <c r="D606" s="61"/>
      <c r="E606" s="62"/>
      <c r="F606" s="63"/>
      <c r="G606" s="64"/>
    </row>
    <row r="607" spans="4:7" ht="14.25" customHeight="1">
      <c r="D607" s="61"/>
      <c r="E607" s="62"/>
      <c r="F607" s="63"/>
      <c r="G607" s="64"/>
    </row>
    <row r="608" spans="4:7" ht="14.25" customHeight="1">
      <c r="D608" s="61"/>
      <c r="E608" s="62"/>
      <c r="F608" s="63"/>
      <c r="G608" s="64"/>
    </row>
    <row r="609" spans="4:7" ht="14.25" customHeight="1">
      <c r="D609" s="61"/>
      <c r="E609" s="62"/>
      <c r="F609" s="63"/>
      <c r="G609" s="64"/>
    </row>
    <row r="610" spans="4:7" ht="14.25" customHeight="1">
      <c r="D610" s="61"/>
      <c r="E610" s="62"/>
      <c r="F610" s="63"/>
      <c r="G610" s="64"/>
    </row>
    <row r="611" spans="4:7" ht="14.25" customHeight="1">
      <c r="D611" s="61"/>
      <c r="E611" s="62"/>
      <c r="F611" s="63"/>
      <c r="G611" s="64"/>
    </row>
    <row r="612" spans="4:7" ht="14.25" customHeight="1">
      <c r="D612" s="61"/>
      <c r="E612" s="62"/>
      <c r="F612" s="63"/>
      <c r="G612" s="64"/>
    </row>
    <row r="613" spans="4:7" ht="14.25" customHeight="1">
      <c r="D613" s="61"/>
      <c r="E613" s="62"/>
      <c r="F613" s="63"/>
      <c r="G613" s="64"/>
    </row>
    <row r="614" spans="4:7" ht="14.25" customHeight="1">
      <c r="D614" s="61"/>
      <c r="E614" s="62"/>
      <c r="F614" s="63"/>
      <c r="G614" s="64"/>
    </row>
    <row r="615" spans="4:7" ht="14.25" customHeight="1">
      <c r="D615" s="61"/>
      <c r="E615" s="62"/>
      <c r="F615" s="63"/>
      <c r="G615" s="64"/>
    </row>
    <row r="616" spans="4:7" ht="14.25" customHeight="1">
      <c r="D616" s="61"/>
      <c r="E616" s="62"/>
      <c r="F616" s="63"/>
      <c r="G616" s="64"/>
    </row>
    <row r="617" spans="4:7" ht="14.25" customHeight="1">
      <c r="D617" s="61"/>
      <c r="E617" s="62"/>
      <c r="F617" s="63"/>
      <c r="G617" s="64"/>
    </row>
    <row r="618" spans="4:7" ht="14.25" customHeight="1">
      <c r="D618" s="61"/>
      <c r="E618" s="62"/>
      <c r="F618" s="63"/>
      <c r="G618" s="64"/>
    </row>
    <row r="619" spans="4:7" ht="14.25" customHeight="1">
      <c r="D619" s="61"/>
      <c r="E619" s="62"/>
      <c r="F619" s="63"/>
      <c r="G619" s="64"/>
    </row>
    <row r="620" spans="4:7" ht="14.25" customHeight="1">
      <c r="D620" s="61"/>
      <c r="E620" s="62"/>
      <c r="F620" s="63"/>
      <c r="G620" s="64"/>
    </row>
    <row r="621" spans="4:7" ht="14.25" customHeight="1">
      <c r="D621" s="61"/>
      <c r="E621" s="62"/>
      <c r="F621" s="63"/>
      <c r="G621" s="64"/>
    </row>
    <row r="622" spans="4:7" ht="14.25" customHeight="1">
      <c r="D622" s="61"/>
      <c r="E622" s="62"/>
      <c r="F622" s="63"/>
      <c r="G622" s="64"/>
    </row>
    <row r="623" spans="4:7" ht="14.25" customHeight="1">
      <c r="D623" s="61"/>
      <c r="E623" s="62"/>
      <c r="F623" s="63"/>
      <c r="G623" s="64"/>
    </row>
    <row r="624" spans="4:7" ht="14.25" customHeight="1">
      <c r="D624" s="61"/>
      <c r="E624" s="62"/>
      <c r="F624" s="63"/>
      <c r="G624" s="64"/>
    </row>
    <row r="625" spans="4:7" ht="14.25" customHeight="1">
      <c r="D625" s="61"/>
      <c r="E625" s="62"/>
      <c r="F625" s="63"/>
      <c r="G625" s="64"/>
    </row>
    <row r="626" spans="4:7" ht="14.25" customHeight="1">
      <c r="D626" s="61"/>
      <c r="E626" s="62"/>
      <c r="F626" s="63"/>
      <c r="G626" s="64"/>
    </row>
    <row r="627" spans="4:7" ht="14.25" customHeight="1">
      <c r="D627" s="61"/>
      <c r="E627" s="62"/>
      <c r="F627" s="63"/>
      <c r="G627" s="64"/>
    </row>
    <row r="628" spans="4:7" ht="14.25" customHeight="1">
      <c r="D628" s="61"/>
      <c r="E628" s="62"/>
      <c r="F628" s="63"/>
      <c r="G628" s="64"/>
    </row>
    <row r="629" spans="4:7" ht="14.25" customHeight="1">
      <c r="D629" s="61"/>
      <c r="E629" s="62"/>
      <c r="F629" s="63"/>
      <c r="G629" s="64"/>
    </row>
    <row r="630" spans="4:7" ht="14.25" customHeight="1">
      <c r="D630" s="61"/>
      <c r="E630" s="62"/>
      <c r="F630" s="63"/>
      <c r="G630" s="64"/>
    </row>
    <row r="631" spans="4:7" ht="14.25" customHeight="1">
      <c r="D631" s="61"/>
      <c r="E631" s="62"/>
      <c r="F631" s="63"/>
      <c r="G631" s="64"/>
    </row>
    <row r="632" spans="4:7" ht="14.25" customHeight="1">
      <c r="D632" s="61"/>
      <c r="E632" s="62"/>
      <c r="F632" s="63"/>
      <c r="G632" s="64"/>
    </row>
    <row r="633" spans="4:7" ht="14.25" customHeight="1">
      <c r="D633" s="61"/>
      <c r="E633" s="62"/>
      <c r="F633" s="63"/>
      <c r="G633" s="64"/>
    </row>
    <row r="634" spans="4:7" ht="14.25" customHeight="1">
      <c r="D634" s="61"/>
      <c r="E634" s="62"/>
      <c r="F634" s="63"/>
      <c r="G634" s="64"/>
    </row>
    <row r="635" spans="4:7" ht="14.25" customHeight="1">
      <c r="D635" s="61"/>
      <c r="E635" s="62"/>
      <c r="F635" s="63"/>
      <c r="G635" s="64"/>
    </row>
    <row r="636" spans="4:7" ht="14.25" customHeight="1">
      <c r="D636" s="61"/>
      <c r="E636" s="62"/>
      <c r="F636" s="63"/>
      <c r="G636" s="64"/>
    </row>
    <row r="637" spans="4:7" ht="14.25" customHeight="1">
      <c r="D637" s="61"/>
      <c r="E637" s="62"/>
      <c r="F637" s="63"/>
      <c r="G637" s="64"/>
    </row>
    <row r="638" spans="4:7" ht="14.25" customHeight="1">
      <c r="D638" s="61"/>
      <c r="E638" s="62"/>
      <c r="F638" s="63"/>
      <c r="G638" s="64"/>
    </row>
    <row r="639" spans="4:7" ht="14.25" customHeight="1">
      <c r="D639" s="61"/>
      <c r="E639" s="62"/>
      <c r="F639" s="63"/>
      <c r="G639" s="64"/>
    </row>
    <row r="640" spans="4:7" ht="14.25" customHeight="1">
      <c r="D640" s="61"/>
      <c r="E640" s="62"/>
      <c r="F640" s="63"/>
      <c r="G640" s="64"/>
    </row>
    <row r="641" spans="4:7" ht="14.25" customHeight="1">
      <c r="D641" s="61"/>
      <c r="E641" s="62"/>
      <c r="F641" s="63"/>
      <c r="G641" s="64"/>
    </row>
    <row r="642" spans="4:7" ht="14.25" customHeight="1">
      <c r="D642" s="61"/>
      <c r="E642" s="62"/>
      <c r="F642" s="63"/>
      <c r="G642" s="64"/>
    </row>
    <row r="643" spans="4:7" ht="14.25" customHeight="1">
      <c r="D643" s="61"/>
      <c r="E643" s="62"/>
      <c r="F643" s="63"/>
      <c r="G643" s="64"/>
    </row>
    <row r="644" spans="4:7" ht="14.25" customHeight="1">
      <c r="D644" s="61"/>
      <c r="E644" s="62"/>
      <c r="F644" s="63"/>
      <c r="G644" s="64"/>
    </row>
    <row r="645" spans="4:7" ht="14.25" customHeight="1">
      <c r="D645" s="61"/>
      <c r="E645" s="62"/>
      <c r="F645" s="63"/>
      <c r="G645" s="64"/>
    </row>
    <row r="646" spans="4:7" ht="14.25" customHeight="1">
      <c r="D646" s="61"/>
      <c r="E646" s="62"/>
      <c r="F646" s="63"/>
      <c r="G646" s="64"/>
    </row>
    <row r="647" spans="4:7" ht="14.25" customHeight="1">
      <c r="D647" s="61"/>
      <c r="E647" s="62"/>
      <c r="F647" s="63"/>
      <c r="G647" s="64"/>
    </row>
    <row r="648" spans="4:7" ht="14.25" customHeight="1">
      <c r="D648" s="61"/>
      <c r="E648" s="62"/>
      <c r="F648" s="63"/>
      <c r="G648" s="64"/>
    </row>
    <row r="649" spans="4:7" ht="14.25" customHeight="1">
      <c r="D649" s="61"/>
      <c r="E649" s="62"/>
      <c r="F649" s="63"/>
      <c r="G649" s="64"/>
    </row>
    <row r="650" spans="4:7" ht="14.25" customHeight="1">
      <c r="D650" s="61"/>
      <c r="E650" s="62"/>
      <c r="F650" s="63"/>
      <c r="G650" s="64"/>
    </row>
    <row r="651" spans="4:7" ht="14.25" customHeight="1">
      <c r="D651" s="61"/>
      <c r="E651" s="62"/>
      <c r="F651" s="63"/>
      <c r="G651" s="64"/>
    </row>
    <row r="652" spans="4:7" ht="14.25" customHeight="1">
      <c r="D652" s="61"/>
      <c r="E652" s="62"/>
      <c r="F652" s="63"/>
      <c r="G652" s="64"/>
    </row>
    <row r="653" spans="4:7" ht="14.25" customHeight="1">
      <c r="D653" s="61"/>
      <c r="E653" s="62"/>
      <c r="F653" s="63"/>
      <c r="G653" s="64"/>
    </row>
    <row r="654" spans="4:7" ht="14.25" customHeight="1">
      <c r="D654" s="61"/>
      <c r="E654" s="62"/>
      <c r="F654" s="63"/>
      <c r="G654" s="64"/>
    </row>
    <row r="655" spans="4:7" ht="14.25" customHeight="1">
      <c r="D655" s="61"/>
      <c r="E655" s="62"/>
      <c r="F655" s="63"/>
      <c r="G655" s="64"/>
    </row>
    <row r="656" spans="4:7" ht="14.25" customHeight="1">
      <c r="D656" s="61"/>
      <c r="E656" s="62"/>
      <c r="F656" s="63"/>
      <c r="G656" s="64"/>
    </row>
    <row r="657" spans="4:7" ht="14.25" customHeight="1">
      <c r="D657" s="61"/>
      <c r="E657" s="62"/>
      <c r="F657" s="63"/>
      <c r="G657" s="64"/>
    </row>
    <row r="658" spans="4:7" ht="14.25" customHeight="1">
      <c r="D658" s="61"/>
      <c r="E658" s="62"/>
      <c r="F658" s="63"/>
      <c r="G658" s="64"/>
    </row>
    <row r="659" spans="4:7" ht="14.25" customHeight="1">
      <c r="D659" s="61"/>
      <c r="E659" s="62"/>
      <c r="F659" s="63"/>
      <c r="G659" s="64"/>
    </row>
    <row r="660" spans="4:7" ht="14.25" customHeight="1">
      <c r="D660" s="61"/>
      <c r="E660" s="62"/>
      <c r="F660" s="63"/>
      <c r="G660" s="64"/>
    </row>
    <row r="661" spans="4:7" ht="14.25" customHeight="1">
      <c r="D661" s="61"/>
      <c r="E661" s="62"/>
      <c r="F661" s="63"/>
      <c r="G661" s="64"/>
    </row>
    <row r="662" spans="4:7" ht="14.25" customHeight="1">
      <c r="D662" s="61"/>
      <c r="E662" s="62"/>
      <c r="F662" s="63"/>
      <c r="G662" s="64"/>
    </row>
    <row r="663" spans="4:7" ht="14.25" customHeight="1">
      <c r="D663" s="61"/>
      <c r="E663" s="62"/>
      <c r="F663" s="63"/>
      <c r="G663" s="64"/>
    </row>
    <row r="664" spans="4:7" ht="14.25" customHeight="1">
      <c r="D664" s="61"/>
      <c r="E664" s="62"/>
      <c r="F664" s="63"/>
      <c r="G664" s="64"/>
    </row>
    <row r="665" spans="4:7" ht="14.25" customHeight="1">
      <c r="D665" s="61"/>
      <c r="E665" s="62"/>
      <c r="F665" s="63"/>
      <c r="G665" s="64"/>
    </row>
    <row r="666" spans="4:7" ht="14.25" customHeight="1">
      <c r="D666" s="61"/>
      <c r="E666" s="62"/>
      <c r="F666" s="63"/>
      <c r="G666" s="64"/>
    </row>
    <row r="667" spans="4:7" ht="14.25" customHeight="1">
      <c r="D667" s="61"/>
      <c r="E667" s="62"/>
      <c r="F667" s="63"/>
      <c r="G667" s="64"/>
    </row>
    <row r="668" spans="4:7" ht="14.25" customHeight="1">
      <c r="D668" s="61"/>
      <c r="E668" s="62"/>
      <c r="F668" s="63"/>
      <c r="G668" s="64"/>
    </row>
    <row r="669" spans="4:7" ht="14.25" customHeight="1">
      <c r="D669" s="61"/>
      <c r="E669" s="62"/>
      <c r="F669" s="63"/>
      <c r="G669" s="64"/>
    </row>
    <row r="670" spans="4:7" ht="14.25" customHeight="1">
      <c r="D670" s="61"/>
      <c r="E670" s="62"/>
      <c r="F670" s="63"/>
      <c r="G670" s="64"/>
    </row>
    <row r="671" spans="4:7" ht="14.25" customHeight="1">
      <c r="D671" s="61"/>
      <c r="E671" s="62"/>
      <c r="F671" s="63"/>
      <c r="G671" s="64"/>
    </row>
    <row r="672" spans="4:7" ht="14.25" customHeight="1">
      <c r="D672" s="61"/>
      <c r="E672" s="62"/>
      <c r="F672" s="63"/>
      <c r="G672" s="64"/>
    </row>
    <row r="673" spans="4:7" ht="14.25" customHeight="1">
      <c r="D673" s="61"/>
      <c r="E673" s="62"/>
      <c r="F673" s="63"/>
      <c r="G673" s="64"/>
    </row>
    <row r="674" spans="4:7" ht="14.25" customHeight="1">
      <c r="D674" s="61"/>
      <c r="E674" s="62"/>
      <c r="F674" s="63"/>
      <c r="G674" s="64"/>
    </row>
    <row r="675" spans="4:7" ht="14.25" customHeight="1">
      <c r="D675" s="61"/>
      <c r="E675" s="62"/>
      <c r="F675" s="63"/>
      <c r="G675" s="64"/>
    </row>
    <row r="676" spans="4:7" ht="14.25" customHeight="1">
      <c r="D676" s="61"/>
      <c r="E676" s="62"/>
      <c r="F676" s="63"/>
      <c r="G676" s="64"/>
    </row>
    <row r="677" spans="4:7" ht="14.25" customHeight="1">
      <c r="D677" s="61"/>
      <c r="E677" s="62"/>
      <c r="F677" s="63"/>
      <c r="G677" s="64"/>
    </row>
    <row r="678" spans="4:7" ht="14.25" customHeight="1">
      <c r="D678" s="61"/>
      <c r="E678" s="62"/>
      <c r="F678" s="63"/>
      <c r="G678" s="64"/>
    </row>
    <row r="679" spans="4:7" ht="14.25" customHeight="1">
      <c r="D679" s="61"/>
      <c r="E679" s="62"/>
      <c r="F679" s="63"/>
      <c r="G679" s="64"/>
    </row>
    <row r="680" spans="4:7" ht="14.25" customHeight="1">
      <c r="D680" s="61"/>
      <c r="E680" s="62"/>
      <c r="F680" s="63"/>
      <c r="G680" s="64"/>
    </row>
    <row r="681" spans="4:7" ht="14.25" customHeight="1">
      <c r="D681" s="61"/>
      <c r="E681" s="62"/>
      <c r="F681" s="63"/>
      <c r="G681" s="64"/>
    </row>
    <row r="682" spans="4:7" ht="14.25" customHeight="1">
      <c r="D682" s="61"/>
      <c r="E682" s="62"/>
      <c r="F682" s="63"/>
      <c r="G682" s="64"/>
    </row>
    <row r="683" spans="4:7" ht="14.25" customHeight="1">
      <c r="D683" s="61"/>
      <c r="E683" s="62"/>
      <c r="F683" s="63"/>
      <c r="G683" s="64"/>
    </row>
    <row r="684" spans="4:7" ht="14.25" customHeight="1">
      <c r="D684" s="61"/>
      <c r="E684" s="62"/>
      <c r="F684" s="63"/>
      <c r="G684" s="64"/>
    </row>
    <row r="685" spans="4:7" ht="14.25" customHeight="1">
      <c r="D685" s="61"/>
      <c r="E685" s="62"/>
      <c r="F685" s="63"/>
      <c r="G685" s="64"/>
    </row>
    <row r="686" spans="4:7" ht="14.25" customHeight="1">
      <c r="D686" s="61"/>
      <c r="E686" s="62"/>
      <c r="F686" s="63"/>
      <c r="G686" s="64"/>
    </row>
    <row r="687" spans="4:7" ht="14.25" customHeight="1">
      <c r="D687" s="61"/>
      <c r="E687" s="62"/>
      <c r="F687" s="63"/>
      <c r="G687" s="64"/>
    </row>
    <row r="688" spans="4:7" ht="14.25" customHeight="1">
      <c r="D688" s="61"/>
      <c r="E688" s="62"/>
      <c r="F688" s="63"/>
      <c r="G688" s="64"/>
    </row>
    <row r="689" spans="4:7" ht="14.25" customHeight="1">
      <c r="D689" s="61"/>
      <c r="E689" s="62"/>
      <c r="F689" s="63"/>
      <c r="G689" s="64"/>
    </row>
    <row r="690" spans="4:7" ht="14.25" customHeight="1">
      <c r="D690" s="61"/>
      <c r="E690" s="62"/>
      <c r="F690" s="63"/>
      <c r="G690" s="64"/>
    </row>
    <row r="691" spans="4:7" ht="14.25" customHeight="1">
      <c r="D691" s="61"/>
      <c r="E691" s="62"/>
      <c r="F691" s="63"/>
      <c r="G691" s="64"/>
    </row>
    <row r="692" spans="4:7" ht="14.25" customHeight="1">
      <c r="D692" s="61"/>
      <c r="E692" s="62"/>
      <c r="F692" s="63"/>
      <c r="G692" s="64"/>
    </row>
    <row r="693" spans="4:7" ht="14.25" customHeight="1">
      <c r="D693" s="61"/>
      <c r="E693" s="62"/>
      <c r="F693" s="63"/>
      <c r="G693" s="64"/>
    </row>
    <row r="694" spans="4:7" ht="14.25" customHeight="1">
      <c r="D694" s="61"/>
      <c r="E694" s="62"/>
      <c r="F694" s="63"/>
      <c r="G694" s="64"/>
    </row>
    <row r="695" spans="4:7" ht="14.25" customHeight="1">
      <c r="D695" s="61"/>
      <c r="E695" s="62"/>
      <c r="F695" s="63"/>
      <c r="G695" s="64"/>
    </row>
    <row r="696" spans="4:7" ht="14.25" customHeight="1">
      <c r="D696" s="61"/>
      <c r="E696" s="62"/>
      <c r="F696" s="63"/>
      <c r="G696" s="64"/>
    </row>
    <row r="697" spans="4:7" ht="14.25" customHeight="1">
      <c r="D697" s="61"/>
      <c r="E697" s="62"/>
      <c r="F697" s="63"/>
      <c r="G697" s="64"/>
    </row>
    <row r="698" spans="4:7" ht="14.25" customHeight="1">
      <c r="D698" s="61"/>
      <c r="E698" s="62"/>
      <c r="F698" s="63"/>
      <c r="G698" s="64"/>
    </row>
    <row r="699" spans="4:7" ht="14.25" customHeight="1">
      <c r="D699" s="61"/>
      <c r="E699" s="62"/>
      <c r="F699" s="63"/>
      <c r="G699" s="64"/>
    </row>
    <row r="700" spans="4:7" ht="14.25" customHeight="1">
      <c r="D700" s="61"/>
      <c r="E700" s="62"/>
      <c r="F700" s="63"/>
      <c r="G700" s="64"/>
    </row>
    <row r="701" spans="4:7" ht="14.25" customHeight="1">
      <c r="D701" s="61"/>
      <c r="E701" s="62"/>
      <c r="F701" s="63"/>
      <c r="G701" s="64"/>
    </row>
    <row r="702" spans="4:7" ht="14.25" customHeight="1">
      <c r="D702" s="61"/>
      <c r="E702" s="62"/>
      <c r="F702" s="63"/>
      <c r="G702" s="64"/>
    </row>
    <row r="703" spans="4:7" ht="14.25" customHeight="1">
      <c r="D703" s="61"/>
      <c r="E703" s="62"/>
      <c r="F703" s="63"/>
      <c r="G703" s="64"/>
    </row>
    <row r="704" spans="4:7" ht="14.25" customHeight="1">
      <c r="D704" s="61"/>
      <c r="E704" s="62"/>
      <c r="F704" s="63"/>
      <c r="G704" s="64"/>
    </row>
    <row r="705" spans="4:7" ht="14.25" customHeight="1">
      <c r="D705" s="61"/>
      <c r="E705" s="62"/>
      <c r="F705" s="63"/>
      <c r="G705" s="64"/>
    </row>
    <row r="706" spans="4:7" ht="14.25" customHeight="1">
      <c r="D706" s="61"/>
      <c r="E706" s="62"/>
      <c r="F706" s="63"/>
      <c r="G706" s="64"/>
    </row>
    <row r="707" spans="4:7" ht="14.25" customHeight="1">
      <c r="D707" s="61"/>
      <c r="E707" s="62"/>
      <c r="F707" s="63"/>
      <c r="G707" s="64"/>
    </row>
    <row r="708" spans="4:7" ht="14.25" customHeight="1">
      <c r="D708" s="61"/>
      <c r="E708" s="62"/>
      <c r="F708" s="63"/>
      <c r="G708" s="64"/>
    </row>
    <row r="709" spans="4:7" ht="14.25" customHeight="1">
      <c r="D709" s="61"/>
      <c r="E709" s="62"/>
      <c r="F709" s="63"/>
      <c r="G709" s="64"/>
    </row>
    <row r="710" spans="4:7" ht="14.25" customHeight="1">
      <c r="D710" s="61"/>
      <c r="E710" s="62"/>
      <c r="F710" s="63"/>
      <c r="G710" s="64"/>
    </row>
    <row r="711" spans="4:7" ht="14.25" customHeight="1">
      <c r="D711" s="61"/>
      <c r="E711" s="62"/>
      <c r="F711" s="63"/>
      <c r="G711" s="64"/>
    </row>
    <row r="712" spans="4:7" ht="14.25" customHeight="1">
      <c r="D712" s="61"/>
      <c r="E712" s="62"/>
      <c r="F712" s="63"/>
      <c r="G712" s="64"/>
    </row>
    <row r="713" spans="4:7" ht="14.25" customHeight="1">
      <c r="D713" s="61"/>
      <c r="E713" s="62"/>
      <c r="F713" s="63"/>
      <c r="G713" s="64"/>
    </row>
    <row r="714" spans="4:7" ht="14.25" customHeight="1">
      <c r="D714" s="61"/>
      <c r="E714" s="62"/>
      <c r="F714" s="63"/>
      <c r="G714" s="64"/>
    </row>
    <row r="715" spans="4:7" ht="14.25" customHeight="1">
      <c r="D715" s="61"/>
      <c r="E715" s="62"/>
      <c r="F715" s="63"/>
      <c r="G715" s="64"/>
    </row>
    <row r="716" spans="4:7" ht="14.25" customHeight="1">
      <c r="D716" s="61"/>
      <c r="E716" s="62"/>
      <c r="F716" s="63"/>
      <c r="G716" s="64"/>
    </row>
    <row r="717" spans="4:7" ht="14.25" customHeight="1">
      <c r="D717" s="61"/>
      <c r="E717" s="62"/>
      <c r="F717" s="63"/>
      <c r="G717" s="64"/>
    </row>
    <row r="718" spans="4:7" ht="14.25" customHeight="1">
      <c r="D718" s="61"/>
      <c r="E718" s="62"/>
      <c r="F718" s="63"/>
      <c r="G718" s="64"/>
    </row>
    <row r="719" spans="4:7" ht="14.25" customHeight="1">
      <c r="D719" s="61"/>
      <c r="E719" s="62"/>
      <c r="F719" s="63"/>
      <c r="G719" s="64"/>
    </row>
    <row r="720" spans="4:7" ht="14.25" customHeight="1">
      <c r="D720" s="61"/>
      <c r="E720" s="62"/>
      <c r="F720" s="63"/>
      <c r="G720" s="64"/>
    </row>
    <row r="721" spans="4:7" ht="14.25" customHeight="1">
      <c r="D721" s="61"/>
      <c r="E721" s="62"/>
      <c r="F721" s="63"/>
      <c r="G721" s="64"/>
    </row>
    <row r="722" spans="4:7" ht="14.25" customHeight="1">
      <c r="D722" s="61"/>
      <c r="E722" s="62"/>
      <c r="F722" s="63"/>
      <c r="G722" s="64"/>
    </row>
    <row r="723" spans="4:7" ht="14.25" customHeight="1">
      <c r="D723" s="61"/>
      <c r="E723" s="62"/>
      <c r="F723" s="63"/>
      <c r="G723" s="64"/>
    </row>
    <row r="724" spans="4:7" ht="14.25" customHeight="1">
      <c r="D724" s="61"/>
      <c r="E724" s="62"/>
      <c r="F724" s="63"/>
      <c r="G724" s="64"/>
    </row>
    <row r="725" spans="4:7" ht="14.25" customHeight="1">
      <c r="D725" s="61"/>
      <c r="E725" s="62"/>
      <c r="F725" s="63"/>
      <c r="G725" s="64"/>
    </row>
    <row r="726" spans="4:7" ht="14.25" customHeight="1">
      <c r="D726" s="61"/>
      <c r="E726" s="62"/>
      <c r="F726" s="63"/>
      <c r="G726" s="64"/>
    </row>
    <row r="727" spans="4:7" ht="14.25" customHeight="1">
      <c r="D727" s="61"/>
      <c r="E727" s="62"/>
      <c r="F727" s="63"/>
      <c r="G727" s="64"/>
    </row>
    <row r="728" spans="4:7" ht="14.25" customHeight="1">
      <c r="D728" s="61"/>
      <c r="E728" s="62"/>
      <c r="F728" s="63"/>
      <c r="G728" s="64"/>
    </row>
    <row r="729" spans="4:7" ht="14.25" customHeight="1">
      <c r="D729" s="61"/>
      <c r="E729" s="62"/>
      <c r="F729" s="63"/>
      <c r="G729" s="64"/>
    </row>
    <row r="730" spans="4:7" ht="14.25" customHeight="1">
      <c r="D730" s="61"/>
      <c r="E730" s="62"/>
      <c r="F730" s="63"/>
      <c r="G730" s="64"/>
    </row>
    <row r="731" spans="4:7" ht="14.25" customHeight="1">
      <c r="D731" s="61"/>
      <c r="E731" s="62"/>
      <c r="F731" s="63"/>
      <c r="G731" s="64"/>
    </row>
    <row r="732" spans="4:7" ht="14.25" customHeight="1">
      <c r="D732" s="61"/>
      <c r="E732" s="62"/>
      <c r="F732" s="63"/>
      <c r="G732" s="64"/>
    </row>
    <row r="733" spans="4:7" ht="14.25" customHeight="1">
      <c r="D733" s="61"/>
      <c r="E733" s="62"/>
      <c r="F733" s="63"/>
      <c r="G733" s="64"/>
    </row>
    <row r="734" spans="4:7" ht="14.25" customHeight="1">
      <c r="D734" s="61"/>
      <c r="E734" s="62"/>
      <c r="F734" s="63"/>
      <c r="G734" s="64"/>
    </row>
    <row r="735" spans="4:7" ht="14.25" customHeight="1">
      <c r="D735" s="61"/>
      <c r="E735" s="62"/>
      <c r="F735" s="63"/>
      <c r="G735" s="64"/>
    </row>
    <row r="736" spans="4:7" ht="14.25" customHeight="1">
      <c r="D736" s="61"/>
      <c r="E736" s="62"/>
      <c r="F736" s="63"/>
      <c r="G736" s="64"/>
    </row>
    <row r="737" spans="4:7" ht="14.25" customHeight="1">
      <c r="D737" s="61"/>
      <c r="E737" s="62"/>
      <c r="F737" s="63"/>
      <c r="G737" s="64"/>
    </row>
    <row r="738" spans="4:7" ht="14.25" customHeight="1">
      <c r="D738" s="61"/>
      <c r="E738" s="62"/>
      <c r="F738" s="63"/>
      <c r="G738" s="64"/>
    </row>
    <row r="739" spans="4:7" ht="14.25" customHeight="1">
      <c r="D739" s="61"/>
      <c r="E739" s="62"/>
      <c r="F739" s="63"/>
      <c r="G739" s="64"/>
    </row>
    <row r="740" spans="4:7" ht="14.25" customHeight="1">
      <c r="D740" s="61"/>
      <c r="E740" s="62"/>
      <c r="F740" s="63"/>
      <c r="G740" s="64"/>
    </row>
    <row r="741" spans="4:7" ht="14.25" customHeight="1">
      <c r="D741" s="61"/>
      <c r="E741" s="62"/>
      <c r="F741" s="63"/>
      <c r="G741" s="64"/>
    </row>
    <row r="742" spans="4:7" ht="14.25" customHeight="1">
      <c r="D742" s="61"/>
      <c r="E742" s="62"/>
      <c r="F742" s="63"/>
      <c r="G742" s="64"/>
    </row>
    <row r="743" spans="4:7" ht="14.25" customHeight="1">
      <c r="D743" s="61"/>
      <c r="E743" s="62"/>
      <c r="F743" s="63"/>
      <c r="G743" s="64"/>
    </row>
    <row r="744" spans="4:7" ht="14.25" customHeight="1">
      <c r="D744" s="61"/>
      <c r="E744" s="62"/>
      <c r="F744" s="63"/>
      <c r="G744" s="64"/>
    </row>
    <row r="745" spans="4:7" ht="14.25" customHeight="1">
      <c r="D745" s="61"/>
      <c r="E745" s="62"/>
      <c r="F745" s="63"/>
      <c r="G745" s="64"/>
    </row>
    <row r="746" spans="4:7" ht="14.25" customHeight="1">
      <c r="D746" s="61"/>
      <c r="E746" s="62"/>
      <c r="F746" s="63"/>
      <c r="G746" s="64"/>
    </row>
    <row r="747" spans="4:7" ht="14.25" customHeight="1">
      <c r="D747" s="61"/>
      <c r="E747" s="62"/>
      <c r="F747" s="63"/>
      <c r="G747" s="64"/>
    </row>
    <row r="748" spans="4:7" ht="14.25" customHeight="1">
      <c r="D748" s="61"/>
      <c r="E748" s="62"/>
      <c r="F748" s="63"/>
      <c r="G748" s="64"/>
    </row>
    <row r="749" spans="4:7" ht="14.25" customHeight="1">
      <c r="D749" s="61"/>
      <c r="E749" s="62"/>
      <c r="F749" s="63"/>
      <c r="G749" s="64"/>
    </row>
    <row r="750" spans="4:7" ht="14.25" customHeight="1">
      <c r="D750" s="61"/>
      <c r="E750" s="62"/>
      <c r="F750" s="63"/>
      <c r="G750" s="64"/>
    </row>
    <row r="751" spans="4:7" ht="14.25" customHeight="1">
      <c r="D751" s="61"/>
      <c r="E751" s="62"/>
      <c r="F751" s="63"/>
      <c r="G751" s="64"/>
    </row>
    <row r="752" spans="4:7" ht="14.25" customHeight="1">
      <c r="D752" s="61"/>
      <c r="E752" s="62"/>
      <c r="F752" s="63"/>
      <c r="G752" s="64"/>
    </row>
    <row r="753" spans="4:7" ht="14.25" customHeight="1">
      <c r="D753" s="61"/>
      <c r="E753" s="62"/>
      <c r="F753" s="63"/>
      <c r="G753" s="64"/>
    </row>
    <row r="754" spans="4:7" ht="14.25" customHeight="1">
      <c r="D754" s="61"/>
      <c r="E754" s="62"/>
      <c r="F754" s="63"/>
      <c r="G754" s="64"/>
    </row>
    <row r="755" spans="4:7" ht="14.25" customHeight="1">
      <c r="D755" s="61"/>
      <c r="E755" s="62"/>
      <c r="F755" s="63"/>
      <c r="G755" s="64"/>
    </row>
    <row r="756" spans="4:7" ht="14.25" customHeight="1">
      <c r="D756" s="61"/>
      <c r="E756" s="62"/>
      <c r="F756" s="63"/>
      <c r="G756" s="64"/>
    </row>
    <row r="757" spans="4:7" ht="14.25" customHeight="1">
      <c r="D757" s="61"/>
      <c r="E757" s="62"/>
      <c r="F757" s="63"/>
      <c r="G757" s="64"/>
    </row>
    <row r="758" spans="4:7" ht="14.25" customHeight="1">
      <c r="D758" s="61"/>
      <c r="E758" s="62"/>
      <c r="F758" s="63"/>
      <c r="G758" s="64"/>
    </row>
    <row r="759" spans="4:7" ht="14.25" customHeight="1">
      <c r="D759" s="61"/>
      <c r="E759" s="62"/>
      <c r="F759" s="63"/>
      <c r="G759" s="64"/>
    </row>
    <row r="760" spans="4:7" ht="14.25" customHeight="1">
      <c r="D760" s="61"/>
      <c r="E760" s="62"/>
      <c r="F760" s="63"/>
      <c r="G760" s="64"/>
    </row>
    <row r="761" spans="4:7" ht="14.25" customHeight="1">
      <c r="D761" s="61"/>
      <c r="E761" s="62"/>
      <c r="F761" s="63"/>
      <c r="G761" s="64"/>
    </row>
    <row r="762" spans="4:7" ht="14.25" customHeight="1">
      <c r="D762" s="61"/>
      <c r="E762" s="62"/>
      <c r="F762" s="63"/>
      <c r="G762" s="64"/>
    </row>
    <row r="763" spans="4:7" ht="14.25" customHeight="1">
      <c r="D763" s="61"/>
      <c r="E763" s="62"/>
      <c r="F763" s="63"/>
      <c r="G763" s="64"/>
    </row>
    <row r="764" spans="4:7" ht="14.25" customHeight="1">
      <c r="D764" s="61"/>
      <c r="E764" s="62"/>
      <c r="F764" s="63"/>
      <c r="G764" s="64"/>
    </row>
    <row r="765" spans="4:7" ht="14.25" customHeight="1">
      <c r="D765" s="61"/>
      <c r="E765" s="62"/>
      <c r="F765" s="63"/>
      <c r="G765" s="64"/>
    </row>
    <row r="766" spans="4:7" ht="14.25" customHeight="1">
      <c r="D766" s="61"/>
      <c r="E766" s="62"/>
      <c r="F766" s="63"/>
      <c r="G766" s="64"/>
    </row>
    <row r="767" spans="4:7" ht="14.25" customHeight="1">
      <c r="D767" s="61"/>
      <c r="E767" s="62"/>
      <c r="F767" s="63"/>
      <c r="G767" s="64"/>
    </row>
    <row r="768" spans="4:7" ht="14.25" customHeight="1">
      <c r="D768" s="61"/>
      <c r="E768" s="62"/>
      <c r="F768" s="63"/>
      <c r="G768" s="64"/>
    </row>
    <row r="769" spans="4:7" ht="14.25" customHeight="1">
      <c r="D769" s="61"/>
      <c r="E769" s="62"/>
      <c r="F769" s="63"/>
      <c r="G769" s="64"/>
    </row>
    <row r="770" spans="4:7" ht="14.25" customHeight="1">
      <c r="D770" s="61"/>
      <c r="E770" s="62"/>
      <c r="F770" s="63"/>
      <c r="G770" s="64"/>
    </row>
    <row r="771" spans="4:7" ht="14.25" customHeight="1">
      <c r="D771" s="61"/>
      <c r="E771" s="62"/>
      <c r="F771" s="63"/>
      <c r="G771" s="64"/>
    </row>
    <row r="772" spans="4:7" ht="14.25" customHeight="1">
      <c r="D772" s="61"/>
      <c r="E772" s="62"/>
      <c r="F772" s="63"/>
      <c r="G772" s="64"/>
    </row>
    <row r="773" spans="4:7" ht="14.25" customHeight="1">
      <c r="D773" s="61"/>
      <c r="E773" s="62"/>
      <c r="F773" s="63"/>
      <c r="G773" s="64"/>
    </row>
    <row r="774" spans="4:7" ht="14.25" customHeight="1">
      <c r="D774" s="61"/>
      <c r="E774" s="62"/>
      <c r="F774" s="63"/>
      <c r="G774" s="64"/>
    </row>
    <row r="775" spans="4:7" ht="14.25" customHeight="1">
      <c r="D775" s="61"/>
      <c r="E775" s="62"/>
      <c r="F775" s="63"/>
      <c r="G775" s="64"/>
    </row>
    <row r="776" spans="4:7" ht="14.25" customHeight="1">
      <c r="D776" s="61"/>
      <c r="E776" s="62"/>
      <c r="F776" s="63"/>
      <c r="G776" s="64"/>
    </row>
    <row r="777" spans="4:7" ht="14.25" customHeight="1">
      <c r="D777" s="61"/>
      <c r="E777" s="62"/>
      <c r="F777" s="63"/>
      <c r="G777" s="64"/>
    </row>
    <row r="778" spans="4:7" ht="14.25" customHeight="1">
      <c r="D778" s="61"/>
      <c r="E778" s="62"/>
      <c r="F778" s="63"/>
      <c r="G778" s="64"/>
    </row>
    <row r="779" spans="4:7" ht="14.25" customHeight="1">
      <c r="D779" s="61"/>
      <c r="E779" s="62"/>
      <c r="F779" s="63"/>
      <c r="G779" s="64"/>
    </row>
    <row r="780" spans="4:7" ht="14.25" customHeight="1">
      <c r="D780" s="61"/>
      <c r="E780" s="62"/>
      <c r="F780" s="63"/>
      <c r="G780" s="64"/>
    </row>
    <row r="781" spans="4:7" ht="14.25" customHeight="1">
      <c r="D781" s="61"/>
      <c r="E781" s="62"/>
      <c r="F781" s="63"/>
      <c r="G781" s="64"/>
    </row>
    <row r="782" spans="4:7" ht="14.25" customHeight="1">
      <c r="D782" s="61"/>
      <c r="E782" s="62"/>
      <c r="F782" s="63"/>
      <c r="G782" s="64"/>
    </row>
    <row r="783" spans="4:7" ht="14.25" customHeight="1">
      <c r="D783" s="61"/>
      <c r="E783" s="62"/>
      <c r="F783" s="63"/>
      <c r="G783" s="64"/>
    </row>
    <row r="784" spans="4:7" ht="14.25" customHeight="1">
      <c r="D784" s="61"/>
      <c r="E784" s="62"/>
      <c r="F784" s="63"/>
      <c r="G784" s="64"/>
    </row>
    <row r="785" spans="4:7" ht="14.25" customHeight="1">
      <c r="D785" s="61"/>
      <c r="E785" s="62"/>
      <c r="F785" s="63"/>
      <c r="G785" s="64"/>
    </row>
    <row r="786" spans="4:7" ht="14.25" customHeight="1">
      <c r="D786" s="61"/>
      <c r="E786" s="62"/>
      <c r="F786" s="63"/>
      <c r="G786" s="64"/>
    </row>
    <row r="787" spans="4:7" ht="14.25" customHeight="1">
      <c r="D787" s="61"/>
      <c r="E787" s="62"/>
      <c r="F787" s="63"/>
      <c r="G787" s="64"/>
    </row>
    <row r="788" spans="4:7" ht="14.25" customHeight="1">
      <c r="D788" s="61"/>
      <c r="E788" s="62"/>
      <c r="F788" s="63"/>
      <c r="G788" s="64"/>
    </row>
    <row r="789" spans="4:7" ht="14.25" customHeight="1">
      <c r="D789" s="61"/>
      <c r="E789" s="62"/>
      <c r="F789" s="63"/>
      <c r="G789" s="64"/>
    </row>
    <row r="790" spans="4:7" ht="14.25" customHeight="1">
      <c r="D790" s="61"/>
      <c r="E790" s="62"/>
      <c r="F790" s="63"/>
      <c r="G790" s="64"/>
    </row>
    <row r="791" spans="4:7" ht="14.25" customHeight="1">
      <c r="D791" s="61"/>
      <c r="E791" s="62"/>
      <c r="F791" s="63"/>
      <c r="G791" s="64"/>
    </row>
    <row r="792" spans="4:7" ht="14.25" customHeight="1">
      <c r="D792" s="61"/>
      <c r="E792" s="62"/>
      <c r="F792" s="63"/>
      <c r="G792" s="64"/>
    </row>
    <row r="793" spans="4:7" ht="14.25" customHeight="1">
      <c r="D793" s="61"/>
      <c r="E793" s="62"/>
      <c r="F793" s="63"/>
      <c r="G793" s="64"/>
    </row>
    <row r="794" spans="4:7" ht="14.25" customHeight="1">
      <c r="D794" s="61"/>
      <c r="E794" s="62"/>
      <c r="F794" s="63"/>
      <c r="G794" s="64"/>
    </row>
    <row r="795" spans="4:7" ht="14.25" customHeight="1">
      <c r="D795" s="61"/>
      <c r="E795" s="62"/>
      <c r="F795" s="63"/>
      <c r="G795" s="64"/>
    </row>
    <row r="796" spans="4:7" ht="14.25" customHeight="1">
      <c r="D796" s="61"/>
      <c r="E796" s="62"/>
      <c r="F796" s="63"/>
      <c r="G796" s="64"/>
    </row>
    <row r="797" spans="4:7" ht="14.25" customHeight="1">
      <c r="D797" s="61"/>
      <c r="E797" s="62"/>
      <c r="F797" s="63"/>
      <c r="G797" s="64"/>
    </row>
    <row r="798" spans="4:7" ht="14.25" customHeight="1">
      <c r="D798" s="61"/>
      <c r="E798" s="62"/>
      <c r="F798" s="63"/>
      <c r="G798" s="64"/>
    </row>
    <row r="799" spans="4:7" ht="14.25" customHeight="1">
      <c r="D799" s="61"/>
      <c r="E799" s="62"/>
      <c r="F799" s="63"/>
      <c r="G799" s="64"/>
    </row>
    <row r="800" spans="4:7" ht="14.25" customHeight="1">
      <c r="D800" s="61"/>
      <c r="E800" s="62"/>
      <c r="F800" s="63"/>
      <c r="G800" s="64"/>
    </row>
    <row r="801" spans="4:7" ht="14.25" customHeight="1">
      <c r="D801" s="61"/>
      <c r="E801" s="62"/>
      <c r="F801" s="63"/>
      <c r="G801" s="64"/>
    </row>
    <row r="802" spans="4:7" ht="14.25" customHeight="1">
      <c r="D802" s="61"/>
      <c r="E802" s="62"/>
      <c r="F802" s="63"/>
      <c r="G802" s="64"/>
    </row>
    <row r="803" spans="4:7" ht="14.25" customHeight="1">
      <c r="D803" s="61"/>
      <c r="E803" s="62"/>
      <c r="F803" s="63"/>
      <c r="G803" s="64"/>
    </row>
    <row r="804" spans="4:7" ht="14.25" customHeight="1">
      <c r="D804" s="61"/>
      <c r="E804" s="62"/>
      <c r="F804" s="63"/>
      <c r="G804" s="64"/>
    </row>
    <row r="805" spans="4:7" ht="14.25" customHeight="1">
      <c r="D805" s="61"/>
      <c r="E805" s="62"/>
      <c r="F805" s="63"/>
      <c r="G805" s="64"/>
    </row>
    <row r="806" spans="4:7" ht="14.25" customHeight="1">
      <c r="D806" s="61"/>
      <c r="E806" s="62"/>
      <c r="F806" s="63"/>
      <c r="G806" s="64"/>
    </row>
    <row r="807" spans="4:7" ht="14.25" customHeight="1">
      <c r="D807" s="61"/>
      <c r="E807" s="62"/>
      <c r="F807" s="63"/>
      <c r="G807" s="64"/>
    </row>
    <row r="808" spans="4:7" ht="14.25" customHeight="1">
      <c r="D808" s="61"/>
      <c r="E808" s="62"/>
      <c r="F808" s="63"/>
      <c r="G808" s="64"/>
    </row>
    <row r="809" spans="4:7" ht="14.25" customHeight="1">
      <c r="D809" s="61"/>
      <c r="E809" s="62"/>
      <c r="F809" s="63"/>
      <c r="G809" s="64"/>
    </row>
    <row r="810" spans="4:7" ht="14.25" customHeight="1">
      <c r="D810" s="61"/>
      <c r="E810" s="62"/>
      <c r="F810" s="63"/>
      <c r="G810" s="64"/>
    </row>
    <row r="811" spans="4:7" ht="14.25" customHeight="1">
      <c r="D811" s="61"/>
      <c r="E811" s="62"/>
      <c r="F811" s="63"/>
      <c r="G811" s="64"/>
    </row>
    <row r="812" spans="4:7" ht="14.25" customHeight="1">
      <c r="D812" s="61"/>
      <c r="E812" s="62"/>
      <c r="F812" s="63"/>
      <c r="G812" s="64"/>
    </row>
    <row r="813" spans="4:7" ht="14.25" customHeight="1">
      <c r="D813" s="61"/>
      <c r="E813" s="62"/>
      <c r="F813" s="63"/>
      <c r="G813" s="64"/>
    </row>
    <row r="814" spans="4:7" ht="14.25" customHeight="1">
      <c r="D814" s="61"/>
      <c r="E814" s="62"/>
      <c r="F814" s="63"/>
      <c r="G814" s="64"/>
    </row>
    <row r="815" spans="4:7" ht="14.25" customHeight="1">
      <c r="D815" s="61"/>
      <c r="E815" s="62"/>
      <c r="F815" s="63"/>
      <c r="G815" s="64"/>
    </row>
    <row r="816" spans="4:7" ht="14.25" customHeight="1">
      <c r="D816" s="61"/>
      <c r="E816" s="62"/>
      <c r="F816" s="63"/>
      <c r="G816" s="64"/>
    </row>
    <row r="817" spans="4:7" ht="14.25" customHeight="1">
      <c r="D817" s="61"/>
      <c r="E817" s="62"/>
      <c r="F817" s="63"/>
      <c r="G817" s="64"/>
    </row>
    <row r="818" spans="4:7" ht="14.25" customHeight="1">
      <c r="D818" s="61"/>
      <c r="E818" s="62"/>
      <c r="F818" s="63"/>
      <c r="G818" s="64"/>
    </row>
    <row r="819" spans="4:7" ht="14.25" customHeight="1">
      <c r="D819" s="61"/>
      <c r="E819" s="62"/>
      <c r="F819" s="63"/>
      <c r="G819" s="64"/>
    </row>
    <row r="820" spans="4:7" ht="14.25" customHeight="1">
      <c r="D820" s="61"/>
      <c r="E820" s="62"/>
      <c r="F820" s="63"/>
      <c r="G820" s="64"/>
    </row>
    <row r="821" spans="4:7" ht="14.25" customHeight="1">
      <c r="D821" s="61"/>
      <c r="E821" s="62"/>
      <c r="F821" s="63"/>
      <c r="G821" s="64"/>
    </row>
    <row r="822" spans="4:7" ht="14.25" customHeight="1">
      <c r="D822" s="61"/>
      <c r="E822" s="62"/>
      <c r="F822" s="63"/>
      <c r="G822" s="64"/>
    </row>
    <row r="823" spans="4:7" ht="14.25" customHeight="1">
      <c r="D823" s="61"/>
      <c r="E823" s="62"/>
      <c r="F823" s="63"/>
      <c r="G823" s="64"/>
    </row>
    <row r="824" spans="4:7" ht="14.25" customHeight="1">
      <c r="D824" s="61"/>
      <c r="E824" s="62"/>
      <c r="F824" s="63"/>
      <c r="G824" s="64"/>
    </row>
    <row r="825" spans="4:7" ht="14.25" customHeight="1">
      <c r="D825" s="61"/>
      <c r="E825" s="62"/>
      <c r="F825" s="63"/>
      <c r="G825" s="64"/>
    </row>
    <row r="826" spans="4:7" ht="14.25" customHeight="1">
      <c r="D826" s="61"/>
      <c r="E826" s="62"/>
      <c r="F826" s="63"/>
      <c r="G826" s="64"/>
    </row>
    <row r="827" spans="4:7" ht="14.25" customHeight="1">
      <c r="D827" s="61"/>
      <c r="E827" s="62"/>
      <c r="F827" s="63"/>
      <c r="G827" s="64"/>
    </row>
    <row r="828" spans="4:7" ht="14.25" customHeight="1">
      <c r="D828" s="61"/>
      <c r="E828" s="62"/>
      <c r="F828" s="63"/>
      <c r="G828" s="64"/>
    </row>
    <row r="829" spans="4:7" ht="14.25" customHeight="1">
      <c r="D829" s="61"/>
      <c r="E829" s="62"/>
      <c r="F829" s="63"/>
      <c r="G829" s="64"/>
    </row>
    <row r="830" spans="4:7" ht="14.25" customHeight="1">
      <c r="D830" s="61"/>
      <c r="E830" s="62"/>
      <c r="F830" s="63"/>
      <c r="G830" s="64"/>
    </row>
    <row r="831" spans="4:7" ht="14.25" customHeight="1">
      <c r="D831" s="61"/>
      <c r="E831" s="62"/>
      <c r="F831" s="63"/>
      <c r="G831" s="64"/>
    </row>
    <row r="832" spans="4:7" ht="14.25" customHeight="1">
      <c r="D832" s="61"/>
      <c r="E832" s="62"/>
      <c r="F832" s="63"/>
      <c r="G832" s="64"/>
    </row>
    <row r="833" spans="4:7" ht="14.25" customHeight="1">
      <c r="D833" s="61"/>
      <c r="E833" s="62"/>
      <c r="F833" s="63"/>
      <c r="G833" s="64"/>
    </row>
    <row r="834" spans="4:7" ht="14.25" customHeight="1">
      <c r="D834" s="61"/>
      <c r="E834" s="62"/>
      <c r="F834" s="63"/>
      <c r="G834" s="64"/>
    </row>
    <row r="835" spans="4:7" ht="14.25" customHeight="1">
      <c r="D835" s="61"/>
      <c r="E835" s="62"/>
      <c r="F835" s="63"/>
      <c r="G835" s="64"/>
    </row>
    <row r="836" spans="4:7" ht="14.25" customHeight="1">
      <c r="D836" s="61"/>
      <c r="E836" s="62"/>
      <c r="F836" s="63"/>
      <c r="G836" s="64"/>
    </row>
    <row r="837" spans="4:7" ht="14.25" customHeight="1">
      <c r="D837" s="61"/>
      <c r="E837" s="62"/>
      <c r="F837" s="63"/>
      <c r="G837" s="64"/>
    </row>
    <row r="838" spans="4:7" ht="14.25" customHeight="1">
      <c r="D838" s="61"/>
      <c r="E838" s="62"/>
      <c r="F838" s="63"/>
      <c r="G838" s="64"/>
    </row>
    <row r="839" spans="4:7" ht="14.25" customHeight="1">
      <c r="D839" s="61"/>
      <c r="E839" s="62"/>
      <c r="F839" s="63"/>
      <c r="G839" s="64"/>
    </row>
    <row r="840" spans="4:7" ht="14.25" customHeight="1">
      <c r="D840" s="61"/>
      <c r="E840" s="62"/>
      <c r="F840" s="63"/>
      <c r="G840" s="64"/>
    </row>
    <row r="841" spans="4:7" ht="14.25" customHeight="1">
      <c r="D841" s="61"/>
      <c r="E841" s="62"/>
      <c r="F841" s="63"/>
      <c r="G841" s="64"/>
    </row>
    <row r="842" spans="4:7" ht="14.25" customHeight="1">
      <c r="D842" s="61"/>
      <c r="E842" s="62"/>
      <c r="F842" s="63"/>
      <c r="G842" s="64"/>
    </row>
    <row r="843" spans="4:7" ht="14.25" customHeight="1">
      <c r="D843" s="61"/>
      <c r="E843" s="62"/>
      <c r="F843" s="63"/>
      <c r="G843" s="64"/>
    </row>
    <row r="844" spans="4:7" ht="14.25" customHeight="1">
      <c r="D844" s="61"/>
      <c r="E844" s="62"/>
      <c r="F844" s="63"/>
      <c r="G844" s="64"/>
    </row>
    <row r="845" spans="4:7" ht="14.25" customHeight="1">
      <c r="D845" s="61"/>
      <c r="E845" s="62"/>
      <c r="F845" s="63"/>
      <c r="G845" s="64"/>
    </row>
    <row r="846" spans="4:7" ht="14.25" customHeight="1">
      <c r="D846" s="61"/>
      <c r="E846" s="62"/>
      <c r="F846" s="63"/>
      <c r="G846" s="64"/>
    </row>
    <row r="847" spans="4:7" ht="14.25" customHeight="1">
      <c r="D847" s="61"/>
      <c r="E847" s="62"/>
      <c r="F847" s="63"/>
      <c r="G847" s="64"/>
    </row>
    <row r="848" spans="4:7" ht="14.25" customHeight="1">
      <c r="D848" s="61"/>
      <c r="E848" s="62"/>
      <c r="F848" s="63"/>
      <c r="G848" s="64"/>
    </row>
    <row r="849" spans="4:7" ht="14.25" customHeight="1">
      <c r="D849" s="61"/>
      <c r="E849" s="62"/>
      <c r="F849" s="63"/>
      <c r="G849" s="64"/>
    </row>
    <row r="850" spans="4:7" ht="14.25" customHeight="1">
      <c r="D850" s="61"/>
      <c r="E850" s="62"/>
      <c r="F850" s="63"/>
      <c r="G850" s="64"/>
    </row>
    <row r="851" spans="4:7" ht="14.25" customHeight="1">
      <c r="D851" s="61"/>
      <c r="E851" s="62"/>
      <c r="F851" s="63"/>
      <c r="G851" s="64"/>
    </row>
    <row r="852" spans="4:7" ht="14.25" customHeight="1">
      <c r="D852" s="61"/>
      <c r="E852" s="62"/>
      <c r="F852" s="63"/>
      <c r="G852" s="64"/>
    </row>
    <row r="853" spans="4:7" ht="14.25" customHeight="1">
      <c r="D853" s="61"/>
      <c r="E853" s="62"/>
      <c r="F853" s="63"/>
      <c r="G853" s="64"/>
    </row>
    <row r="854" spans="4:7" ht="14.25" customHeight="1">
      <c r="D854" s="61"/>
      <c r="E854" s="62"/>
      <c r="F854" s="63"/>
      <c r="G854" s="64"/>
    </row>
    <row r="855" spans="4:7" ht="14.25" customHeight="1">
      <c r="D855" s="61"/>
      <c r="E855" s="62"/>
      <c r="F855" s="63"/>
      <c r="G855" s="64"/>
    </row>
    <row r="856" spans="4:7" ht="14.25" customHeight="1">
      <c r="D856" s="61"/>
      <c r="E856" s="62"/>
      <c r="F856" s="63"/>
      <c r="G856" s="64"/>
    </row>
    <row r="857" spans="4:7" ht="14.25" customHeight="1">
      <c r="D857" s="61"/>
      <c r="E857" s="62"/>
      <c r="F857" s="63"/>
      <c r="G857" s="64"/>
    </row>
    <row r="858" spans="4:7" ht="14.25" customHeight="1">
      <c r="D858" s="61"/>
      <c r="E858" s="62"/>
      <c r="F858" s="63"/>
      <c r="G858" s="64"/>
    </row>
    <row r="859" spans="4:7" ht="14.25" customHeight="1">
      <c r="D859" s="61"/>
      <c r="E859" s="62"/>
      <c r="F859" s="63"/>
      <c r="G859" s="64"/>
    </row>
    <row r="860" spans="4:7" ht="14.25" customHeight="1">
      <c r="D860" s="61"/>
      <c r="E860" s="62"/>
      <c r="F860" s="63"/>
      <c r="G860" s="64"/>
    </row>
    <row r="861" spans="4:7" ht="14.25" customHeight="1">
      <c r="D861" s="61"/>
      <c r="E861" s="62"/>
      <c r="F861" s="63"/>
      <c r="G861" s="64"/>
    </row>
    <row r="862" spans="4:7" ht="14.25" customHeight="1">
      <c r="D862" s="61"/>
      <c r="E862" s="62"/>
      <c r="F862" s="63"/>
      <c r="G862" s="64"/>
    </row>
    <row r="863" spans="4:7" ht="14.25" customHeight="1">
      <c r="D863" s="61"/>
      <c r="E863" s="62"/>
      <c r="F863" s="63"/>
      <c r="G863" s="64"/>
    </row>
    <row r="864" spans="4:7" ht="14.25" customHeight="1">
      <c r="D864" s="61"/>
      <c r="E864" s="62"/>
      <c r="F864" s="63"/>
      <c r="G864" s="64"/>
    </row>
    <row r="865" spans="4:7" ht="14.25" customHeight="1">
      <c r="D865" s="61"/>
      <c r="E865" s="62"/>
      <c r="F865" s="63"/>
      <c r="G865" s="64"/>
    </row>
    <row r="866" spans="4:7" ht="14.25" customHeight="1">
      <c r="D866" s="61"/>
      <c r="E866" s="62"/>
      <c r="F866" s="63"/>
      <c r="G866" s="64"/>
    </row>
    <row r="867" spans="4:7" ht="14.25" customHeight="1">
      <c r="D867" s="61"/>
      <c r="E867" s="62"/>
      <c r="F867" s="63"/>
      <c r="G867" s="64"/>
    </row>
    <row r="868" spans="4:7" ht="14.25" customHeight="1">
      <c r="D868" s="61"/>
      <c r="E868" s="62"/>
      <c r="F868" s="63"/>
      <c r="G868" s="64"/>
    </row>
    <row r="869" spans="4:7" ht="14.25" customHeight="1">
      <c r="D869" s="61"/>
      <c r="E869" s="62"/>
      <c r="F869" s="63"/>
      <c r="G869" s="64"/>
    </row>
    <row r="870" spans="4:7" ht="14.25" customHeight="1">
      <c r="D870" s="61"/>
      <c r="E870" s="62"/>
      <c r="F870" s="63"/>
      <c r="G870" s="64"/>
    </row>
    <row r="871" spans="4:7" ht="14.25" customHeight="1">
      <c r="D871" s="61"/>
      <c r="E871" s="62"/>
      <c r="F871" s="63"/>
      <c r="G871" s="64"/>
    </row>
    <row r="872" spans="4:7" ht="14.25" customHeight="1">
      <c r="D872" s="61"/>
      <c r="E872" s="62"/>
      <c r="F872" s="63"/>
      <c r="G872" s="64"/>
    </row>
    <row r="873" spans="4:7" ht="14.25" customHeight="1">
      <c r="D873" s="61"/>
      <c r="E873" s="62"/>
      <c r="F873" s="63"/>
      <c r="G873" s="64"/>
    </row>
    <row r="874" spans="4:7" ht="14.25" customHeight="1">
      <c r="D874" s="61"/>
      <c r="E874" s="62"/>
      <c r="F874" s="63"/>
      <c r="G874" s="64"/>
    </row>
    <row r="875" spans="4:7" ht="14.25" customHeight="1">
      <c r="D875" s="61"/>
      <c r="E875" s="62"/>
      <c r="F875" s="63"/>
      <c r="G875" s="64"/>
    </row>
    <row r="876" spans="4:7" ht="14.25" customHeight="1">
      <c r="D876" s="61"/>
      <c r="E876" s="62"/>
      <c r="F876" s="63"/>
      <c r="G876" s="64"/>
    </row>
    <row r="877" spans="4:7" ht="14.25" customHeight="1">
      <c r="D877" s="61"/>
      <c r="E877" s="62"/>
      <c r="F877" s="63"/>
      <c r="G877" s="64"/>
    </row>
    <row r="878" spans="4:7" ht="14.25" customHeight="1">
      <c r="D878" s="61"/>
      <c r="E878" s="62"/>
      <c r="F878" s="63"/>
      <c r="G878" s="64"/>
    </row>
    <row r="879" spans="4:7" ht="14.25" customHeight="1">
      <c r="D879" s="61"/>
      <c r="E879" s="62"/>
      <c r="F879" s="63"/>
      <c r="G879" s="64"/>
    </row>
    <row r="880" spans="4:7" ht="14.25" customHeight="1">
      <c r="D880" s="61"/>
      <c r="E880" s="62"/>
      <c r="F880" s="63"/>
      <c r="G880" s="64"/>
    </row>
    <row r="881" spans="4:7" ht="14.25" customHeight="1">
      <c r="D881" s="61"/>
      <c r="E881" s="62"/>
      <c r="F881" s="63"/>
      <c r="G881" s="64"/>
    </row>
    <row r="882" spans="4:7" ht="14.25" customHeight="1">
      <c r="D882" s="61"/>
      <c r="E882" s="62"/>
      <c r="F882" s="63"/>
      <c r="G882" s="64"/>
    </row>
    <row r="883" spans="4:7" ht="14.25" customHeight="1">
      <c r="D883" s="61"/>
      <c r="E883" s="62"/>
      <c r="F883" s="63"/>
      <c r="G883" s="64"/>
    </row>
    <row r="884" spans="4:7" ht="14.25" customHeight="1">
      <c r="D884" s="61"/>
      <c r="E884" s="62"/>
      <c r="F884" s="63"/>
      <c r="G884" s="64"/>
    </row>
    <row r="885" spans="4:7" ht="14.25" customHeight="1">
      <c r="D885" s="61"/>
      <c r="E885" s="62"/>
      <c r="F885" s="63"/>
      <c r="G885" s="64"/>
    </row>
    <row r="886" spans="4:7" ht="14.25" customHeight="1">
      <c r="D886" s="61"/>
      <c r="E886" s="62"/>
      <c r="F886" s="63"/>
      <c r="G886" s="64"/>
    </row>
    <row r="887" spans="4:7" ht="14.25" customHeight="1">
      <c r="D887" s="61"/>
      <c r="E887" s="62"/>
      <c r="F887" s="63"/>
      <c r="G887" s="64"/>
    </row>
    <row r="888" spans="4:7" ht="14.25" customHeight="1">
      <c r="D888" s="61"/>
      <c r="E888" s="62"/>
      <c r="F888" s="63"/>
      <c r="G888" s="64"/>
    </row>
    <row r="889" spans="4:7" ht="14.25" customHeight="1">
      <c r="D889" s="61"/>
      <c r="E889" s="62"/>
      <c r="F889" s="63"/>
      <c r="G889" s="64"/>
    </row>
    <row r="890" spans="4:7" ht="14.25" customHeight="1">
      <c r="D890" s="61"/>
      <c r="E890" s="62"/>
      <c r="F890" s="63"/>
      <c r="G890" s="64"/>
    </row>
    <row r="891" spans="4:7" ht="14.25" customHeight="1">
      <c r="D891" s="61"/>
      <c r="E891" s="62"/>
      <c r="F891" s="63"/>
      <c r="G891" s="64"/>
    </row>
    <row r="892" spans="4:7" ht="14.25" customHeight="1">
      <c r="D892" s="61"/>
      <c r="E892" s="62"/>
      <c r="F892" s="63"/>
      <c r="G892" s="64"/>
    </row>
    <row r="893" spans="4:7" ht="14.25" customHeight="1">
      <c r="D893" s="61"/>
      <c r="E893" s="62"/>
      <c r="F893" s="63"/>
      <c r="G893" s="64"/>
    </row>
    <row r="894" spans="4:7" ht="14.25" customHeight="1">
      <c r="D894" s="61"/>
      <c r="E894" s="62"/>
      <c r="F894" s="63"/>
      <c r="G894" s="64"/>
    </row>
    <row r="895" spans="4:7" ht="14.25" customHeight="1">
      <c r="D895" s="61"/>
      <c r="E895" s="62"/>
      <c r="F895" s="63"/>
      <c r="G895" s="64"/>
    </row>
    <row r="896" spans="4:7" ht="14.25" customHeight="1">
      <c r="D896" s="61"/>
      <c r="E896" s="62"/>
      <c r="F896" s="63"/>
      <c r="G896" s="64"/>
    </row>
    <row r="897" spans="4:7" ht="14.25" customHeight="1">
      <c r="D897" s="61"/>
      <c r="E897" s="62"/>
      <c r="F897" s="63"/>
      <c r="G897" s="64"/>
    </row>
    <row r="898" spans="4:7" ht="14.25" customHeight="1">
      <c r="D898" s="61"/>
      <c r="E898" s="62"/>
      <c r="F898" s="63"/>
      <c r="G898" s="64"/>
    </row>
    <row r="899" spans="4:7" ht="14.25" customHeight="1">
      <c r="D899" s="61"/>
      <c r="E899" s="62"/>
      <c r="F899" s="63"/>
      <c r="G899" s="64"/>
    </row>
    <row r="900" spans="4:7" ht="14.25" customHeight="1">
      <c r="D900" s="61"/>
      <c r="E900" s="62"/>
      <c r="F900" s="63"/>
      <c r="G900" s="64"/>
    </row>
    <row r="901" spans="4:7" ht="14.25" customHeight="1">
      <c r="D901" s="61"/>
      <c r="E901" s="62"/>
      <c r="F901" s="63"/>
      <c r="G901" s="64"/>
    </row>
    <row r="902" spans="4:7" ht="14.25" customHeight="1">
      <c r="D902" s="61"/>
      <c r="E902" s="62"/>
      <c r="F902" s="63"/>
      <c r="G902" s="64"/>
    </row>
    <row r="903" spans="4:7" ht="14.25" customHeight="1">
      <c r="D903" s="61"/>
      <c r="E903" s="62"/>
      <c r="F903" s="63"/>
      <c r="G903" s="64"/>
    </row>
    <row r="904" spans="4:7" ht="14.25" customHeight="1">
      <c r="D904" s="61"/>
      <c r="E904" s="62"/>
      <c r="F904" s="63"/>
      <c r="G904" s="64"/>
    </row>
    <row r="905" spans="4:7" ht="14.25" customHeight="1">
      <c r="D905" s="61"/>
      <c r="E905" s="62"/>
      <c r="F905" s="63"/>
      <c r="G905" s="64"/>
    </row>
    <row r="906" spans="4:7" ht="14.25" customHeight="1">
      <c r="D906" s="61"/>
      <c r="E906" s="62"/>
      <c r="F906" s="63"/>
      <c r="G906" s="64"/>
    </row>
    <row r="907" spans="4:7" ht="14.25" customHeight="1">
      <c r="D907" s="61"/>
      <c r="E907" s="62"/>
      <c r="F907" s="63"/>
      <c r="G907" s="64"/>
    </row>
    <row r="908" spans="4:7" ht="14.25" customHeight="1">
      <c r="D908" s="61"/>
      <c r="E908" s="62"/>
      <c r="F908" s="63"/>
      <c r="G908" s="64"/>
    </row>
    <row r="909" spans="4:7" ht="14.25" customHeight="1">
      <c r="D909" s="61"/>
      <c r="E909" s="62"/>
      <c r="F909" s="63"/>
      <c r="G909" s="64"/>
    </row>
    <row r="910" spans="4:7" ht="14.25" customHeight="1">
      <c r="D910" s="61"/>
      <c r="E910" s="62"/>
      <c r="F910" s="63"/>
      <c r="G910" s="64"/>
    </row>
    <row r="911" spans="4:7" ht="14.25" customHeight="1">
      <c r="D911" s="61"/>
      <c r="E911" s="62"/>
      <c r="F911" s="63"/>
      <c r="G911" s="64"/>
    </row>
    <row r="912" spans="4:7" ht="14.25" customHeight="1">
      <c r="D912" s="61"/>
      <c r="E912" s="62"/>
      <c r="F912" s="63"/>
      <c r="G912" s="64"/>
    </row>
    <row r="913" spans="4:7" ht="14.25" customHeight="1">
      <c r="D913" s="61"/>
      <c r="E913" s="62"/>
      <c r="F913" s="63"/>
      <c r="G913" s="64"/>
    </row>
    <row r="914" spans="4:7" ht="14.25" customHeight="1">
      <c r="D914" s="61"/>
      <c r="E914" s="62"/>
      <c r="F914" s="63"/>
      <c r="G914" s="64"/>
    </row>
    <row r="915" spans="4:7" ht="14.25" customHeight="1">
      <c r="D915" s="61"/>
      <c r="E915" s="62"/>
      <c r="F915" s="63"/>
      <c r="G915" s="64"/>
    </row>
    <row r="916" spans="4:7" ht="14.25" customHeight="1">
      <c r="D916" s="61"/>
      <c r="E916" s="62"/>
      <c r="F916" s="63"/>
      <c r="G916" s="64"/>
    </row>
    <row r="917" spans="4:7" ht="14.25" customHeight="1">
      <c r="D917" s="61"/>
      <c r="E917" s="62"/>
      <c r="F917" s="63"/>
      <c r="G917" s="64"/>
    </row>
    <row r="918" spans="4:7" ht="14.25" customHeight="1">
      <c r="D918" s="61"/>
      <c r="E918" s="62"/>
      <c r="F918" s="63"/>
      <c r="G918" s="64"/>
    </row>
    <row r="919" spans="4:7" ht="14.25" customHeight="1">
      <c r="D919" s="61"/>
      <c r="E919" s="62"/>
      <c r="F919" s="63"/>
      <c r="G919" s="64"/>
    </row>
    <row r="920" spans="4:7" ht="14.25" customHeight="1">
      <c r="D920" s="61"/>
      <c r="E920" s="62"/>
      <c r="F920" s="63"/>
      <c r="G920" s="64"/>
    </row>
    <row r="921" spans="4:7" ht="14.25" customHeight="1">
      <c r="D921" s="61"/>
      <c r="E921" s="62"/>
      <c r="F921" s="63"/>
      <c r="G921" s="64"/>
    </row>
    <row r="922" spans="4:7" ht="14.25" customHeight="1">
      <c r="D922" s="61"/>
      <c r="E922" s="62"/>
      <c r="F922" s="63"/>
      <c r="G922" s="64"/>
    </row>
    <row r="923" spans="4:7" ht="14.25" customHeight="1">
      <c r="D923" s="61"/>
      <c r="E923" s="62"/>
      <c r="F923" s="63"/>
      <c r="G923" s="64"/>
    </row>
    <row r="924" spans="4:7" ht="14.25" customHeight="1">
      <c r="D924" s="61"/>
      <c r="E924" s="62"/>
      <c r="F924" s="63"/>
      <c r="G924" s="64"/>
    </row>
    <row r="925" spans="4:7" ht="14.25" customHeight="1">
      <c r="D925" s="61"/>
      <c r="E925" s="62"/>
      <c r="F925" s="63"/>
      <c r="G925" s="64"/>
    </row>
    <row r="926" spans="4:7" ht="14.25" customHeight="1">
      <c r="D926" s="61"/>
      <c r="E926" s="62"/>
      <c r="F926" s="63"/>
      <c r="G926" s="64"/>
    </row>
    <row r="927" spans="4:7" ht="14.25" customHeight="1">
      <c r="D927" s="61"/>
      <c r="E927" s="62"/>
      <c r="F927" s="63"/>
      <c r="G927" s="64"/>
    </row>
    <row r="928" spans="4:7" ht="14.25" customHeight="1">
      <c r="D928" s="61"/>
      <c r="E928" s="62"/>
      <c r="F928" s="63"/>
      <c r="G928" s="64"/>
    </row>
    <row r="929" spans="4:7" ht="14.25" customHeight="1">
      <c r="D929" s="61"/>
      <c r="E929" s="62"/>
      <c r="F929" s="63"/>
      <c r="G929" s="64"/>
    </row>
    <row r="930" spans="4:7" ht="14.25" customHeight="1">
      <c r="D930" s="61"/>
      <c r="E930" s="62"/>
      <c r="F930" s="63"/>
      <c r="G930" s="64"/>
    </row>
    <row r="931" spans="4:7" ht="14.25" customHeight="1">
      <c r="D931" s="61"/>
      <c r="E931" s="62"/>
      <c r="F931" s="63"/>
      <c r="G931" s="64"/>
    </row>
    <row r="932" spans="4:7" ht="14.25" customHeight="1">
      <c r="D932" s="61"/>
      <c r="E932" s="62"/>
      <c r="F932" s="63"/>
      <c r="G932" s="64"/>
    </row>
    <row r="933" spans="4:7" ht="14.25" customHeight="1">
      <c r="D933" s="61"/>
      <c r="E933" s="62"/>
      <c r="F933" s="63"/>
      <c r="G933" s="64"/>
    </row>
    <row r="934" spans="4:7" ht="14.25" customHeight="1">
      <c r="D934" s="61"/>
      <c r="E934" s="62"/>
      <c r="F934" s="63"/>
      <c r="G934" s="64"/>
    </row>
    <row r="935" spans="4:7" ht="14.25" customHeight="1">
      <c r="D935" s="61"/>
      <c r="E935" s="62"/>
      <c r="F935" s="63"/>
      <c r="G935" s="64"/>
    </row>
    <row r="936" spans="4:7" ht="14.25" customHeight="1">
      <c r="D936" s="61"/>
      <c r="E936" s="62"/>
      <c r="F936" s="63"/>
      <c r="G936" s="64"/>
    </row>
    <row r="937" spans="4:7" ht="14.25" customHeight="1">
      <c r="D937" s="61"/>
      <c r="E937" s="62"/>
      <c r="F937" s="63"/>
      <c r="G937" s="64"/>
    </row>
    <row r="938" spans="4:7" ht="14.25" customHeight="1">
      <c r="D938" s="61"/>
      <c r="E938" s="62"/>
      <c r="F938" s="63"/>
      <c r="G938" s="64"/>
    </row>
    <row r="939" spans="4:7" ht="14.25" customHeight="1">
      <c r="D939" s="61"/>
      <c r="E939" s="62"/>
      <c r="F939" s="63"/>
      <c r="G939" s="64"/>
    </row>
    <row r="940" spans="4:7" ht="14.25" customHeight="1">
      <c r="D940" s="61"/>
      <c r="E940" s="62"/>
      <c r="F940" s="63"/>
      <c r="G940" s="64"/>
    </row>
    <row r="941" spans="4:7" ht="14.25" customHeight="1">
      <c r="D941" s="61"/>
      <c r="E941" s="62"/>
      <c r="F941" s="63"/>
      <c r="G941" s="64"/>
    </row>
    <row r="942" spans="4:7" ht="14.25" customHeight="1">
      <c r="D942" s="61"/>
      <c r="E942" s="62"/>
      <c r="F942" s="63"/>
      <c r="G942" s="64"/>
    </row>
    <row r="943" spans="4:7" ht="14.25" customHeight="1">
      <c r="D943" s="61"/>
      <c r="E943" s="62"/>
      <c r="F943" s="63"/>
      <c r="G943" s="64"/>
    </row>
    <row r="944" spans="4:7" ht="14.25" customHeight="1">
      <c r="D944" s="61"/>
      <c r="E944" s="62"/>
      <c r="F944" s="63"/>
      <c r="G944" s="64"/>
    </row>
    <row r="945" spans="4:7" ht="14.25" customHeight="1">
      <c r="D945" s="61"/>
      <c r="E945" s="62"/>
      <c r="F945" s="63"/>
      <c r="G945" s="64"/>
    </row>
    <row r="946" spans="4:7" ht="14.25" customHeight="1">
      <c r="D946" s="61"/>
      <c r="E946" s="62"/>
      <c r="F946" s="63"/>
      <c r="G946" s="64"/>
    </row>
    <row r="947" spans="4:7" ht="14.25" customHeight="1">
      <c r="D947" s="61"/>
      <c r="E947" s="62"/>
      <c r="F947" s="63"/>
      <c r="G947" s="64"/>
    </row>
    <row r="948" spans="4:7" ht="14.25" customHeight="1">
      <c r="D948" s="61"/>
      <c r="E948" s="62"/>
      <c r="F948" s="63"/>
      <c r="G948" s="64"/>
    </row>
    <row r="949" spans="4:7" ht="14.25" customHeight="1">
      <c r="D949" s="61"/>
      <c r="E949" s="62"/>
      <c r="F949" s="63"/>
      <c r="G949" s="64"/>
    </row>
    <row r="950" spans="4:7" ht="14.25" customHeight="1">
      <c r="D950" s="61"/>
      <c r="E950" s="62"/>
      <c r="F950" s="63"/>
      <c r="G950" s="64"/>
    </row>
    <row r="951" spans="4:7" ht="14.25" customHeight="1">
      <c r="D951" s="61"/>
      <c r="E951" s="62"/>
      <c r="F951" s="63"/>
      <c r="G951" s="64"/>
    </row>
    <row r="952" spans="4:7" ht="14.25" customHeight="1">
      <c r="D952" s="61"/>
      <c r="E952" s="62"/>
      <c r="F952" s="63"/>
      <c r="G952" s="64"/>
    </row>
    <row r="953" spans="4:7" ht="14.25" customHeight="1">
      <c r="D953" s="61"/>
      <c r="E953" s="62"/>
      <c r="F953" s="63"/>
      <c r="G953" s="64"/>
    </row>
    <row r="954" spans="4:7" ht="14.25" customHeight="1">
      <c r="D954" s="61"/>
      <c r="E954" s="62"/>
      <c r="F954" s="63"/>
      <c r="G954" s="64"/>
    </row>
    <row r="955" spans="4:7" ht="14.25" customHeight="1">
      <c r="D955" s="61"/>
      <c r="E955" s="62"/>
      <c r="F955" s="63"/>
      <c r="G955" s="64"/>
    </row>
    <row r="956" spans="4:7" ht="14.25" customHeight="1">
      <c r="D956" s="61"/>
      <c r="E956" s="62"/>
      <c r="F956" s="63"/>
      <c r="G956" s="64"/>
    </row>
    <row r="957" spans="4:7" ht="14.25" customHeight="1">
      <c r="D957" s="61"/>
      <c r="E957" s="62"/>
      <c r="F957" s="63"/>
      <c r="G957" s="64"/>
    </row>
    <row r="958" spans="4:7" ht="14.25" customHeight="1">
      <c r="D958" s="61"/>
      <c r="E958" s="62"/>
      <c r="F958" s="63"/>
      <c r="G958" s="64"/>
    </row>
    <row r="959" spans="4:7" ht="14.25" customHeight="1">
      <c r="D959" s="61"/>
      <c r="E959" s="62"/>
      <c r="F959" s="63"/>
      <c r="G959" s="64"/>
    </row>
    <row r="960" spans="4:7" ht="14.25" customHeight="1">
      <c r="D960" s="61"/>
      <c r="E960" s="62"/>
      <c r="F960" s="63"/>
      <c r="G960" s="64"/>
    </row>
    <row r="961" spans="4:7" ht="14.25" customHeight="1">
      <c r="D961" s="61"/>
      <c r="E961" s="62"/>
      <c r="F961" s="63"/>
      <c r="G961" s="64"/>
    </row>
    <row r="962" spans="4:7" ht="14.25" customHeight="1">
      <c r="D962" s="61"/>
      <c r="E962" s="62"/>
      <c r="F962" s="63"/>
      <c r="G962" s="64"/>
    </row>
    <row r="963" spans="4:7" ht="14.25" customHeight="1">
      <c r="D963" s="61"/>
      <c r="E963" s="62"/>
      <c r="F963" s="63"/>
      <c r="G963" s="64"/>
    </row>
    <row r="964" spans="4:7" ht="14.25" customHeight="1">
      <c r="D964" s="61"/>
      <c r="E964" s="62"/>
      <c r="F964" s="63"/>
      <c r="G964" s="64"/>
    </row>
    <row r="965" spans="4:7" ht="14.25" customHeight="1">
      <c r="D965" s="61"/>
      <c r="E965" s="62"/>
      <c r="F965" s="63"/>
      <c r="G965" s="64"/>
    </row>
    <row r="966" spans="4:7" ht="14.25" customHeight="1">
      <c r="D966" s="61"/>
      <c r="E966" s="62"/>
      <c r="F966" s="63"/>
      <c r="G966" s="64"/>
    </row>
    <row r="967" spans="4:7" ht="14.25" customHeight="1">
      <c r="D967" s="61"/>
      <c r="E967" s="62"/>
      <c r="F967" s="63"/>
      <c r="G967" s="64"/>
    </row>
    <row r="968" spans="4:7" ht="14.25" customHeight="1">
      <c r="D968" s="61"/>
      <c r="E968" s="62"/>
      <c r="F968" s="63"/>
      <c r="G968" s="64"/>
    </row>
    <row r="969" spans="4:7" ht="14.25" customHeight="1">
      <c r="D969" s="61"/>
      <c r="E969" s="62"/>
      <c r="F969" s="63"/>
      <c r="G969" s="64"/>
    </row>
    <row r="970" spans="4:7" ht="14.25" customHeight="1">
      <c r="D970" s="61"/>
      <c r="E970" s="62"/>
      <c r="F970" s="63"/>
      <c r="G970" s="64"/>
    </row>
    <row r="971" spans="4:7" ht="14.25" customHeight="1">
      <c r="D971" s="61"/>
      <c r="E971" s="62"/>
      <c r="F971" s="63"/>
      <c r="G971" s="64"/>
    </row>
    <row r="972" spans="4:7" ht="14.25" customHeight="1">
      <c r="D972" s="61"/>
      <c r="E972" s="62"/>
      <c r="F972" s="63"/>
      <c r="G972" s="64"/>
    </row>
    <row r="973" spans="4:7" ht="14.25" customHeight="1">
      <c r="D973" s="61"/>
      <c r="E973" s="62"/>
      <c r="F973" s="63"/>
      <c r="G973" s="64"/>
    </row>
    <row r="974" spans="4:7" ht="14.25" customHeight="1">
      <c r="D974" s="61"/>
      <c r="E974" s="62"/>
      <c r="F974" s="63"/>
      <c r="G974" s="64"/>
    </row>
    <row r="975" spans="4:7" ht="14.25" customHeight="1">
      <c r="D975" s="61"/>
      <c r="E975" s="62"/>
      <c r="F975" s="63"/>
      <c r="G975" s="64"/>
    </row>
    <row r="976" spans="4:7" ht="14.25" customHeight="1">
      <c r="D976" s="61"/>
      <c r="E976" s="62"/>
      <c r="F976" s="63"/>
      <c r="G976" s="64"/>
    </row>
    <row r="977" spans="4:7" ht="14.25" customHeight="1">
      <c r="D977" s="61"/>
      <c r="E977" s="62"/>
      <c r="F977" s="63"/>
      <c r="G977" s="64"/>
    </row>
    <row r="978" spans="4:7" ht="14.25" customHeight="1">
      <c r="D978" s="61"/>
      <c r="E978" s="62"/>
      <c r="F978" s="63"/>
      <c r="G978" s="64"/>
    </row>
    <row r="979" spans="4:7" ht="14.25" customHeight="1">
      <c r="D979" s="61"/>
      <c r="E979" s="62"/>
      <c r="F979" s="63"/>
      <c r="G979" s="64"/>
    </row>
    <row r="980" spans="4:7" ht="14.25" customHeight="1">
      <c r="D980" s="61"/>
      <c r="E980" s="62"/>
      <c r="F980" s="63"/>
      <c r="G980" s="64"/>
    </row>
    <row r="981" spans="4:7" ht="14.25" customHeight="1">
      <c r="D981" s="61"/>
      <c r="E981" s="62"/>
      <c r="F981" s="63"/>
      <c r="G981" s="64"/>
    </row>
    <row r="982" spans="4:7" ht="14.25" customHeight="1">
      <c r="D982" s="61"/>
      <c r="E982" s="62"/>
      <c r="F982" s="63"/>
      <c r="G982" s="64"/>
    </row>
    <row r="983" spans="4:7" ht="14.25" customHeight="1">
      <c r="D983" s="61"/>
      <c r="E983" s="62"/>
      <c r="F983" s="63"/>
      <c r="G983" s="64"/>
    </row>
    <row r="984" spans="4:7" ht="14.25" customHeight="1">
      <c r="D984" s="61"/>
      <c r="E984" s="62"/>
      <c r="F984" s="63"/>
      <c r="G984" s="64"/>
    </row>
    <row r="985" spans="4:7" ht="14.25" customHeight="1">
      <c r="D985" s="61"/>
      <c r="E985" s="62"/>
      <c r="F985" s="63"/>
      <c r="G985" s="64"/>
    </row>
    <row r="986" spans="4:7" ht="14.25" customHeight="1">
      <c r="D986" s="61"/>
      <c r="E986" s="62"/>
      <c r="F986" s="63"/>
      <c r="G986" s="64"/>
    </row>
    <row r="987" spans="4:7" ht="14.25" customHeight="1">
      <c r="D987" s="61"/>
      <c r="E987" s="62"/>
      <c r="F987" s="63"/>
      <c r="G987" s="64"/>
    </row>
    <row r="988" spans="4:7" ht="14.25" customHeight="1">
      <c r="D988" s="61"/>
      <c r="E988" s="62"/>
      <c r="F988" s="63"/>
      <c r="G988" s="64"/>
    </row>
    <row r="989" spans="4:7" ht="14.25" customHeight="1">
      <c r="D989" s="61"/>
      <c r="E989" s="62"/>
      <c r="F989" s="63"/>
      <c r="G989" s="64"/>
    </row>
    <row r="990" spans="4:7" ht="14.25" customHeight="1">
      <c r="D990" s="61"/>
      <c r="E990" s="62"/>
      <c r="F990" s="63"/>
      <c r="G990" s="64"/>
    </row>
    <row r="991" spans="4:7" ht="14.25" customHeight="1">
      <c r="D991" s="61"/>
      <c r="E991" s="62"/>
      <c r="F991" s="63"/>
      <c r="G991" s="64"/>
    </row>
    <row r="992" spans="4:7" ht="14.25" customHeight="1">
      <c r="D992" s="61"/>
      <c r="E992" s="62"/>
      <c r="F992" s="63"/>
      <c r="G992" s="64"/>
    </row>
    <row r="993" spans="4:7" ht="14.25" customHeight="1">
      <c r="D993" s="61"/>
      <c r="E993" s="62"/>
      <c r="F993" s="63"/>
      <c r="G993" s="64"/>
    </row>
    <row r="994" spans="4:7" ht="14.25" customHeight="1">
      <c r="D994" s="61"/>
      <c r="E994" s="62"/>
      <c r="F994" s="63"/>
      <c r="G994" s="64"/>
    </row>
    <row r="995" spans="4:7" ht="14.25" customHeight="1">
      <c r="D995" s="61"/>
      <c r="E995" s="62"/>
      <c r="F995" s="63"/>
      <c r="G995" s="64"/>
    </row>
    <row r="996" spans="4:7" ht="14.25" customHeight="1">
      <c r="D996" s="61"/>
      <c r="E996" s="62"/>
      <c r="F996" s="63"/>
      <c r="G996" s="64"/>
    </row>
    <row r="997" spans="4:7" ht="14.25" customHeight="1">
      <c r="D997" s="61"/>
      <c r="E997" s="62"/>
      <c r="F997" s="63"/>
      <c r="G997" s="64"/>
    </row>
    <row r="998" spans="4:7" ht="14.25" customHeight="1">
      <c r="D998" s="61"/>
      <c r="E998" s="62"/>
      <c r="F998" s="63"/>
      <c r="G998" s="64"/>
    </row>
    <row r="999" spans="4:7" ht="14.25" customHeight="1">
      <c r="D999" s="61"/>
      <c r="E999" s="62"/>
      <c r="F999" s="63"/>
      <c r="G999" s="64"/>
    </row>
    <row r="1000" spans="4:7" ht="14.25" customHeight="1">
      <c r="D1000" s="61"/>
      <c r="E1000" s="62"/>
      <c r="F1000" s="63"/>
      <c r="G1000" s="64"/>
    </row>
    <row r="1001" spans="4:7" ht="14.25" customHeight="1">
      <c r="D1001" s="61"/>
      <c r="E1001" s="62"/>
      <c r="F1001" s="63"/>
      <c r="G1001" s="64"/>
    </row>
    <row r="1002" spans="4:7" ht="14.25" customHeight="1">
      <c r="D1002" s="61"/>
      <c r="E1002" s="62"/>
      <c r="F1002" s="63"/>
      <c r="G1002" s="64"/>
    </row>
    <row r="1003" spans="4:7" ht="14.25" customHeight="1">
      <c r="D1003" s="61"/>
      <c r="E1003" s="62"/>
      <c r="F1003" s="63"/>
      <c r="G1003" s="64"/>
    </row>
    <row r="1004" spans="4:7" ht="14.25" customHeight="1">
      <c r="D1004" s="61"/>
      <c r="E1004" s="62"/>
      <c r="F1004" s="63"/>
      <c r="G1004" s="64"/>
    </row>
    <row r="1005" spans="4:7" ht="14.25" customHeight="1">
      <c r="D1005" s="61"/>
      <c r="E1005" s="62"/>
      <c r="F1005" s="63"/>
      <c r="G1005" s="64"/>
    </row>
    <row r="1006" spans="4:7" ht="14.25" customHeight="1">
      <c r="D1006" s="61"/>
      <c r="E1006" s="62"/>
      <c r="F1006" s="63"/>
      <c r="G1006" s="64"/>
    </row>
    <row r="1007" spans="4:7" ht="14.25" customHeight="1">
      <c r="D1007" s="61"/>
      <c r="E1007" s="62"/>
      <c r="F1007" s="63"/>
      <c r="G1007" s="64"/>
    </row>
    <row r="1008" spans="4:7" ht="14.25" customHeight="1">
      <c r="D1008" s="61"/>
      <c r="E1008" s="62"/>
      <c r="F1008" s="63"/>
      <c r="G1008" s="64"/>
    </row>
    <row r="1009" ht="14.25" customHeight="1"/>
    <row r="1010" ht="14.25" customHeight="1"/>
  </sheetData>
  <mergeCells count="15">
    <mergeCell ref="L42:O42"/>
    <mergeCell ref="K55:N55"/>
    <mergeCell ref="A1:B3"/>
    <mergeCell ref="D1:F1"/>
    <mergeCell ref="G1:J1"/>
    <mergeCell ref="K1:N1"/>
    <mergeCell ref="O1:R1"/>
    <mergeCell ref="D4:R4"/>
    <mergeCell ref="A13:O13"/>
    <mergeCell ref="A22:O22"/>
    <mergeCell ref="A5:A12"/>
    <mergeCell ref="A14:A21"/>
    <mergeCell ref="A23:A31"/>
    <mergeCell ref="D42:G42"/>
    <mergeCell ref="H42:K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011"/>
  <sheetViews>
    <sheetView topLeftCell="A25" workbookViewId="0">
      <selection activeCell="G33" sqref="G33"/>
    </sheetView>
  </sheetViews>
  <sheetFormatPr defaultColWidth="14.42578125" defaultRowHeight="15" customHeight="1"/>
  <cols>
    <col min="1" max="2" width="10.7109375" customWidth="1"/>
    <col min="3" max="3" width="33" customWidth="1"/>
    <col min="4" max="4" width="10.85546875" customWidth="1"/>
    <col min="5" max="5" width="8.42578125" customWidth="1"/>
    <col min="6" max="6" width="8.140625" customWidth="1"/>
    <col min="7" max="7" width="6.7109375" customWidth="1"/>
    <col min="8" max="9" width="9.42578125" customWidth="1"/>
    <col min="10" max="10" width="6.7109375" customWidth="1"/>
    <col min="11" max="13" width="9.42578125" customWidth="1"/>
    <col min="14" max="14" width="6.42578125" customWidth="1"/>
    <col min="15" max="28" width="9.42578125" customWidth="1"/>
  </cols>
  <sheetData>
    <row r="1" spans="1:28" ht="14.25" customHeight="1">
      <c r="A1" s="225"/>
      <c r="B1" s="226"/>
      <c r="C1" s="1" t="s">
        <v>0</v>
      </c>
      <c r="D1" s="231">
        <v>2022</v>
      </c>
      <c r="E1" s="222"/>
      <c r="F1" s="223"/>
      <c r="G1" s="231">
        <v>2023</v>
      </c>
      <c r="H1" s="222"/>
      <c r="I1" s="222"/>
      <c r="J1" s="223"/>
      <c r="K1" s="231">
        <v>2024</v>
      </c>
      <c r="L1" s="222"/>
      <c r="M1" s="222"/>
      <c r="N1" s="223"/>
      <c r="O1" s="236">
        <v>2025</v>
      </c>
      <c r="P1" s="222"/>
      <c r="Q1" s="222"/>
      <c r="R1" s="223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 spans="1:28" ht="14.25" customHeight="1">
      <c r="A2" s="227"/>
      <c r="B2" s="228"/>
      <c r="C2" s="1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2" t="s">
        <v>2</v>
      </c>
      <c r="I2" s="3" t="s">
        <v>3</v>
      </c>
      <c r="J2" s="4" t="s">
        <v>4</v>
      </c>
      <c r="K2" s="5" t="s">
        <v>5</v>
      </c>
      <c r="L2" s="2" t="s">
        <v>2</v>
      </c>
      <c r="M2" s="3" t="s">
        <v>3</v>
      </c>
      <c r="N2" s="4" t="s">
        <v>4</v>
      </c>
      <c r="O2" s="5" t="s">
        <v>5</v>
      </c>
      <c r="P2" s="2" t="s">
        <v>2</v>
      </c>
      <c r="Q2" s="3" t="s">
        <v>3</v>
      </c>
      <c r="R2" s="4" t="s">
        <v>4</v>
      </c>
      <c r="S2" s="80"/>
      <c r="T2" s="80"/>
      <c r="U2" s="80"/>
      <c r="V2" s="80"/>
      <c r="W2" s="80"/>
      <c r="X2" s="80"/>
      <c r="Y2" s="80"/>
      <c r="Z2" s="80"/>
      <c r="AA2" s="80"/>
      <c r="AB2" s="80"/>
    </row>
    <row r="3" spans="1:28" ht="14.25" customHeight="1">
      <c r="A3" s="229"/>
      <c r="B3" s="230"/>
      <c r="C3" s="6" t="s">
        <v>6</v>
      </c>
      <c r="D3" s="7">
        <v>44736</v>
      </c>
      <c r="E3" s="8">
        <v>44776</v>
      </c>
      <c r="F3" s="137" t="s">
        <v>71</v>
      </c>
      <c r="G3" s="71">
        <v>44957</v>
      </c>
      <c r="H3" s="7">
        <v>45097</v>
      </c>
      <c r="I3" s="8">
        <v>45148</v>
      </c>
      <c r="J3" s="73">
        <v>45225</v>
      </c>
      <c r="K3" s="71">
        <v>45334</v>
      </c>
      <c r="L3" s="72">
        <v>45466</v>
      </c>
      <c r="M3" s="8">
        <v>45545</v>
      </c>
      <c r="N3" s="73">
        <v>45621</v>
      </c>
      <c r="O3" s="138">
        <v>45734</v>
      </c>
      <c r="P3" s="138">
        <v>45792</v>
      </c>
      <c r="Q3" s="138">
        <v>45793</v>
      </c>
      <c r="R3" s="138">
        <v>45965</v>
      </c>
      <c r="S3" s="82"/>
      <c r="T3" s="82"/>
      <c r="U3" s="82"/>
      <c r="V3" s="82"/>
      <c r="W3" s="82"/>
      <c r="X3" s="82"/>
      <c r="Y3" s="82"/>
      <c r="Z3" s="82"/>
      <c r="AA3" s="82"/>
      <c r="AB3" s="82"/>
    </row>
    <row r="4" spans="1:28" ht="14.25" customHeight="1">
      <c r="A4" s="14" t="s">
        <v>7</v>
      </c>
      <c r="B4" s="14" t="s">
        <v>8</v>
      </c>
      <c r="C4" s="15" t="s">
        <v>52</v>
      </c>
      <c r="D4" s="23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  <c r="S4" s="83"/>
      <c r="T4" s="83"/>
      <c r="U4" s="83"/>
      <c r="V4" s="83"/>
      <c r="W4" s="83"/>
      <c r="X4" s="83"/>
      <c r="Y4" s="83"/>
      <c r="Z4" s="83"/>
      <c r="AA4" s="83"/>
      <c r="AB4" s="83"/>
    </row>
    <row r="5" spans="1:28" ht="23.25" customHeight="1">
      <c r="A5" s="233" t="s">
        <v>10</v>
      </c>
      <c r="B5" s="16" t="s">
        <v>11</v>
      </c>
      <c r="C5" s="16" t="s">
        <v>12</v>
      </c>
      <c r="D5" s="17">
        <v>0</v>
      </c>
      <c r="E5" s="18">
        <v>0</v>
      </c>
      <c r="F5" s="19"/>
      <c r="G5" s="84">
        <v>0</v>
      </c>
      <c r="H5" s="17">
        <v>0</v>
      </c>
      <c r="I5" s="18">
        <v>0</v>
      </c>
      <c r="J5" s="19">
        <v>0</v>
      </c>
      <c r="K5" s="84">
        <v>0</v>
      </c>
      <c r="L5" s="17">
        <v>0</v>
      </c>
      <c r="M5" s="18">
        <v>0</v>
      </c>
      <c r="N5" s="19">
        <v>1</v>
      </c>
      <c r="O5" s="84">
        <v>0</v>
      </c>
      <c r="P5" s="17">
        <v>0</v>
      </c>
      <c r="Q5" s="18">
        <v>0</v>
      </c>
      <c r="R5" s="19">
        <v>0</v>
      </c>
      <c r="S5" s="87"/>
      <c r="T5" s="87"/>
      <c r="U5" s="87"/>
      <c r="V5" s="87"/>
      <c r="W5" s="87"/>
      <c r="X5" s="87"/>
      <c r="Y5" s="87"/>
      <c r="Z5" s="87"/>
      <c r="AA5" s="87"/>
      <c r="AB5" s="87"/>
    </row>
    <row r="6" spans="1:28" ht="22.5" customHeight="1">
      <c r="A6" s="219"/>
      <c r="B6" s="24" t="s">
        <v>13</v>
      </c>
      <c r="C6" s="24" t="s">
        <v>14</v>
      </c>
      <c r="D6" s="25">
        <v>0</v>
      </c>
      <c r="E6" s="26">
        <v>0</v>
      </c>
      <c r="F6" s="27"/>
      <c r="G6" s="86">
        <v>0</v>
      </c>
      <c r="H6" s="25">
        <v>0</v>
      </c>
      <c r="I6" s="26">
        <v>0</v>
      </c>
      <c r="J6" s="27">
        <v>0</v>
      </c>
      <c r="K6" s="86">
        <v>0</v>
      </c>
      <c r="L6" s="25">
        <v>0</v>
      </c>
      <c r="M6" s="26">
        <v>0</v>
      </c>
      <c r="N6" s="27">
        <v>0</v>
      </c>
      <c r="O6" s="86">
        <v>0</v>
      </c>
      <c r="P6" s="25">
        <v>0</v>
      </c>
      <c r="Q6" s="26">
        <v>1</v>
      </c>
      <c r="R6" s="27">
        <v>3</v>
      </c>
      <c r="S6" s="87"/>
      <c r="T6" s="87"/>
      <c r="U6" s="87"/>
      <c r="V6" s="87"/>
      <c r="W6" s="87"/>
      <c r="X6" s="87"/>
      <c r="Y6" s="87"/>
      <c r="Z6" s="87"/>
      <c r="AA6" s="87"/>
      <c r="AB6" s="87"/>
    </row>
    <row r="7" spans="1:28" ht="22.5" customHeight="1">
      <c r="A7" s="219"/>
      <c r="B7" s="16" t="s">
        <v>15</v>
      </c>
      <c r="C7" s="16" t="s">
        <v>16</v>
      </c>
      <c r="D7" s="17">
        <v>0</v>
      </c>
      <c r="E7" s="18">
        <v>0</v>
      </c>
      <c r="F7" s="19"/>
      <c r="G7" s="84">
        <v>0</v>
      </c>
      <c r="H7" s="17">
        <v>2</v>
      </c>
      <c r="I7" s="18">
        <v>1</v>
      </c>
      <c r="J7" s="19">
        <v>0</v>
      </c>
      <c r="K7" s="84">
        <v>0</v>
      </c>
      <c r="L7" s="17">
        <v>0</v>
      </c>
      <c r="M7" s="18">
        <v>0</v>
      </c>
      <c r="N7" s="19">
        <v>0</v>
      </c>
      <c r="O7" s="84">
        <v>2</v>
      </c>
      <c r="P7" s="17">
        <v>0</v>
      </c>
      <c r="Q7" s="18">
        <v>1</v>
      </c>
      <c r="R7" s="19">
        <v>0</v>
      </c>
      <c r="S7" s="87"/>
      <c r="T7" s="87"/>
      <c r="U7" s="87"/>
      <c r="V7" s="87"/>
      <c r="W7" s="87"/>
      <c r="X7" s="87"/>
      <c r="Y7" s="87"/>
      <c r="Z7" s="87"/>
      <c r="AA7" s="87"/>
      <c r="AB7" s="87"/>
    </row>
    <row r="8" spans="1:28" ht="22.5" customHeight="1">
      <c r="A8" s="219"/>
      <c r="B8" s="24" t="s">
        <v>17</v>
      </c>
      <c r="C8" s="24" t="s">
        <v>18</v>
      </c>
      <c r="D8" s="25">
        <v>0</v>
      </c>
      <c r="E8" s="26">
        <v>0</v>
      </c>
      <c r="F8" s="27"/>
      <c r="G8" s="86">
        <v>0</v>
      </c>
      <c r="H8" s="25">
        <v>0</v>
      </c>
      <c r="I8" s="26">
        <v>0</v>
      </c>
      <c r="J8" s="27">
        <v>0</v>
      </c>
      <c r="K8" s="86">
        <v>1</v>
      </c>
      <c r="L8" s="25">
        <v>0</v>
      </c>
      <c r="M8" s="26">
        <v>0</v>
      </c>
      <c r="N8" s="27">
        <v>3</v>
      </c>
      <c r="O8" s="86">
        <v>0</v>
      </c>
      <c r="P8" s="25">
        <v>0</v>
      </c>
      <c r="Q8" s="26">
        <v>5</v>
      </c>
      <c r="R8" s="27">
        <v>0</v>
      </c>
      <c r="S8" s="87"/>
      <c r="T8" s="87"/>
      <c r="U8" s="87"/>
      <c r="V8" s="87"/>
      <c r="W8" s="87"/>
      <c r="X8" s="87"/>
      <c r="Y8" s="87"/>
      <c r="Z8" s="87"/>
      <c r="AA8" s="87"/>
      <c r="AB8" s="87"/>
    </row>
    <row r="9" spans="1:28" ht="22.5" customHeight="1">
      <c r="A9" s="219"/>
      <c r="B9" s="16" t="s">
        <v>19</v>
      </c>
      <c r="C9" s="16" t="s">
        <v>20</v>
      </c>
      <c r="D9" s="17">
        <v>3</v>
      </c>
      <c r="E9" s="18">
        <v>0</v>
      </c>
      <c r="F9" s="19"/>
      <c r="G9" s="84">
        <v>0</v>
      </c>
      <c r="H9" s="17">
        <v>2</v>
      </c>
      <c r="I9" s="18">
        <v>10</v>
      </c>
      <c r="J9" s="19">
        <v>12</v>
      </c>
      <c r="K9" s="84">
        <v>0</v>
      </c>
      <c r="L9" s="17">
        <v>2</v>
      </c>
      <c r="M9" s="18">
        <v>4</v>
      </c>
      <c r="N9" s="19">
        <v>62</v>
      </c>
      <c r="O9" s="84">
        <v>3</v>
      </c>
      <c r="P9" s="17">
        <v>1</v>
      </c>
      <c r="Q9" s="18">
        <v>3</v>
      </c>
      <c r="R9" s="19">
        <v>23</v>
      </c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 spans="1:28" ht="23.25" customHeight="1">
      <c r="A10" s="219"/>
      <c r="B10" s="24" t="s">
        <v>21</v>
      </c>
      <c r="C10" s="24" t="s">
        <v>22</v>
      </c>
      <c r="D10" s="25">
        <v>2</v>
      </c>
      <c r="E10" s="26">
        <v>4</v>
      </c>
      <c r="F10" s="27"/>
      <c r="G10" s="86">
        <v>15</v>
      </c>
      <c r="H10" s="25">
        <v>27</v>
      </c>
      <c r="I10" s="26">
        <v>7</v>
      </c>
      <c r="J10" s="27">
        <v>17</v>
      </c>
      <c r="K10" s="86">
        <v>6</v>
      </c>
      <c r="L10" s="25">
        <v>3</v>
      </c>
      <c r="M10" s="26">
        <v>9</v>
      </c>
      <c r="N10" s="27">
        <v>50</v>
      </c>
      <c r="O10" s="86">
        <v>6</v>
      </c>
      <c r="P10" s="25">
        <v>2</v>
      </c>
      <c r="Q10" s="26">
        <v>4</v>
      </c>
      <c r="R10" s="27">
        <v>42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</row>
    <row r="11" spans="1:28" ht="24" customHeight="1">
      <c r="A11" s="219"/>
      <c r="B11" s="16" t="s">
        <v>23</v>
      </c>
      <c r="C11" s="16" t="s">
        <v>24</v>
      </c>
      <c r="D11" s="17">
        <v>0</v>
      </c>
      <c r="E11" s="22">
        <v>1</v>
      </c>
      <c r="F11" s="19"/>
      <c r="G11" s="84">
        <v>2</v>
      </c>
      <c r="H11" s="17">
        <v>0</v>
      </c>
      <c r="I11" s="18">
        <v>0</v>
      </c>
      <c r="J11" s="19">
        <v>1</v>
      </c>
      <c r="K11" s="84">
        <v>0</v>
      </c>
      <c r="L11" s="17">
        <v>0</v>
      </c>
      <c r="M11" s="18">
        <v>0</v>
      </c>
      <c r="N11" s="19">
        <v>1</v>
      </c>
      <c r="O11" s="84">
        <v>0</v>
      </c>
      <c r="P11" s="17">
        <v>0</v>
      </c>
      <c r="Q11" s="18">
        <v>1</v>
      </c>
      <c r="R11" s="19">
        <v>4</v>
      </c>
      <c r="S11" s="87"/>
      <c r="T11" s="139"/>
      <c r="U11" s="87"/>
      <c r="V11" s="87"/>
      <c r="W11" s="87"/>
      <c r="X11" s="87"/>
      <c r="Y11" s="87"/>
      <c r="Z11" s="87"/>
      <c r="AA11" s="87"/>
      <c r="AB11" s="87"/>
    </row>
    <row r="12" spans="1:28" ht="24.75" customHeight="1">
      <c r="A12" s="220"/>
      <c r="B12" s="32" t="s">
        <v>25</v>
      </c>
      <c r="C12" s="32" t="s">
        <v>26</v>
      </c>
      <c r="D12" s="25">
        <v>0</v>
      </c>
      <c r="E12" s="26">
        <v>0</v>
      </c>
      <c r="F12" s="27"/>
      <c r="G12" s="86">
        <v>0</v>
      </c>
      <c r="H12" s="25">
        <v>0</v>
      </c>
      <c r="I12" s="26">
        <v>0</v>
      </c>
      <c r="J12" s="27">
        <v>0</v>
      </c>
      <c r="K12" s="86">
        <v>1</v>
      </c>
      <c r="L12" s="25">
        <v>0</v>
      </c>
      <c r="M12" s="26">
        <v>0</v>
      </c>
      <c r="N12" s="27">
        <v>0</v>
      </c>
      <c r="O12" s="86">
        <v>0</v>
      </c>
      <c r="P12" s="25">
        <v>4</v>
      </c>
      <c r="Q12" s="26">
        <v>1</v>
      </c>
      <c r="R12" s="27">
        <v>10</v>
      </c>
      <c r="S12" s="87"/>
      <c r="T12" s="87"/>
      <c r="U12" s="87"/>
      <c r="V12" s="87"/>
      <c r="W12" s="87"/>
      <c r="X12" s="87"/>
      <c r="Y12" s="87"/>
      <c r="Z12" s="87"/>
      <c r="AA12" s="87"/>
      <c r="AB12" s="87"/>
    </row>
    <row r="13" spans="1:28" ht="6" customHeight="1">
      <c r="A13" s="221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3"/>
      <c r="P13" s="240"/>
      <c r="Q13" s="241"/>
      <c r="R13" s="241"/>
      <c r="S13" s="91"/>
      <c r="T13" s="91"/>
      <c r="U13" s="91"/>
      <c r="V13" s="91"/>
      <c r="W13" s="91"/>
      <c r="X13" s="91"/>
      <c r="Y13" s="91"/>
      <c r="Z13" s="91"/>
      <c r="AA13" s="91"/>
      <c r="AB13" s="91"/>
    </row>
    <row r="14" spans="1:28" ht="24.75" customHeight="1">
      <c r="A14" s="218" t="s">
        <v>27</v>
      </c>
      <c r="B14" s="16" t="s">
        <v>11</v>
      </c>
      <c r="C14" s="16" t="s">
        <v>12</v>
      </c>
      <c r="D14" s="17">
        <v>0</v>
      </c>
      <c r="E14" s="34">
        <v>0</v>
      </c>
      <c r="F14" s="19"/>
      <c r="G14" s="84">
        <v>0</v>
      </c>
      <c r="H14" s="17">
        <v>0</v>
      </c>
      <c r="I14" s="18">
        <v>0</v>
      </c>
      <c r="J14" s="19">
        <v>0</v>
      </c>
      <c r="K14" s="84">
        <v>0</v>
      </c>
      <c r="L14" s="17">
        <v>0</v>
      </c>
      <c r="M14" s="18">
        <v>0</v>
      </c>
      <c r="N14" s="19">
        <v>0</v>
      </c>
      <c r="O14" s="84">
        <v>0</v>
      </c>
      <c r="P14" s="17">
        <v>0</v>
      </c>
      <c r="Q14" s="18">
        <v>0</v>
      </c>
      <c r="R14" s="19">
        <v>0</v>
      </c>
      <c r="S14" s="87"/>
      <c r="T14" s="87"/>
      <c r="U14" s="87"/>
      <c r="V14" s="87"/>
      <c r="W14" s="87"/>
      <c r="X14" s="87"/>
      <c r="Y14" s="87"/>
      <c r="Z14" s="87"/>
      <c r="AA14" s="87"/>
      <c r="AB14" s="87"/>
    </row>
    <row r="15" spans="1:28" ht="25.5" customHeight="1">
      <c r="A15" s="219"/>
      <c r="B15" s="24" t="s">
        <v>28</v>
      </c>
      <c r="C15" s="24" t="s">
        <v>29</v>
      </c>
      <c r="D15" s="25">
        <v>1</v>
      </c>
      <c r="E15" s="35">
        <v>0</v>
      </c>
      <c r="F15" s="27"/>
      <c r="G15" s="86">
        <v>43</v>
      </c>
      <c r="H15" s="25">
        <v>19</v>
      </c>
      <c r="I15" s="26">
        <v>12</v>
      </c>
      <c r="J15" s="27">
        <v>96</v>
      </c>
      <c r="K15" s="86">
        <v>0</v>
      </c>
      <c r="L15" s="25">
        <v>4</v>
      </c>
      <c r="M15" s="26">
        <v>2</v>
      </c>
      <c r="N15" s="27">
        <v>30</v>
      </c>
      <c r="O15" s="86">
        <v>3</v>
      </c>
      <c r="P15" s="25">
        <v>2</v>
      </c>
      <c r="Q15" s="26">
        <v>0</v>
      </c>
      <c r="R15" s="27">
        <v>645</v>
      </c>
      <c r="S15" s="87"/>
      <c r="T15" s="87"/>
      <c r="U15" s="87"/>
      <c r="V15" s="140"/>
      <c r="W15" s="87"/>
      <c r="X15" s="87"/>
      <c r="Y15" s="87"/>
      <c r="Z15" s="87"/>
      <c r="AA15" s="87"/>
      <c r="AB15" s="87"/>
    </row>
    <row r="16" spans="1:28" ht="23.25" customHeight="1">
      <c r="A16" s="219"/>
      <c r="B16" s="16" t="s">
        <v>15</v>
      </c>
      <c r="C16" s="16" t="s">
        <v>16</v>
      </c>
      <c r="D16" s="17">
        <v>1</v>
      </c>
      <c r="E16" s="93">
        <v>1</v>
      </c>
      <c r="F16" s="19"/>
      <c r="G16" s="84">
        <v>0</v>
      </c>
      <c r="H16" s="17">
        <v>0</v>
      </c>
      <c r="I16" s="18">
        <v>0</v>
      </c>
      <c r="J16" s="19">
        <v>0</v>
      </c>
      <c r="K16" s="84">
        <v>0</v>
      </c>
      <c r="L16" s="17">
        <v>1</v>
      </c>
      <c r="M16" s="18">
        <v>0</v>
      </c>
      <c r="N16" s="19">
        <v>1</v>
      </c>
      <c r="O16" s="84">
        <v>0</v>
      </c>
      <c r="P16" s="17">
        <v>0</v>
      </c>
      <c r="Q16" s="18">
        <v>0</v>
      </c>
      <c r="R16" s="19">
        <v>0</v>
      </c>
      <c r="S16" s="87"/>
      <c r="T16" s="87"/>
      <c r="U16" s="87"/>
      <c r="V16" s="87"/>
      <c r="W16" s="87"/>
      <c r="X16" s="87"/>
      <c r="Y16" s="87"/>
      <c r="Z16" s="87"/>
      <c r="AA16" s="87"/>
      <c r="AB16" s="87"/>
    </row>
    <row r="17" spans="1:28" ht="25.5" customHeight="1">
      <c r="A17" s="219"/>
      <c r="B17" s="24" t="s">
        <v>17</v>
      </c>
      <c r="C17" s="24" t="s">
        <v>18</v>
      </c>
      <c r="D17" s="25">
        <v>0</v>
      </c>
      <c r="E17" s="35">
        <v>0</v>
      </c>
      <c r="F17" s="27"/>
      <c r="G17" s="86">
        <v>0</v>
      </c>
      <c r="H17" s="25">
        <v>0</v>
      </c>
      <c r="I17" s="26">
        <v>0</v>
      </c>
      <c r="J17" s="27">
        <v>0</v>
      </c>
      <c r="K17" s="86">
        <v>0</v>
      </c>
      <c r="L17" s="25">
        <v>0</v>
      </c>
      <c r="M17" s="26">
        <v>0</v>
      </c>
      <c r="N17" s="27">
        <v>1</v>
      </c>
      <c r="O17" s="86">
        <v>0</v>
      </c>
      <c r="P17" s="25">
        <v>0</v>
      </c>
      <c r="Q17" s="26">
        <v>1</v>
      </c>
      <c r="R17" s="27">
        <v>0</v>
      </c>
      <c r="S17" s="87"/>
      <c r="T17" s="87"/>
      <c r="U17" s="87"/>
      <c r="V17" s="87"/>
      <c r="W17" s="87"/>
      <c r="X17" s="87"/>
      <c r="Y17" s="87"/>
      <c r="Z17" s="87"/>
      <c r="AA17" s="87"/>
      <c r="AB17" s="87"/>
    </row>
    <row r="18" spans="1:28" ht="22.5" customHeight="1">
      <c r="A18" s="219"/>
      <c r="B18" s="16" t="s">
        <v>19</v>
      </c>
      <c r="C18" s="16" t="s">
        <v>20</v>
      </c>
      <c r="D18" s="17">
        <v>24</v>
      </c>
      <c r="E18" s="36">
        <v>0</v>
      </c>
      <c r="F18" s="19"/>
      <c r="G18" s="84">
        <v>1</v>
      </c>
      <c r="H18" s="17">
        <v>3</v>
      </c>
      <c r="I18" s="18">
        <v>6</v>
      </c>
      <c r="J18" s="19">
        <v>13</v>
      </c>
      <c r="K18" s="84">
        <v>0</v>
      </c>
      <c r="L18" s="17">
        <v>2</v>
      </c>
      <c r="M18" s="18">
        <v>13</v>
      </c>
      <c r="N18" s="19">
        <v>26</v>
      </c>
      <c r="O18" s="84">
        <v>4</v>
      </c>
      <c r="P18" s="17">
        <v>0</v>
      </c>
      <c r="Q18" s="18">
        <v>4</v>
      </c>
      <c r="R18" s="19">
        <v>40</v>
      </c>
      <c r="S18" s="87"/>
      <c r="T18" s="87"/>
      <c r="U18" s="87"/>
      <c r="V18" s="79"/>
      <c r="W18" s="79"/>
      <c r="X18" s="79"/>
      <c r="Y18" s="79"/>
      <c r="Z18" s="79"/>
      <c r="AA18" s="79"/>
      <c r="AB18" s="79"/>
    </row>
    <row r="19" spans="1:28" ht="24" customHeight="1">
      <c r="A19" s="219"/>
      <c r="B19" s="24" t="s">
        <v>21</v>
      </c>
      <c r="C19" s="24" t="s">
        <v>22</v>
      </c>
      <c r="D19" s="25">
        <v>0</v>
      </c>
      <c r="E19" s="37">
        <v>3</v>
      </c>
      <c r="F19" s="27"/>
      <c r="G19" s="86">
        <v>11</v>
      </c>
      <c r="H19" s="25">
        <v>22</v>
      </c>
      <c r="I19" s="26">
        <v>22</v>
      </c>
      <c r="J19" s="27">
        <v>24</v>
      </c>
      <c r="K19" s="86">
        <v>7</v>
      </c>
      <c r="L19" s="25">
        <v>6</v>
      </c>
      <c r="M19" s="26">
        <v>26</v>
      </c>
      <c r="N19" s="27">
        <v>73</v>
      </c>
      <c r="O19" s="86">
        <v>3</v>
      </c>
      <c r="P19" s="25">
        <v>0</v>
      </c>
      <c r="Q19" s="26">
        <v>11</v>
      </c>
      <c r="R19" s="27">
        <v>51</v>
      </c>
      <c r="S19" s="87"/>
      <c r="T19" s="87"/>
      <c r="U19" s="87"/>
      <c r="V19" s="80"/>
      <c r="W19" s="80"/>
      <c r="X19" s="80"/>
      <c r="Y19" s="80"/>
      <c r="Z19" s="80"/>
      <c r="AA19" s="80"/>
      <c r="AB19" s="80"/>
    </row>
    <row r="20" spans="1:28" ht="25.5" customHeight="1">
      <c r="A20" s="219"/>
      <c r="B20" s="16" t="s">
        <v>23</v>
      </c>
      <c r="C20" s="16" t="s">
        <v>24</v>
      </c>
      <c r="D20" s="17">
        <v>0</v>
      </c>
      <c r="E20" s="34">
        <v>1</v>
      </c>
      <c r="F20" s="19"/>
      <c r="G20" s="84">
        <v>0</v>
      </c>
      <c r="H20" s="17">
        <v>0</v>
      </c>
      <c r="I20" s="18">
        <v>0</v>
      </c>
      <c r="J20" s="19">
        <v>2</v>
      </c>
      <c r="K20" s="84">
        <v>0</v>
      </c>
      <c r="L20" s="17">
        <v>0</v>
      </c>
      <c r="M20" s="18">
        <v>1</v>
      </c>
      <c r="N20" s="19">
        <v>0</v>
      </c>
      <c r="O20" s="84">
        <v>0</v>
      </c>
      <c r="P20" s="17">
        <v>0</v>
      </c>
      <c r="Q20" s="18">
        <v>0</v>
      </c>
      <c r="R20" s="19">
        <v>0</v>
      </c>
      <c r="S20" s="87"/>
      <c r="T20" s="87"/>
      <c r="U20" s="87"/>
      <c r="V20" s="82"/>
      <c r="W20" s="82"/>
      <c r="X20" s="82"/>
      <c r="Y20" s="82"/>
      <c r="Z20" s="82"/>
      <c r="AA20" s="82"/>
      <c r="AB20" s="82"/>
    </row>
    <row r="21" spans="1:28" ht="25.5" customHeight="1">
      <c r="A21" s="220"/>
      <c r="B21" s="32" t="s">
        <v>25</v>
      </c>
      <c r="C21" s="32" t="s">
        <v>26</v>
      </c>
      <c r="D21" s="25">
        <v>0</v>
      </c>
      <c r="E21" s="35">
        <v>0</v>
      </c>
      <c r="F21" s="27"/>
      <c r="G21" s="86">
        <v>0</v>
      </c>
      <c r="H21" s="25">
        <v>2</v>
      </c>
      <c r="I21" s="26">
        <v>0</v>
      </c>
      <c r="J21" s="27">
        <v>11</v>
      </c>
      <c r="K21" s="86">
        <v>0</v>
      </c>
      <c r="L21" s="25">
        <v>0</v>
      </c>
      <c r="M21" s="26">
        <v>1</v>
      </c>
      <c r="N21" s="27">
        <v>1</v>
      </c>
      <c r="O21" s="86">
        <v>0</v>
      </c>
      <c r="P21" s="25">
        <v>3</v>
      </c>
      <c r="Q21" s="26">
        <v>0</v>
      </c>
      <c r="R21" s="27">
        <v>57</v>
      </c>
      <c r="S21" s="87"/>
      <c r="T21" s="87"/>
      <c r="U21" s="87"/>
      <c r="V21" s="87"/>
      <c r="W21" s="87"/>
      <c r="X21" s="87"/>
      <c r="Y21" s="87"/>
      <c r="Z21" s="87"/>
      <c r="AA21" s="87"/>
      <c r="AB21" s="87"/>
    </row>
    <row r="22" spans="1:28" ht="6" customHeight="1">
      <c r="A22" s="221"/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3"/>
      <c r="S22" s="91"/>
      <c r="T22" s="91"/>
      <c r="U22" s="91"/>
      <c r="V22" s="91"/>
      <c r="W22" s="91"/>
      <c r="X22" s="91"/>
      <c r="Y22" s="91"/>
      <c r="Z22" s="91"/>
      <c r="AA22" s="91"/>
      <c r="AB22" s="91"/>
    </row>
    <row r="23" spans="1:28" ht="22.5" customHeight="1">
      <c r="A23" s="224" t="s">
        <v>30</v>
      </c>
      <c r="B23" s="38" t="s">
        <v>11</v>
      </c>
      <c r="C23" s="38" t="s">
        <v>12</v>
      </c>
      <c r="D23" s="21">
        <f t="shared" ref="D23:R23" si="0">SUM(D5+D14)</f>
        <v>0</v>
      </c>
      <c r="E23" s="22">
        <f t="shared" si="0"/>
        <v>0</v>
      </c>
      <c r="F23" s="39">
        <f t="shared" si="0"/>
        <v>0</v>
      </c>
      <c r="G23" s="40">
        <f t="shared" si="0"/>
        <v>0</v>
      </c>
      <c r="H23" s="21">
        <f t="shared" si="0"/>
        <v>0</v>
      </c>
      <c r="I23" s="22">
        <f t="shared" si="0"/>
        <v>0</v>
      </c>
      <c r="J23" s="39">
        <f t="shared" si="0"/>
        <v>0</v>
      </c>
      <c r="K23" s="40">
        <f t="shared" si="0"/>
        <v>0</v>
      </c>
      <c r="L23" s="21">
        <f t="shared" si="0"/>
        <v>0</v>
      </c>
      <c r="M23" s="22">
        <f t="shared" si="0"/>
        <v>0</v>
      </c>
      <c r="N23" s="39">
        <f t="shared" si="0"/>
        <v>1</v>
      </c>
      <c r="O23" s="40">
        <f t="shared" si="0"/>
        <v>0</v>
      </c>
      <c r="P23" s="21">
        <f t="shared" si="0"/>
        <v>0</v>
      </c>
      <c r="Q23" s="22">
        <f t="shared" si="0"/>
        <v>0</v>
      </c>
      <c r="R23" s="39">
        <f t="shared" si="0"/>
        <v>0</v>
      </c>
      <c r="S23" s="97"/>
      <c r="T23" s="97"/>
      <c r="U23" s="97"/>
      <c r="V23" s="97"/>
      <c r="W23" s="97"/>
      <c r="X23" s="97"/>
      <c r="Y23" s="97"/>
      <c r="Z23" s="97"/>
      <c r="AA23" s="97"/>
      <c r="AB23" s="97"/>
    </row>
    <row r="24" spans="1:28" ht="22.5" customHeight="1">
      <c r="A24" s="219"/>
      <c r="B24" s="24" t="s">
        <v>13</v>
      </c>
      <c r="C24" s="24" t="s">
        <v>14</v>
      </c>
      <c r="D24" s="29">
        <f t="shared" ref="D24:R24" si="1">SUM(D6)</f>
        <v>0</v>
      </c>
      <c r="E24" s="30">
        <f t="shared" si="1"/>
        <v>0</v>
      </c>
      <c r="F24" s="41">
        <f t="shared" si="1"/>
        <v>0</v>
      </c>
      <c r="G24" s="42">
        <f t="shared" si="1"/>
        <v>0</v>
      </c>
      <c r="H24" s="29">
        <f t="shared" si="1"/>
        <v>0</v>
      </c>
      <c r="I24" s="30">
        <f t="shared" si="1"/>
        <v>0</v>
      </c>
      <c r="J24" s="41">
        <f t="shared" si="1"/>
        <v>0</v>
      </c>
      <c r="K24" s="42">
        <f t="shared" si="1"/>
        <v>0</v>
      </c>
      <c r="L24" s="29">
        <f t="shared" si="1"/>
        <v>0</v>
      </c>
      <c r="M24" s="30">
        <f t="shared" si="1"/>
        <v>0</v>
      </c>
      <c r="N24" s="42">
        <f t="shared" si="1"/>
        <v>0</v>
      </c>
      <c r="O24" s="29">
        <f t="shared" si="1"/>
        <v>0</v>
      </c>
      <c r="P24" s="30">
        <f t="shared" si="1"/>
        <v>0</v>
      </c>
      <c r="Q24" s="29">
        <f t="shared" si="1"/>
        <v>1</v>
      </c>
      <c r="R24" s="30">
        <f t="shared" si="1"/>
        <v>3</v>
      </c>
      <c r="S24" s="97"/>
      <c r="T24" s="97"/>
      <c r="U24" s="97"/>
      <c r="V24" s="97"/>
      <c r="W24" s="97"/>
      <c r="X24" s="97"/>
      <c r="Y24" s="97"/>
      <c r="Z24" s="97"/>
      <c r="AA24" s="97"/>
      <c r="AB24" s="97"/>
    </row>
    <row r="25" spans="1:28" ht="25.5" customHeight="1">
      <c r="A25" s="219"/>
      <c r="B25" s="38" t="s">
        <v>28</v>
      </c>
      <c r="C25" s="38" t="s">
        <v>29</v>
      </c>
      <c r="D25" s="17">
        <f t="shared" ref="D25:O25" si="2">SUM(D15)</f>
        <v>1</v>
      </c>
      <c r="E25" s="22">
        <f t="shared" si="2"/>
        <v>0</v>
      </c>
      <c r="F25" s="39">
        <f t="shared" si="2"/>
        <v>0</v>
      </c>
      <c r="G25" s="40">
        <f t="shared" si="2"/>
        <v>43</v>
      </c>
      <c r="H25" s="39">
        <f t="shared" si="2"/>
        <v>19</v>
      </c>
      <c r="I25" s="40">
        <f t="shared" si="2"/>
        <v>12</v>
      </c>
      <c r="J25" s="39">
        <f t="shared" si="2"/>
        <v>96</v>
      </c>
      <c r="K25" s="40">
        <f t="shared" si="2"/>
        <v>0</v>
      </c>
      <c r="L25" s="39">
        <f t="shared" si="2"/>
        <v>4</v>
      </c>
      <c r="M25" s="40">
        <f t="shared" si="2"/>
        <v>2</v>
      </c>
      <c r="N25" s="39">
        <f t="shared" si="2"/>
        <v>30</v>
      </c>
      <c r="O25" s="40">
        <f t="shared" si="2"/>
        <v>3</v>
      </c>
      <c r="P25" s="21">
        <f>P15</f>
        <v>2</v>
      </c>
      <c r="Q25" s="40">
        <f t="shared" ref="Q25:R25" si="3">SUM(Q15)</f>
        <v>0</v>
      </c>
      <c r="R25" s="39">
        <f t="shared" si="3"/>
        <v>645</v>
      </c>
      <c r="S25" s="97"/>
      <c r="T25" s="97"/>
      <c r="U25" s="97"/>
      <c r="V25" s="97"/>
      <c r="W25" s="97"/>
      <c r="X25" s="97"/>
      <c r="Y25" s="97"/>
      <c r="Z25" s="97"/>
      <c r="AA25" s="97"/>
      <c r="AB25" s="97"/>
    </row>
    <row r="26" spans="1:28" ht="24.75" customHeight="1">
      <c r="A26" s="219"/>
      <c r="B26" s="24" t="s">
        <v>15</v>
      </c>
      <c r="C26" s="24" t="s">
        <v>16</v>
      </c>
      <c r="D26" s="29">
        <f t="shared" ref="D26:R26" si="4">SUM(D7+D16)</f>
        <v>1</v>
      </c>
      <c r="E26" s="30">
        <f t="shared" si="4"/>
        <v>1</v>
      </c>
      <c r="F26" s="41">
        <f t="shared" si="4"/>
        <v>0</v>
      </c>
      <c r="G26" s="42">
        <f t="shared" si="4"/>
        <v>0</v>
      </c>
      <c r="H26" s="29">
        <f t="shared" si="4"/>
        <v>2</v>
      </c>
      <c r="I26" s="30">
        <f t="shared" si="4"/>
        <v>1</v>
      </c>
      <c r="J26" s="41">
        <f t="shared" si="4"/>
        <v>0</v>
      </c>
      <c r="K26" s="42">
        <f t="shared" si="4"/>
        <v>0</v>
      </c>
      <c r="L26" s="29">
        <f t="shared" si="4"/>
        <v>1</v>
      </c>
      <c r="M26" s="30">
        <f t="shared" si="4"/>
        <v>0</v>
      </c>
      <c r="N26" s="41">
        <f t="shared" si="4"/>
        <v>1</v>
      </c>
      <c r="O26" s="42">
        <f t="shared" si="4"/>
        <v>2</v>
      </c>
      <c r="P26" s="29">
        <f t="shared" si="4"/>
        <v>0</v>
      </c>
      <c r="Q26" s="30">
        <f t="shared" si="4"/>
        <v>1</v>
      </c>
      <c r="R26" s="41">
        <f t="shared" si="4"/>
        <v>0</v>
      </c>
      <c r="S26" s="97"/>
      <c r="T26" s="97"/>
      <c r="U26" s="97"/>
      <c r="V26" s="97"/>
      <c r="W26" s="97"/>
      <c r="X26" s="97"/>
      <c r="Y26" s="97"/>
      <c r="Z26" s="97"/>
      <c r="AA26" s="97"/>
      <c r="AB26" s="97"/>
    </row>
    <row r="27" spans="1:28" ht="23.25" customHeight="1">
      <c r="A27" s="219"/>
      <c r="B27" s="38" t="s">
        <v>17</v>
      </c>
      <c r="C27" s="38" t="s">
        <v>18</v>
      </c>
      <c r="D27" s="21">
        <f t="shared" ref="D27:R27" si="5">SUM(D8+D17)</f>
        <v>0</v>
      </c>
      <c r="E27" s="22">
        <f t="shared" si="5"/>
        <v>0</v>
      </c>
      <c r="F27" s="39">
        <f t="shared" si="5"/>
        <v>0</v>
      </c>
      <c r="G27" s="40">
        <f t="shared" si="5"/>
        <v>0</v>
      </c>
      <c r="H27" s="21">
        <f t="shared" si="5"/>
        <v>0</v>
      </c>
      <c r="I27" s="22">
        <f t="shared" si="5"/>
        <v>0</v>
      </c>
      <c r="J27" s="39">
        <f t="shared" si="5"/>
        <v>0</v>
      </c>
      <c r="K27" s="40">
        <f t="shared" si="5"/>
        <v>1</v>
      </c>
      <c r="L27" s="21">
        <f t="shared" si="5"/>
        <v>0</v>
      </c>
      <c r="M27" s="22">
        <f t="shared" si="5"/>
        <v>0</v>
      </c>
      <c r="N27" s="39">
        <f t="shared" si="5"/>
        <v>4</v>
      </c>
      <c r="O27" s="40">
        <f t="shared" si="5"/>
        <v>0</v>
      </c>
      <c r="P27" s="21">
        <f t="shared" si="5"/>
        <v>0</v>
      </c>
      <c r="Q27" s="22">
        <f t="shared" si="5"/>
        <v>6</v>
      </c>
      <c r="R27" s="39">
        <f t="shared" si="5"/>
        <v>0</v>
      </c>
      <c r="S27" s="97"/>
      <c r="T27" s="97"/>
      <c r="U27" s="97"/>
      <c r="V27" s="97"/>
      <c r="W27" s="97"/>
      <c r="X27" s="97"/>
      <c r="Y27" s="97"/>
      <c r="Z27" s="97"/>
      <c r="AA27" s="97"/>
      <c r="AB27" s="97"/>
    </row>
    <row r="28" spans="1:28" ht="22.5" customHeight="1">
      <c r="A28" s="219"/>
      <c r="B28" s="24" t="s">
        <v>19</v>
      </c>
      <c r="C28" s="24" t="s">
        <v>20</v>
      </c>
      <c r="D28" s="29">
        <f t="shared" ref="D28:R28" si="6">SUM(D9+D18)</f>
        <v>27</v>
      </c>
      <c r="E28" s="30">
        <f t="shared" si="6"/>
        <v>0</v>
      </c>
      <c r="F28" s="41">
        <f t="shared" si="6"/>
        <v>0</v>
      </c>
      <c r="G28" s="42">
        <f t="shared" si="6"/>
        <v>1</v>
      </c>
      <c r="H28" s="29">
        <f t="shared" si="6"/>
        <v>5</v>
      </c>
      <c r="I28" s="30">
        <f t="shared" si="6"/>
        <v>16</v>
      </c>
      <c r="J28" s="41">
        <f t="shared" si="6"/>
        <v>25</v>
      </c>
      <c r="K28" s="42">
        <f t="shared" si="6"/>
        <v>0</v>
      </c>
      <c r="L28" s="29">
        <f t="shared" si="6"/>
        <v>4</v>
      </c>
      <c r="M28" s="30">
        <f t="shared" si="6"/>
        <v>17</v>
      </c>
      <c r="N28" s="41">
        <f t="shared" si="6"/>
        <v>88</v>
      </c>
      <c r="O28" s="42">
        <f t="shared" si="6"/>
        <v>7</v>
      </c>
      <c r="P28" s="29">
        <f t="shared" si="6"/>
        <v>1</v>
      </c>
      <c r="Q28" s="30">
        <f t="shared" si="6"/>
        <v>7</v>
      </c>
      <c r="R28" s="41">
        <f t="shared" si="6"/>
        <v>63</v>
      </c>
      <c r="S28" s="97"/>
      <c r="T28" s="97"/>
      <c r="U28" s="97"/>
      <c r="V28" s="97"/>
      <c r="W28" s="97"/>
      <c r="X28" s="97"/>
      <c r="Y28" s="97"/>
      <c r="Z28" s="97"/>
      <c r="AA28" s="97"/>
      <c r="AB28" s="97"/>
    </row>
    <row r="29" spans="1:28" ht="24.75" customHeight="1">
      <c r="A29" s="219"/>
      <c r="B29" s="38" t="s">
        <v>21</v>
      </c>
      <c r="C29" s="38" t="s">
        <v>22</v>
      </c>
      <c r="D29" s="21">
        <f t="shared" ref="D29:R29" si="7">SUM(D10+D19)</f>
        <v>2</v>
      </c>
      <c r="E29" s="22">
        <f t="shared" si="7"/>
        <v>7</v>
      </c>
      <c r="F29" s="39">
        <f t="shared" si="7"/>
        <v>0</v>
      </c>
      <c r="G29" s="40">
        <f t="shared" si="7"/>
        <v>26</v>
      </c>
      <c r="H29" s="21">
        <f t="shared" si="7"/>
        <v>49</v>
      </c>
      <c r="I29" s="22">
        <f t="shared" si="7"/>
        <v>29</v>
      </c>
      <c r="J29" s="39">
        <f t="shared" si="7"/>
        <v>41</v>
      </c>
      <c r="K29" s="40">
        <f t="shared" si="7"/>
        <v>13</v>
      </c>
      <c r="L29" s="21">
        <f t="shared" si="7"/>
        <v>9</v>
      </c>
      <c r="M29" s="22">
        <f t="shared" si="7"/>
        <v>35</v>
      </c>
      <c r="N29" s="39">
        <f t="shared" si="7"/>
        <v>123</v>
      </c>
      <c r="O29" s="40">
        <f t="shared" si="7"/>
        <v>9</v>
      </c>
      <c r="P29" s="21">
        <f t="shared" si="7"/>
        <v>2</v>
      </c>
      <c r="Q29" s="22">
        <f t="shared" si="7"/>
        <v>15</v>
      </c>
      <c r="R29" s="39">
        <f t="shared" si="7"/>
        <v>93</v>
      </c>
      <c r="S29" s="97"/>
      <c r="T29" s="97"/>
      <c r="U29" s="97"/>
      <c r="V29" s="97"/>
      <c r="W29" s="97"/>
      <c r="X29" s="97"/>
      <c r="Y29" s="97"/>
      <c r="Z29" s="97"/>
      <c r="AA29" s="97"/>
      <c r="AB29" s="97"/>
    </row>
    <row r="30" spans="1:28" ht="24.75" customHeight="1">
      <c r="A30" s="219"/>
      <c r="B30" s="24" t="s">
        <v>23</v>
      </c>
      <c r="C30" s="24" t="s">
        <v>24</v>
      </c>
      <c r="D30" s="29">
        <f t="shared" ref="D30:R30" si="8">SUM(D11+D20)</f>
        <v>0</v>
      </c>
      <c r="E30" s="30">
        <f t="shared" si="8"/>
        <v>2</v>
      </c>
      <c r="F30" s="41">
        <f t="shared" si="8"/>
        <v>0</v>
      </c>
      <c r="G30" s="42">
        <f t="shared" si="8"/>
        <v>2</v>
      </c>
      <c r="H30" s="29">
        <f t="shared" si="8"/>
        <v>0</v>
      </c>
      <c r="I30" s="30">
        <f t="shared" si="8"/>
        <v>0</v>
      </c>
      <c r="J30" s="41">
        <f t="shared" si="8"/>
        <v>3</v>
      </c>
      <c r="K30" s="42">
        <f t="shared" si="8"/>
        <v>0</v>
      </c>
      <c r="L30" s="29">
        <f t="shared" si="8"/>
        <v>0</v>
      </c>
      <c r="M30" s="30">
        <f t="shared" si="8"/>
        <v>1</v>
      </c>
      <c r="N30" s="41">
        <f t="shared" si="8"/>
        <v>1</v>
      </c>
      <c r="O30" s="42">
        <f t="shared" si="8"/>
        <v>0</v>
      </c>
      <c r="P30" s="29">
        <f t="shared" si="8"/>
        <v>0</v>
      </c>
      <c r="Q30" s="30">
        <f t="shared" si="8"/>
        <v>1</v>
      </c>
      <c r="R30" s="41">
        <f t="shared" si="8"/>
        <v>4</v>
      </c>
      <c r="S30" s="97"/>
      <c r="T30" s="97"/>
      <c r="U30" s="97"/>
      <c r="V30" s="97"/>
      <c r="W30" s="97"/>
      <c r="X30" s="97"/>
      <c r="Y30" s="97"/>
      <c r="Z30" s="97"/>
      <c r="AA30" s="97"/>
      <c r="AB30" s="97"/>
    </row>
    <row r="31" spans="1:28" ht="25.5" customHeight="1">
      <c r="A31" s="220"/>
      <c r="B31" s="43" t="s">
        <v>25</v>
      </c>
      <c r="C31" s="43" t="s">
        <v>26</v>
      </c>
      <c r="D31" s="21">
        <f t="shared" ref="D31:R31" si="9">SUM(D12+D21)</f>
        <v>0</v>
      </c>
      <c r="E31" s="22">
        <f t="shared" si="9"/>
        <v>0</v>
      </c>
      <c r="F31" s="39">
        <f t="shared" si="9"/>
        <v>0</v>
      </c>
      <c r="G31" s="40">
        <f t="shared" si="9"/>
        <v>0</v>
      </c>
      <c r="H31" s="21">
        <f t="shared" si="9"/>
        <v>2</v>
      </c>
      <c r="I31" s="22">
        <f t="shared" si="9"/>
        <v>0</v>
      </c>
      <c r="J31" s="39">
        <f t="shared" si="9"/>
        <v>11</v>
      </c>
      <c r="K31" s="40">
        <f t="shared" si="9"/>
        <v>1</v>
      </c>
      <c r="L31" s="21">
        <f t="shared" si="9"/>
        <v>0</v>
      </c>
      <c r="M31" s="22">
        <f t="shared" si="9"/>
        <v>1</v>
      </c>
      <c r="N31" s="39">
        <f t="shared" si="9"/>
        <v>1</v>
      </c>
      <c r="O31" s="40">
        <f t="shared" si="9"/>
        <v>0</v>
      </c>
      <c r="P31" s="21">
        <f t="shared" si="9"/>
        <v>7</v>
      </c>
      <c r="Q31" s="22">
        <f t="shared" si="9"/>
        <v>1</v>
      </c>
      <c r="R31" s="39">
        <f t="shared" si="9"/>
        <v>67</v>
      </c>
      <c r="S31" s="97"/>
      <c r="T31" s="97"/>
      <c r="U31" s="97"/>
      <c r="V31" s="97"/>
      <c r="W31" s="97"/>
      <c r="X31" s="97"/>
      <c r="Y31" s="97"/>
      <c r="Z31" s="97"/>
      <c r="AA31" s="97"/>
      <c r="AB31" s="97"/>
    </row>
    <row r="32" spans="1:28" ht="21.75" customHeight="1">
      <c r="A32" s="44"/>
      <c r="B32" s="44"/>
      <c r="C32" s="45" t="s">
        <v>30</v>
      </c>
      <c r="D32" s="46">
        <f t="shared" ref="D32:R32" si="10">SUM(D23:D31)</f>
        <v>31</v>
      </c>
      <c r="E32" s="47">
        <f t="shared" si="10"/>
        <v>10</v>
      </c>
      <c r="F32" s="48">
        <f t="shared" si="10"/>
        <v>0</v>
      </c>
      <c r="G32" s="49">
        <f t="shared" si="10"/>
        <v>72</v>
      </c>
      <c r="H32" s="46">
        <f t="shared" si="10"/>
        <v>77</v>
      </c>
      <c r="I32" s="47">
        <f t="shared" si="10"/>
        <v>58</v>
      </c>
      <c r="J32" s="48">
        <f t="shared" si="10"/>
        <v>176</v>
      </c>
      <c r="K32" s="49">
        <f t="shared" si="10"/>
        <v>15</v>
      </c>
      <c r="L32" s="46">
        <f t="shared" si="10"/>
        <v>18</v>
      </c>
      <c r="M32" s="47">
        <f t="shared" si="10"/>
        <v>56</v>
      </c>
      <c r="N32" s="48">
        <f t="shared" si="10"/>
        <v>249</v>
      </c>
      <c r="O32" s="49">
        <f t="shared" si="10"/>
        <v>21</v>
      </c>
      <c r="P32" s="46">
        <f t="shared" si="10"/>
        <v>12</v>
      </c>
      <c r="Q32" s="47">
        <f t="shared" si="10"/>
        <v>32</v>
      </c>
      <c r="R32" s="48">
        <f t="shared" si="10"/>
        <v>875</v>
      </c>
      <c r="S32" s="97"/>
      <c r="T32" s="97"/>
      <c r="U32" s="97"/>
      <c r="V32" s="97"/>
      <c r="W32" s="97"/>
      <c r="X32" s="97"/>
      <c r="Y32" s="97"/>
      <c r="Z32" s="97"/>
      <c r="AA32" s="97"/>
      <c r="AB32" s="97"/>
    </row>
    <row r="33" spans="1:28" ht="24.75" customHeight="1">
      <c r="A33" s="50"/>
      <c r="B33" s="50"/>
      <c r="C33" s="45" t="s">
        <v>31</v>
      </c>
      <c r="D33" s="51">
        <f t="shared" ref="D33:E33" si="11">D32*40</f>
        <v>1240</v>
      </c>
      <c r="E33" s="52">
        <f t="shared" si="11"/>
        <v>400</v>
      </c>
      <c r="F33" s="141"/>
      <c r="G33" s="54">
        <f t="shared" ref="G33:R33" si="12">G32*40</f>
        <v>2880</v>
      </c>
      <c r="H33" s="51">
        <f t="shared" si="12"/>
        <v>3080</v>
      </c>
      <c r="I33" s="52">
        <f t="shared" si="12"/>
        <v>2320</v>
      </c>
      <c r="J33" s="53">
        <f t="shared" si="12"/>
        <v>7040</v>
      </c>
      <c r="K33" s="54">
        <f t="shared" si="12"/>
        <v>600</v>
      </c>
      <c r="L33" s="51">
        <f t="shared" si="12"/>
        <v>720</v>
      </c>
      <c r="M33" s="52">
        <f t="shared" si="12"/>
        <v>2240</v>
      </c>
      <c r="N33" s="53">
        <f t="shared" si="12"/>
        <v>9960</v>
      </c>
      <c r="O33" s="54">
        <f t="shared" si="12"/>
        <v>840</v>
      </c>
      <c r="P33" s="51">
        <f t="shared" si="12"/>
        <v>480</v>
      </c>
      <c r="Q33" s="52">
        <f t="shared" si="12"/>
        <v>1280</v>
      </c>
      <c r="R33" s="53">
        <f t="shared" si="12"/>
        <v>35000</v>
      </c>
      <c r="S33" s="97"/>
      <c r="T33" s="97"/>
      <c r="U33" s="97"/>
      <c r="V33" s="97"/>
      <c r="W33" s="97"/>
      <c r="X33" s="97"/>
      <c r="Y33" s="97"/>
      <c r="Z33" s="97"/>
      <c r="AA33" s="97"/>
      <c r="AB33" s="97"/>
    </row>
    <row r="34" spans="1:28" ht="27.75" customHeight="1">
      <c r="A34" s="50"/>
      <c r="B34" s="50"/>
      <c r="C34" s="142" t="s">
        <v>53</v>
      </c>
      <c r="D34" s="99"/>
      <c r="E34" s="99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56"/>
      <c r="T34" s="56"/>
      <c r="U34" s="56"/>
      <c r="V34" s="56"/>
      <c r="W34" s="56"/>
      <c r="X34" s="56"/>
      <c r="Y34" s="56"/>
      <c r="Z34" s="56"/>
      <c r="AA34" s="56"/>
      <c r="AB34" s="56"/>
    </row>
    <row r="35" spans="1:28" ht="15" customHeight="1">
      <c r="B35" s="143"/>
      <c r="C35" s="58"/>
      <c r="D35" s="5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 spans="1:28" ht="15" customHeight="1">
      <c r="B36" s="57" t="s">
        <v>32</v>
      </c>
      <c r="C36" s="58"/>
      <c r="D36" s="55"/>
      <c r="E36" s="55"/>
      <c r="F36" s="56"/>
      <c r="G36" s="56"/>
      <c r="H36" s="56"/>
      <c r="I36" s="56"/>
      <c r="J36" s="56"/>
      <c r="K36" s="56"/>
      <c r="L36" s="56"/>
      <c r="M36" s="56"/>
      <c r="N36" s="56">
        <f>SUM(D25:J25)</f>
        <v>171</v>
      </c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</row>
    <row r="37" spans="1:28" ht="15.75" customHeight="1">
      <c r="B37" s="59" t="s">
        <v>33</v>
      </c>
      <c r="C37" s="60" t="s">
        <v>79</v>
      </c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</row>
    <row r="38" spans="1:28" ht="15.75" customHeight="1">
      <c r="B38" s="59" t="s">
        <v>34</v>
      </c>
      <c r="C38" s="60" t="s">
        <v>80</v>
      </c>
      <c r="D38" s="55"/>
      <c r="E38" s="55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</row>
    <row r="39" spans="1:28" ht="13.5" customHeight="1">
      <c r="B39" s="59" t="s">
        <v>35</v>
      </c>
      <c r="C39" s="60" t="s">
        <v>81</v>
      </c>
      <c r="D39" s="55"/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</row>
    <row r="40" spans="1:28" ht="15" customHeight="1">
      <c r="A40" s="50"/>
      <c r="B40" s="59" t="s">
        <v>36</v>
      </c>
      <c r="C40" s="60" t="s">
        <v>82</v>
      </c>
      <c r="D40" s="55"/>
      <c r="E40" s="55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</row>
    <row r="41" spans="1:28" ht="15" customHeight="1">
      <c r="A41" s="50"/>
      <c r="B41" s="50"/>
      <c r="C41" s="50"/>
      <c r="D41" s="55"/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</row>
    <row r="42" spans="1:28" ht="15" customHeight="1">
      <c r="A42" s="50"/>
      <c r="B42" s="50"/>
      <c r="C42" s="50"/>
      <c r="D42" s="237">
        <v>2022</v>
      </c>
      <c r="E42" s="222"/>
      <c r="F42" s="222"/>
      <c r="G42" s="223"/>
      <c r="H42" s="234">
        <v>2023</v>
      </c>
      <c r="I42" s="222"/>
      <c r="J42" s="222"/>
      <c r="K42" s="223"/>
      <c r="L42" s="234">
        <v>2024</v>
      </c>
      <c r="M42" s="222"/>
      <c r="N42" s="222"/>
      <c r="O42" s="223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</row>
    <row r="43" spans="1:28" ht="15" customHeight="1">
      <c r="A43" s="50"/>
      <c r="B43" s="50"/>
      <c r="C43" s="50"/>
      <c r="D43" s="103" t="s">
        <v>58</v>
      </c>
      <c r="E43" s="104" t="s">
        <v>59</v>
      </c>
      <c r="F43" s="105" t="s">
        <v>60</v>
      </c>
      <c r="G43" s="106" t="s">
        <v>61</v>
      </c>
      <c r="H43" s="107" t="s">
        <v>62</v>
      </c>
      <c r="I43" s="104" t="s">
        <v>63</v>
      </c>
      <c r="J43" s="105" t="s">
        <v>64</v>
      </c>
      <c r="K43" s="106" t="s">
        <v>65</v>
      </c>
      <c r="L43" s="107" t="s">
        <v>66</v>
      </c>
      <c r="M43" s="104" t="s">
        <v>67</v>
      </c>
      <c r="N43" s="105" t="s">
        <v>68</v>
      </c>
      <c r="O43" s="106" t="s">
        <v>69</v>
      </c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</row>
    <row r="44" spans="1:28" ht="23.25" customHeight="1">
      <c r="C44" s="38" t="s">
        <v>11</v>
      </c>
      <c r="D44" s="109">
        <f t="shared" ref="D44:O44" si="13">D23*40</f>
        <v>0</v>
      </c>
      <c r="E44" s="109">
        <f t="shared" si="13"/>
        <v>0</v>
      </c>
      <c r="F44" s="109">
        <f t="shared" si="13"/>
        <v>0</v>
      </c>
      <c r="G44" s="109">
        <f t="shared" si="13"/>
        <v>0</v>
      </c>
      <c r="H44" s="109">
        <f t="shared" si="13"/>
        <v>0</v>
      </c>
      <c r="I44" s="109">
        <f t="shared" si="13"/>
        <v>0</v>
      </c>
      <c r="J44" s="109">
        <f t="shared" si="13"/>
        <v>0</v>
      </c>
      <c r="K44" s="109">
        <f t="shared" si="13"/>
        <v>0</v>
      </c>
      <c r="L44" s="109">
        <f t="shared" si="13"/>
        <v>0</v>
      </c>
      <c r="M44" s="109">
        <f t="shared" si="13"/>
        <v>0</v>
      </c>
      <c r="N44" s="109">
        <f t="shared" si="13"/>
        <v>40</v>
      </c>
      <c r="O44" s="109">
        <f t="shared" si="13"/>
        <v>0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</row>
    <row r="45" spans="1:28" ht="14.25" customHeight="1">
      <c r="C45" s="24" t="s">
        <v>13</v>
      </c>
      <c r="D45" s="136">
        <f t="shared" ref="D45:O45" si="14">D24*40</f>
        <v>0</v>
      </c>
      <c r="E45" s="136">
        <f t="shared" si="14"/>
        <v>0</v>
      </c>
      <c r="F45" s="136">
        <f t="shared" si="14"/>
        <v>0</v>
      </c>
      <c r="G45" s="136">
        <f t="shared" si="14"/>
        <v>0</v>
      </c>
      <c r="H45" s="136">
        <f t="shared" si="14"/>
        <v>0</v>
      </c>
      <c r="I45" s="136">
        <f t="shared" si="14"/>
        <v>0</v>
      </c>
      <c r="J45" s="136">
        <f t="shared" si="14"/>
        <v>0</v>
      </c>
      <c r="K45" s="136">
        <f t="shared" si="14"/>
        <v>0</v>
      </c>
      <c r="L45" s="136">
        <f t="shared" si="14"/>
        <v>0</v>
      </c>
      <c r="M45" s="136">
        <f t="shared" si="14"/>
        <v>0</v>
      </c>
      <c r="N45" s="136">
        <f t="shared" si="14"/>
        <v>0</v>
      </c>
      <c r="O45" s="136">
        <f t="shared" si="14"/>
        <v>0</v>
      </c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</row>
    <row r="46" spans="1:28" ht="14.25" customHeight="1">
      <c r="C46" s="38" t="s">
        <v>28</v>
      </c>
      <c r="D46" s="109">
        <f t="shared" ref="D46:O46" si="15">D25*40</f>
        <v>40</v>
      </c>
      <c r="E46" s="109">
        <f t="shared" si="15"/>
        <v>0</v>
      </c>
      <c r="F46" s="109">
        <f t="shared" si="15"/>
        <v>0</v>
      </c>
      <c r="G46" s="109">
        <f t="shared" si="15"/>
        <v>1720</v>
      </c>
      <c r="H46" s="109">
        <f t="shared" si="15"/>
        <v>760</v>
      </c>
      <c r="I46" s="109">
        <f t="shared" si="15"/>
        <v>480</v>
      </c>
      <c r="J46" s="109">
        <f t="shared" si="15"/>
        <v>3840</v>
      </c>
      <c r="K46" s="109">
        <f t="shared" si="15"/>
        <v>0</v>
      </c>
      <c r="L46" s="109">
        <f t="shared" si="15"/>
        <v>160</v>
      </c>
      <c r="M46" s="109">
        <f t="shared" si="15"/>
        <v>80</v>
      </c>
      <c r="N46" s="109">
        <f t="shared" si="15"/>
        <v>1200</v>
      </c>
      <c r="O46" s="109">
        <f t="shared" si="15"/>
        <v>120</v>
      </c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</row>
    <row r="47" spans="1:28" ht="14.25" customHeight="1">
      <c r="C47" s="24" t="s">
        <v>15</v>
      </c>
      <c r="D47" s="136">
        <f t="shared" ref="D47:O47" si="16">D26*40</f>
        <v>40</v>
      </c>
      <c r="E47" s="136">
        <f t="shared" si="16"/>
        <v>40</v>
      </c>
      <c r="F47" s="136">
        <f t="shared" si="16"/>
        <v>0</v>
      </c>
      <c r="G47" s="136">
        <f t="shared" si="16"/>
        <v>0</v>
      </c>
      <c r="H47" s="136">
        <f t="shared" si="16"/>
        <v>80</v>
      </c>
      <c r="I47" s="136">
        <f t="shared" si="16"/>
        <v>40</v>
      </c>
      <c r="J47" s="136">
        <f t="shared" si="16"/>
        <v>0</v>
      </c>
      <c r="K47" s="136">
        <f t="shared" si="16"/>
        <v>0</v>
      </c>
      <c r="L47" s="136">
        <f t="shared" si="16"/>
        <v>40</v>
      </c>
      <c r="M47" s="136">
        <f t="shared" si="16"/>
        <v>0</v>
      </c>
      <c r="N47" s="136">
        <f t="shared" si="16"/>
        <v>40</v>
      </c>
      <c r="O47" s="136">
        <f t="shared" si="16"/>
        <v>80</v>
      </c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</row>
    <row r="48" spans="1:28" ht="14.25" customHeight="1">
      <c r="C48" s="38" t="s">
        <v>17</v>
      </c>
      <c r="D48" s="109">
        <f t="shared" ref="D48:O48" si="17">D27*40</f>
        <v>0</v>
      </c>
      <c r="E48" s="109">
        <f t="shared" si="17"/>
        <v>0</v>
      </c>
      <c r="F48" s="109">
        <f t="shared" si="17"/>
        <v>0</v>
      </c>
      <c r="G48" s="109">
        <f t="shared" si="17"/>
        <v>0</v>
      </c>
      <c r="H48" s="109">
        <f t="shared" si="17"/>
        <v>0</v>
      </c>
      <c r="I48" s="109">
        <f t="shared" si="17"/>
        <v>0</v>
      </c>
      <c r="J48" s="109">
        <f t="shared" si="17"/>
        <v>0</v>
      </c>
      <c r="K48" s="109">
        <f t="shared" si="17"/>
        <v>40</v>
      </c>
      <c r="L48" s="109">
        <f t="shared" si="17"/>
        <v>0</v>
      </c>
      <c r="M48" s="109">
        <f t="shared" si="17"/>
        <v>0</v>
      </c>
      <c r="N48" s="109">
        <f t="shared" si="17"/>
        <v>160</v>
      </c>
      <c r="O48" s="109">
        <f t="shared" si="17"/>
        <v>0</v>
      </c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</row>
    <row r="49" spans="3:28" ht="14.25" customHeight="1">
      <c r="C49" s="24" t="s">
        <v>19</v>
      </c>
      <c r="D49" s="136">
        <f t="shared" ref="D49:O49" si="18">D28*40</f>
        <v>1080</v>
      </c>
      <c r="E49" s="136">
        <f t="shared" si="18"/>
        <v>0</v>
      </c>
      <c r="F49" s="136">
        <f t="shared" si="18"/>
        <v>0</v>
      </c>
      <c r="G49" s="136">
        <f t="shared" si="18"/>
        <v>40</v>
      </c>
      <c r="H49" s="136">
        <f t="shared" si="18"/>
        <v>200</v>
      </c>
      <c r="I49" s="136">
        <f t="shared" si="18"/>
        <v>640</v>
      </c>
      <c r="J49" s="136">
        <f t="shared" si="18"/>
        <v>1000</v>
      </c>
      <c r="K49" s="136">
        <f t="shared" si="18"/>
        <v>0</v>
      </c>
      <c r="L49" s="136">
        <f t="shared" si="18"/>
        <v>160</v>
      </c>
      <c r="M49" s="136">
        <f t="shared" si="18"/>
        <v>680</v>
      </c>
      <c r="N49" s="136">
        <f t="shared" si="18"/>
        <v>3520</v>
      </c>
      <c r="O49" s="136">
        <f t="shared" si="18"/>
        <v>280</v>
      </c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</row>
    <row r="50" spans="3:28" ht="14.25" customHeight="1">
      <c r="C50" s="38" t="s">
        <v>21</v>
      </c>
      <c r="D50" s="109">
        <f t="shared" ref="D50:O50" si="19">D29*40</f>
        <v>80</v>
      </c>
      <c r="E50" s="109">
        <f t="shared" si="19"/>
        <v>280</v>
      </c>
      <c r="F50" s="109">
        <f t="shared" si="19"/>
        <v>0</v>
      </c>
      <c r="G50" s="109">
        <f t="shared" si="19"/>
        <v>1040</v>
      </c>
      <c r="H50" s="109">
        <f t="shared" si="19"/>
        <v>1960</v>
      </c>
      <c r="I50" s="109">
        <f t="shared" si="19"/>
        <v>1160</v>
      </c>
      <c r="J50" s="109">
        <f t="shared" si="19"/>
        <v>1640</v>
      </c>
      <c r="K50" s="109">
        <f t="shared" si="19"/>
        <v>520</v>
      </c>
      <c r="L50" s="109">
        <f t="shared" si="19"/>
        <v>360</v>
      </c>
      <c r="M50" s="109">
        <f t="shared" si="19"/>
        <v>1400</v>
      </c>
      <c r="N50" s="109">
        <f t="shared" si="19"/>
        <v>4920</v>
      </c>
      <c r="O50" s="109">
        <f t="shared" si="19"/>
        <v>360</v>
      </c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</row>
    <row r="51" spans="3:28" ht="14.25" customHeight="1">
      <c r="C51" s="24" t="s">
        <v>23</v>
      </c>
      <c r="D51" s="136">
        <f t="shared" ref="D51:O51" si="20">D30*40</f>
        <v>0</v>
      </c>
      <c r="E51" s="136">
        <f t="shared" si="20"/>
        <v>80</v>
      </c>
      <c r="F51" s="136">
        <f t="shared" si="20"/>
        <v>0</v>
      </c>
      <c r="G51" s="136">
        <f t="shared" si="20"/>
        <v>80</v>
      </c>
      <c r="H51" s="136">
        <f t="shared" si="20"/>
        <v>0</v>
      </c>
      <c r="I51" s="136">
        <f t="shared" si="20"/>
        <v>0</v>
      </c>
      <c r="J51" s="136">
        <f t="shared" si="20"/>
        <v>120</v>
      </c>
      <c r="K51" s="136">
        <f t="shared" si="20"/>
        <v>0</v>
      </c>
      <c r="L51" s="136">
        <f t="shared" si="20"/>
        <v>0</v>
      </c>
      <c r="M51" s="136">
        <f t="shared" si="20"/>
        <v>40</v>
      </c>
      <c r="N51" s="136">
        <f t="shared" si="20"/>
        <v>40</v>
      </c>
      <c r="O51" s="136">
        <f t="shared" si="20"/>
        <v>0</v>
      </c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</row>
    <row r="52" spans="3:28" ht="14.25" customHeight="1">
      <c r="C52" s="43" t="s">
        <v>25</v>
      </c>
      <c r="D52" s="109">
        <f t="shared" ref="D52:O52" si="21">D31*40</f>
        <v>0</v>
      </c>
      <c r="E52" s="109">
        <f t="shared" si="21"/>
        <v>0</v>
      </c>
      <c r="F52" s="109">
        <f t="shared" si="21"/>
        <v>0</v>
      </c>
      <c r="G52" s="109">
        <f t="shared" si="21"/>
        <v>0</v>
      </c>
      <c r="H52" s="109">
        <f t="shared" si="21"/>
        <v>80</v>
      </c>
      <c r="I52" s="109">
        <f t="shared" si="21"/>
        <v>0</v>
      </c>
      <c r="J52" s="109">
        <f t="shared" si="21"/>
        <v>440</v>
      </c>
      <c r="K52" s="109">
        <f t="shared" si="21"/>
        <v>40</v>
      </c>
      <c r="L52" s="109">
        <f t="shared" si="21"/>
        <v>0</v>
      </c>
      <c r="M52" s="109">
        <f t="shared" si="21"/>
        <v>40</v>
      </c>
      <c r="N52" s="109">
        <f t="shared" si="21"/>
        <v>40</v>
      </c>
      <c r="O52" s="109">
        <f t="shared" si="21"/>
        <v>0</v>
      </c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</row>
    <row r="53" spans="3:28" ht="14.25" customHeight="1"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</row>
    <row r="54" spans="3:28" ht="14.25" customHeight="1">
      <c r="C54" s="67" t="s">
        <v>83</v>
      </c>
      <c r="D54" s="56"/>
      <c r="E54" s="56"/>
      <c r="F54" s="56"/>
      <c r="G54" s="56"/>
      <c r="H54" s="56">
        <f>SUM(H46:K46)</f>
        <v>5080</v>
      </c>
      <c r="I54" s="56"/>
      <c r="J54" s="56"/>
      <c r="K54" s="238">
        <f>SUM(K46:N46)</f>
        <v>1440</v>
      </c>
      <c r="L54" s="222"/>
      <c r="M54" s="222"/>
      <c r="N54" s="223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</row>
    <row r="55" spans="3:28" ht="14.25" customHeight="1"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</row>
    <row r="56" spans="3:28" ht="14.25" customHeight="1"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</row>
    <row r="57" spans="3:28" ht="14.25" customHeight="1"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</row>
    <row r="58" spans="3:28" ht="14.25" customHeight="1"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</row>
    <row r="59" spans="3:28" ht="14.25" customHeight="1"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</row>
    <row r="60" spans="3:28" ht="14.25" customHeight="1"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</row>
    <row r="61" spans="3:28" ht="14.25" customHeight="1"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</row>
    <row r="62" spans="3:28" ht="14.25" customHeight="1"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</row>
    <row r="63" spans="3:28" ht="14.25" customHeight="1"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</row>
    <row r="64" spans="3:28" ht="14.25" customHeight="1"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</row>
    <row r="65" spans="4:28" ht="14.25" customHeight="1"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</row>
    <row r="66" spans="4:28" ht="14.25" customHeight="1"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</row>
    <row r="67" spans="4:28" ht="14.25" customHeight="1"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</row>
    <row r="68" spans="4:28" ht="14.25" customHeight="1"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</row>
    <row r="69" spans="4:28" ht="14.25" customHeight="1"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</row>
    <row r="70" spans="4:28" ht="14.25" customHeight="1"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</row>
    <row r="71" spans="4:28" ht="14.25" customHeight="1"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</row>
    <row r="72" spans="4:28" ht="14.25" customHeight="1"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</row>
    <row r="73" spans="4:28" ht="14.25" customHeight="1"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</row>
    <row r="74" spans="4:28" ht="14.25" customHeight="1"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</row>
    <row r="75" spans="4:28" ht="14.25" customHeight="1"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</row>
    <row r="76" spans="4:28" ht="14.25" customHeight="1"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</row>
    <row r="77" spans="4:28" ht="14.25" customHeight="1"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</row>
    <row r="78" spans="4:28" ht="14.25" customHeight="1"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</row>
    <row r="79" spans="4:28" ht="14.25" customHeight="1"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</row>
    <row r="80" spans="4:28" ht="14.25" customHeight="1"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</row>
    <row r="81" spans="4:28" ht="14.25" customHeight="1"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</row>
    <row r="82" spans="4:28" ht="14.25" customHeight="1"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</row>
    <row r="83" spans="4:28" ht="14.25" customHeight="1"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</row>
    <row r="84" spans="4:28" ht="14.25" customHeight="1"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</row>
    <row r="85" spans="4:28" ht="14.25" customHeight="1"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</row>
    <row r="86" spans="4:28" ht="14.25" customHeight="1"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</row>
    <row r="87" spans="4:28" ht="14.25" customHeight="1"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</row>
    <row r="88" spans="4:28" ht="14.25" customHeight="1"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</row>
    <row r="89" spans="4:28" ht="14.25" customHeight="1"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</row>
    <row r="90" spans="4:28" ht="14.25" customHeight="1"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</row>
    <row r="91" spans="4:28" ht="14.25" customHeight="1"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</row>
    <row r="92" spans="4:28" ht="14.25" customHeight="1"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</row>
    <row r="93" spans="4:28" ht="14.25" customHeight="1"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</row>
    <row r="94" spans="4:28" ht="14.25" customHeight="1"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</row>
    <row r="95" spans="4:28" ht="14.25" customHeight="1"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</row>
    <row r="96" spans="4:28" ht="14.25" customHeight="1"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</row>
    <row r="97" spans="4:28" ht="14.25" customHeight="1"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</row>
    <row r="98" spans="4:28" ht="14.25" customHeight="1"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</row>
    <row r="99" spans="4:28" ht="14.25" customHeight="1"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</row>
    <row r="100" spans="4:28" ht="14.25" customHeight="1"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</row>
    <row r="101" spans="4:28" ht="14.25" customHeight="1"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</row>
    <row r="102" spans="4:28" ht="14.25" customHeight="1"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</row>
    <row r="103" spans="4:28" ht="14.25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</row>
    <row r="104" spans="4:28" ht="14.25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</row>
    <row r="105" spans="4:28" ht="14.25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</row>
    <row r="106" spans="4:28" ht="14.25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</row>
    <row r="107" spans="4:28" ht="14.25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</row>
    <row r="108" spans="4:28" ht="14.25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</row>
    <row r="109" spans="4:28" ht="14.25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</row>
    <row r="110" spans="4:28" ht="14.25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</row>
    <row r="111" spans="4:28" ht="14.25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</row>
    <row r="112" spans="4:28" ht="14.25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</row>
    <row r="113" spans="4:28" ht="14.25" customHeight="1"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</row>
    <row r="114" spans="4:28" ht="14.25" customHeight="1">
      <c r="D114" s="61"/>
      <c r="E114" s="62"/>
      <c r="F114" s="63"/>
      <c r="G114" s="64"/>
    </row>
    <row r="115" spans="4:28" ht="14.25" customHeight="1">
      <c r="D115" s="61"/>
      <c r="E115" s="62"/>
      <c r="F115" s="63"/>
      <c r="G115" s="64"/>
    </row>
    <row r="116" spans="4:28" ht="14.25" customHeight="1">
      <c r="D116" s="61"/>
      <c r="E116" s="62"/>
      <c r="F116" s="63"/>
      <c r="G116" s="64"/>
    </row>
    <row r="117" spans="4:28" ht="14.25" customHeight="1">
      <c r="D117" s="61"/>
      <c r="E117" s="62"/>
      <c r="F117" s="63"/>
      <c r="G117" s="64"/>
    </row>
    <row r="118" spans="4:28" ht="14.25" customHeight="1">
      <c r="D118" s="61"/>
      <c r="E118" s="62"/>
      <c r="F118" s="63"/>
      <c r="G118" s="64"/>
    </row>
    <row r="119" spans="4:28" ht="14.25" customHeight="1">
      <c r="D119" s="61"/>
      <c r="E119" s="62"/>
      <c r="F119" s="63"/>
      <c r="G119" s="64"/>
    </row>
    <row r="120" spans="4:28" ht="14.25" customHeight="1">
      <c r="D120" s="61"/>
      <c r="E120" s="62"/>
      <c r="F120" s="63"/>
      <c r="G120" s="64"/>
    </row>
    <row r="121" spans="4:28" ht="14.25" customHeight="1">
      <c r="D121" s="61"/>
      <c r="E121" s="62"/>
      <c r="F121" s="63"/>
      <c r="G121" s="64"/>
    </row>
    <row r="122" spans="4:28" ht="14.25" customHeight="1">
      <c r="D122" s="61"/>
      <c r="E122" s="62"/>
      <c r="F122" s="63"/>
      <c r="G122" s="64"/>
    </row>
    <row r="123" spans="4:28" ht="14.25" customHeight="1">
      <c r="D123" s="61"/>
      <c r="E123" s="62"/>
      <c r="F123" s="63"/>
      <c r="G123" s="64"/>
    </row>
    <row r="124" spans="4:28" ht="14.25" customHeight="1">
      <c r="D124" s="61"/>
      <c r="E124" s="62"/>
      <c r="F124" s="63"/>
      <c r="G124" s="64"/>
    </row>
    <row r="125" spans="4:28" ht="14.25" customHeight="1">
      <c r="D125" s="61"/>
      <c r="E125" s="62"/>
      <c r="F125" s="63"/>
      <c r="G125" s="64"/>
    </row>
    <row r="126" spans="4:28" ht="14.25" customHeight="1">
      <c r="D126" s="61"/>
      <c r="E126" s="62"/>
      <c r="F126" s="63"/>
      <c r="G126" s="64"/>
    </row>
    <row r="127" spans="4:28" ht="14.25" customHeight="1">
      <c r="D127" s="61"/>
      <c r="E127" s="62"/>
      <c r="F127" s="63"/>
      <c r="G127" s="64"/>
    </row>
    <row r="128" spans="4:28" ht="14.25" customHeight="1">
      <c r="D128" s="61"/>
      <c r="E128" s="62"/>
      <c r="F128" s="63"/>
      <c r="G128" s="64"/>
    </row>
    <row r="129" spans="4:7" ht="14.25" customHeight="1">
      <c r="D129" s="61"/>
      <c r="E129" s="62"/>
      <c r="F129" s="63"/>
      <c r="G129" s="64"/>
    </row>
    <row r="130" spans="4:7" ht="14.25" customHeight="1">
      <c r="D130" s="61"/>
      <c r="E130" s="62"/>
      <c r="F130" s="63"/>
      <c r="G130" s="64"/>
    </row>
    <row r="131" spans="4:7" ht="14.25" customHeight="1">
      <c r="D131" s="61"/>
      <c r="E131" s="62"/>
      <c r="F131" s="63"/>
      <c r="G131" s="64"/>
    </row>
    <row r="132" spans="4:7" ht="14.25" customHeight="1">
      <c r="D132" s="61"/>
      <c r="E132" s="62"/>
      <c r="F132" s="63"/>
      <c r="G132" s="64"/>
    </row>
    <row r="133" spans="4:7" ht="14.25" customHeight="1">
      <c r="D133" s="61"/>
      <c r="E133" s="62"/>
      <c r="F133" s="63"/>
      <c r="G133" s="64"/>
    </row>
    <row r="134" spans="4:7" ht="14.25" customHeight="1">
      <c r="D134" s="61"/>
      <c r="E134" s="62"/>
      <c r="F134" s="63"/>
      <c r="G134" s="64"/>
    </row>
    <row r="135" spans="4:7" ht="14.25" customHeight="1">
      <c r="D135" s="61"/>
      <c r="E135" s="62"/>
      <c r="F135" s="63"/>
      <c r="G135" s="64"/>
    </row>
    <row r="136" spans="4:7" ht="14.25" customHeight="1">
      <c r="D136" s="61"/>
      <c r="E136" s="62"/>
      <c r="F136" s="63"/>
      <c r="G136" s="64"/>
    </row>
    <row r="137" spans="4:7" ht="14.25" customHeight="1">
      <c r="D137" s="61"/>
      <c r="E137" s="62"/>
      <c r="F137" s="63"/>
      <c r="G137" s="64"/>
    </row>
    <row r="138" spans="4:7" ht="14.25" customHeight="1">
      <c r="D138" s="61"/>
      <c r="E138" s="62"/>
      <c r="F138" s="63"/>
      <c r="G138" s="64"/>
    </row>
    <row r="139" spans="4:7" ht="14.25" customHeight="1">
      <c r="D139" s="61"/>
      <c r="E139" s="62"/>
      <c r="F139" s="63"/>
      <c r="G139" s="64"/>
    </row>
    <row r="140" spans="4:7" ht="14.25" customHeight="1">
      <c r="D140" s="61"/>
      <c r="E140" s="62"/>
      <c r="F140" s="63"/>
      <c r="G140" s="64"/>
    </row>
    <row r="141" spans="4:7" ht="14.25" customHeight="1">
      <c r="D141" s="61"/>
      <c r="E141" s="62"/>
      <c r="F141" s="63"/>
      <c r="G141" s="64"/>
    </row>
    <row r="142" spans="4:7" ht="14.25" customHeight="1">
      <c r="D142" s="61"/>
      <c r="E142" s="62"/>
      <c r="F142" s="63"/>
      <c r="G142" s="64"/>
    </row>
    <row r="143" spans="4:7" ht="14.25" customHeight="1">
      <c r="D143" s="61"/>
      <c r="E143" s="62"/>
      <c r="F143" s="63"/>
      <c r="G143" s="64"/>
    </row>
    <row r="144" spans="4:7" ht="14.25" customHeight="1">
      <c r="D144" s="61"/>
      <c r="E144" s="62"/>
      <c r="F144" s="63"/>
      <c r="G144" s="64"/>
    </row>
    <row r="145" spans="4:7" ht="14.25" customHeight="1">
      <c r="D145" s="61"/>
      <c r="E145" s="62"/>
      <c r="F145" s="63"/>
      <c r="G145" s="64"/>
    </row>
    <row r="146" spans="4:7" ht="14.25" customHeight="1">
      <c r="D146" s="61"/>
      <c r="E146" s="62"/>
      <c r="F146" s="63"/>
      <c r="G146" s="64"/>
    </row>
    <row r="147" spans="4:7" ht="14.25" customHeight="1">
      <c r="D147" s="61"/>
      <c r="E147" s="62"/>
      <c r="F147" s="63"/>
      <c r="G147" s="64"/>
    </row>
    <row r="148" spans="4:7" ht="14.25" customHeight="1">
      <c r="D148" s="61"/>
      <c r="E148" s="62"/>
      <c r="F148" s="63"/>
      <c r="G148" s="64"/>
    </row>
    <row r="149" spans="4:7" ht="14.25" customHeight="1">
      <c r="D149" s="61"/>
      <c r="E149" s="62"/>
      <c r="F149" s="63"/>
      <c r="G149" s="64"/>
    </row>
    <row r="150" spans="4:7" ht="14.25" customHeight="1">
      <c r="D150" s="61"/>
      <c r="E150" s="62"/>
      <c r="F150" s="63"/>
      <c r="G150" s="64"/>
    </row>
    <row r="151" spans="4:7" ht="14.25" customHeight="1">
      <c r="D151" s="61"/>
      <c r="E151" s="62"/>
      <c r="F151" s="63"/>
      <c r="G151" s="64"/>
    </row>
    <row r="152" spans="4:7" ht="14.25" customHeight="1">
      <c r="D152" s="61"/>
      <c r="E152" s="62"/>
      <c r="F152" s="63"/>
      <c r="G152" s="64"/>
    </row>
    <row r="153" spans="4:7" ht="14.25" customHeight="1">
      <c r="D153" s="61"/>
      <c r="E153" s="62"/>
      <c r="F153" s="63"/>
      <c r="G153" s="64"/>
    </row>
    <row r="154" spans="4:7" ht="14.25" customHeight="1">
      <c r="D154" s="61"/>
      <c r="E154" s="62"/>
      <c r="F154" s="63"/>
      <c r="G154" s="64"/>
    </row>
    <row r="155" spans="4:7" ht="14.25" customHeight="1">
      <c r="D155" s="61"/>
      <c r="E155" s="62"/>
      <c r="F155" s="63"/>
      <c r="G155" s="64"/>
    </row>
    <row r="156" spans="4:7" ht="14.25" customHeight="1">
      <c r="D156" s="61"/>
      <c r="E156" s="62"/>
      <c r="F156" s="63"/>
      <c r="G156" s="64"/>
    </row>
    <row r="157" spans="4:7" ht="14.25" customHeight="1">
      <c r="D157" s="61"/>
      <c r="E157" s="62"/>
      <c r="F157" s="63"/>
      <c r="G157" s="64"/>
    </row>
    <row r="158" spans="4:7" ht="14.25" customHeight="1">
      <c r="D158" s="61"/>
      <c r="E158" s="62"/>
      <c r="F158" s="63"/>
      <c r="G158" s="64"/>
    </row>
    <row r="159" spans="4:7" ht="14.25" customHeight="1">
      <c r="D159" s="61"/>
      <c r="E159" s="62"/>
      <c r="F159" s="63"/>
      <c r="G159" s="64"/>
    </row>
    <row r="160" spans="4:7" ht="14.25" customHeight="1">
      <c r="D160" s="61"/>
      <c r="E160" s="62"/>
      <c r="F160" s="63"/>
      <c r="G160" s="64"/>
    </row>
    <row r="161" spans="4:7" ht="14.25" customHeight="1">
      <c r="D161" s="61"/>
      <c r="E161" s="62"/>
      <c r="F161" s="63"/>
      <c r="G161" s="64"/>
    </row>
    <row r="162" spans="4:7" ht="14.25" customHeight="1">
      <c r="D162" s="61"/>
      <c r="E162" s="62"/>
      <c r="F162" s="63"/>
      <c r="G162" s="64"/>
    </row>
    <row r="163" spans="4:7" ht="14.25" customHeight="1">
      <c r="D163" s="61"/>
      <c r="E163" s="62"/>
      <c r="F163" s="63"/>
      <c r="G163" s="64"/>
    </row>
    <row r="164" spans="4:7" ht="14.25" customHeight="1">
      <c r="D164" s="61"/>
      <c r="E164" s="62"/>
      <c r="F164" s="63"/>
      <c r="G164" s="64"/>
    </row>
    <row r="165" spans="4:7" ht="14.25" customHeight="1">
      <c r="D165" s="61"/>
      <c r="E165" s="62"/>
      <c r="F165" s="63"/>
      <c r="G165" s="64"/>
    </row>
    <row r="166" spans="4:7" ht="14.25" customHeight="1">
      <c r="D166" s="61"/>
      <c r="E166" s="62"/>
      <c r="F166" s="63"/>
      <c r="G166" s="64"/>
    </row>
    <row r="167" spans="4:7" ht="14.25" customHeight="1">
      <c r="D167" s="61"/>
      <c r="E167" s="62"/>
      <c r="F167" s="63"/>
      <c r="G167" s="64"/>
    </row>
    <row r="168" spans="4:7" ht="14.25" customHeight="1">
      <c r="D168" s="61"/>
      <c r="E168" s="62"/>
      <c r="F168" s="63"/>
      <c r="G168" s="64"/>
    </row>
    <row r="169" spans="4:7" ht="14.25" customHeight="1">
      <c r="D169" s="61"/>
      <c r="E169" s="62"/>
      <c r="F169" s="63"/>
      <c r="G169" s="64"/>
    </row>
    <row r="170" spans="4:7" ht="14.25" customHeight="1">
      <c r="D170" s="61"/>
      <c r="E170" s="62"/>
      <c r="F170" s="63"/>
      <c r="G170" s="64"/>
    </row>
    <row r="171" spans="4:7" ht="14.25" customHeight="1">
      <c r="D171" s="61"/>
      <c r="E171" s="62"/>
      <c r="F171" s="63"/>
      <c r="G171" s="64"/>
    </row>
    <row r="172" spans="4:7" ht="14.25" customHeight="1">
      <c r="D172" s="61"/>
      <c r="E172" s="62"/>
      <c r="F172" s="63"/>
      <c r="G172" s="64"/>
    </row>
    <row r="173" spans="4:7" ht="14.25" customHeight="1">
      <c r="D173" s="61"/>
      <c r="E173" s="62"/>
      <c r="F173" s="63"/>
      <c r="G173" s="64"/>
    </row>
    <row r="174" spans="4:7" ht="14.25" customHeight="1">
      <c r="D174" s="61"/>
      <c r="E174" s="62"/>
      <c r="F174" s="63"/>
      <c r="G174" s="64"/>
    </row>
    <row r="175" spans="4:7" ht="14.25" customHeight="1">
      <c r="D175" s="61"/>
      <c r="E175" s="62"/>
      <c r="F175" s="63"/>
      <c r="G175" s="64"/>
    </row>
    <row r="176" spans="4:7" ht="14.25" customHeight="1">
      <c r="D176" s="61"/>
      <c r="E176" s="62"/>
      <c r="F176" s="63"/>
      <c r="G176" s="64"/>
    </row>
    <row r="177" spans="4:7" ht="14.25" customHeight="1">
      <c r="D177" s="61"/>
      <c r="E177" s="62"/>
      <c r="F177" s="63"/>
      <c r="G177" s="64"/>
    </row>
    <row r="178" spans="4:7" ht="14.25" customHeight="1">
      <c r="D178" s="61"/>
      <c r="E178" s="62"/>
      <c r="F178" s="63"/>
      <c r="G178" s="64"/>
    </row>
    <row r="179" spans="4:7" ht="14.25" customHeight="1">
      <c r="D179" s="61"/>
      <c r="E179" s="62"/>
      <c r="F179" s="63"/>
      <c r="G179" s="64"/>
    </row>
    <row r="180" spans="4:7" ht="14.25" customHeight="1">
      <c r="D180" s="61"/>
      <c r="E180" s="62"/>
      <c r="F180" s="63"/>
      <c r="G180" s="64"/>
    </row>
    <row r="181" spans="4:7" ht="14.25" customHeight="1">
      <c r="D181" s="61"/>
      <c r="E181" s="62"/>
      <c r="F181" s="63"/>
      <c r="G181" s="64"/>
    </row>
    <row r="182" spans="4:7" ht="14.25" customHeight="1">
      <c r="D182" s="61"/>
      <c r="E182" s="62"/>
      <c r="F182" s="63"/>
      <c r="G182" s="64"/>
    </row>
    <row r="183" spans="4:7" ht="14.25" customHeight="1">
      <c r="D183" s="61"/>
      <c r="E183" s="62"/>
      <c r="F183" s="63"/>
      <c r="G183" s="64"/>
    </row>
    <row r="184" spans="4:7" ht="14.25" customHeight="1">
      <c r="D184" s="61"/>
      <c r="E184" s="62"/>
      <c r="F184" s="63"/>
      <c r="G184" s="64"/>
    </row>
    <row r="185" spans="4:7" ht="14.25" customHeight="1">
      <c r="D185" s="61"/>
      <c r="E185" s="62"/>
      <c r="F185" s="63"/>
      <c r="G185" s="64"/>
    </row>
    <row r="186" spans="4:7" ht="14.25" customHeight="1">
      <c r="D186" s="61"/>
      <c r="E186" s="62"/>
      <c r="F186" s="63"/>
      <c r="G186" s="64"/>
    </row>
    <row r="187" spans="4:7" ht="14.25" customHeight="1">
      <c r="D187" s="61"/>
      <c r="E187" s="62"/>
      <c r="F187" s="63"/>
      <c r="G187" s="64"/>
    </row>
    <row r="188" spans="4:7" ht="14.25" customHeight="1">
      <c r="D188" s="61"/>
      <c r="E188" s="62"/>
      <c r="F188" s="63"/>
      <c r="G188" s="64"/>
    </row>
    <row r="189" spans="4:7" ht="14.25" customHeight="1">
      <c r="D189" s="61"/>
      <c r="E189" s="62"/>
      <c r="F189" s="63"/>
      <c r="G189" s="64"/>
    </row>
    <row r="190" spans="4:7" ht="14.25" customHeight="1">
      <c r="D190" s="61"/>
      <c r="E190" s="62"/>
      <c r="F190" s="63"/>
      <c r="G190" s="64"/>
    </row>
    <row r="191" spans="4:7" ht="14.25" customHeight="1">
      <c r="D191" s="61"/>
      <c r="E191" s="62"/>
      <c r="F191" s="63"/>
      <c r="G191" s="64"/>
    </row>
    <row r="192" spans="4:7" ht="14.25" customHeight="1">
      <c r="D192" s="61"/>
      <c r="E192" s="62"/>
      <c r="F192" s="63"/>
      <c r="G192" s="64"/>
    </row>
    <row r="193" spans="4:7" ht="14.25" customHeight="1">
      <c r="D193" s="61"/>
      <c r="E193" s="62"/>
      <c r="F193" s="63"/>
      <c r="G193" s="64"/>
    </row>
    <row r="194" spans="4:7" ht="14.25" customHeight="1">
      <c r="D194" s="61"/>
      <c r="E194" s="62"/>
      <c r="F194" s="63"/>
      <c r="G194" s="64"/>
    </row>
    <row r="195" spans="4:7" ht="14.25" customHeight="1">
      <c r="D195" s="61"/>
      <c r="E195" s="62"/>
      <c r="F195" s="63"/>
      <c r="G195" s="64"/>
    </row>
    <row r="196" spans="4:7" ht="14.25" customHeight="1">
      <c r="D196" s="61"/>
      <c r="E196" s="62"/>
      <c r="F196" s="63"/>
      <c r="G196" s="64"/>
    </row>
    <row r="197" spans="4:7" ht="14.25" customHeight="1">
      <c r="D197" s="61"/>
      <c r="E197" s="62"/>
      <c r="F197" s="63"/>
      <c r="G197" s="64"/>
    </row>
    <row r="198" spans="4:7" ht="14.25" customHeight="1">
      <c r="D198" s="61"/>
      <c r="E198" s="62"/>
      <c r="F198" s="63"/>
      <c r="G198" s="64"/>
    </row>
    <row r="199" spans="4:7" ht="14.25" customHeight="1">
      <c r="D199" s="61"/>
      <c r="E199" s="62"/>
      <c r="F199" s="63"/>
      <c r="G199" s="64"/>
    </row>
    <row r="200" spans="4:7" ht="14.25" customHeight="1">
      <c r="D200" s="61"/>
      <c r="E200" s="62"/>
      <c r="F200" s="63"/>
      <c r="G200" s="64"/>
    </row>
    <row r="201" spans="4:7" ht="14.25" customHeight="1">
      <c r="D201" s="61"/>
      <c r="E201" s="62"/>
      <c r="F201" s="63"/>
      <c r="G201" s="64"/>
    </row>
    <row r="202" spans="4:7" ht="14.25" customHeight="1">
      <c r="D202" s="61"/>
      <c r="E202" s="62"/>
      <c r="F202" s="63"/>
      <c r="G202" s="64"/>
    </row>
    <row r="203" spans="4:7" ht="14.25" customHeight="1">
      <c r="D203" s="61"/>
      <c r="E203" s="62"/>
      <c r="F203" s="63"/>
      <c r="G203" s="64"/>
    </row>
    <row r="204" spans="4:7" ht="14.25" customHeight="1">
      <c r="D204" s="61"/>
      <c r="E204" s="62"/>
      <c r="F204" s="63"/>
      <c r="G204" s="64"/>
    </row>
    <row r="205" spans="4:7" ht="14.25" customHeight="1">
      <c r="D205" s="61"/>
      <c r="E205" s="62"/>
      <c r="F205" s="63"/>
      <c r="G205" s="64"/>
    </row>
    <row r="206" spans="4:7" ht="14.25" customHeight="1">
      <c r="D206" s="61"/>
      <c r="E206" s="62"/>
      <c r="F206" s="63"/>
      <c r="G206" s="64"/>
    </row>
    <row r="207" spans="4:7" ht="14.25" customHeight="1">
      <c r="D207" s="61"/>
      <c r="E207" s="62"/>
      <c r="F207" s="63"/>
      <c r="G207" s="64"/>
    </row>
    <row r="208" spans="4:7" ht="14.25" customHeight="1">
      <c r="D208" s="61"/>
      <c r="E208" s="62"/>
      <c r="F208" s="63"/>
      <c r="G208" s="64"/>
    </row>
    <row r="209" spans="4:7" ht="14.25" customHeight="1">
      <c r="D209" s="61"/>
      <c r="E209" s="62"/>
      <c r="F209" s="63"/>
      <c r="G209" s="64"/>
    </row>
    <row r="210" spans="4:7" ht="14.25" customHeight="1">
      <c r="D210" s="61"/>
      <c r="E210" s="62"/>
      <c r="F210" s="63"/>
      <c r="G210" s="64"/>
    </row>
    <row r="211" spans="4:7" ht="14.25" customHeight="1">
      <c r="D211" s="61"/>
      <c r="E211" s="62"/>
      <c r="F211" s="63"/>
      <c r="G211" s="64"/>
    </row>
    <row r="212" spans="4:7" ht="14.25" customHeight="1">
      <c r="D212" s="61"/>
      <c r="E212" s="62"/>
      <c r="F212" s="63"/>
      <c r="G212" s="64"/>
    </row>
    <row r="213" spans="4:7" ht="14.25" customHeight="1">
      <c r="D213" s="61"/>
      <c r="E213" s="62"/>
      <c r="F213" s="63"/>
      <c r="G213" s="64"/>
    </row>
    <row r="214" spans="4:7" ht="14.25" customHeight="1">
      <c r="D214" s="61"/>
      <c r="E214" s="62"/>
      <c r="F214" s="63"/>
      <c r="G214" s="64"/>
    </row>
    <row r="215" spans="4:7" ht="14.25" customHeight="1">
      <c r="D215" s="61"/>
      <c r="E215" s="62"/>
      <c r="F215" s="63"/>
      <c r="G215" s="64"/>
    </row>
    <row r="216" spans="4:7" ht="14.25" customHeight="1">
      <c r="D216" s="61"/>
      <c r="E216" s="62"/>
      <c r="F216" s="63"/>
      <c r="G216" s="64"/>
    </row>
    <row r="217" spans="4:7" ht="14.25" customHeight="1">
      <c r="D217" s="61"/>
      <c r="E217" s="62"/>
      <c r="F217" s="63"/>
      <c r="G217" s="64"/>
    </row>
    <row r="218" spans="4:7" ht="14.25" customHeight="1">
      <c r="D218" s="61"/>
      <c r="E218" s="62"/>
      <c r="F218" s="63"/>
      <c r="G218" s="64"/>
    </row>
    <row r="219" spans="4:7" ht="14.25" customHeight="1">
      <c r="D219" s="61"/>
      <c r="E219" s="62"/>
      <c r="F219" s="63"/>
      <c r="G219" s="64"/>
    </row>
    <row r="220" spans="4:7" ht="14.25" customHeight="1">
      <c r="D220" s="61"/>
      <c r="E220" s="62"/>
      <c r="F220" s="63"/>
      <c r="G220" s="64"/>
    </row>
    <row r="221" spans="4:7" ht="14.25" customHeight="1">
      <c r="D221" s="61"/>
      <c r="E221" s="62"/>
      <c r="F221" s="63"/>
      <c r="G221" s="64"/>
    </row>
    <row r="222" spans="4:7" ht="14.25" customHeight="1">
      <c r="D222" s="61"/>
      <c r="E222" s="62"/>
      <c r="F222" s="63"/>
      <c r="G222" s="64"/>
    </row>
    <row r="223" spans="4:7" ht="14.25" customHeight="1">
      <c r="D223" s="61"/>
      <c r="E223" s="62"/>
      <c r="F223" s="63"/>
      <c r="G223" s="64"/>
    </row>
    <row r="224" spans="4:7" ht="14.25" customHeight="1">
      <c r="D224" s="61"/>
      <c r="E224" s="62"/>
      <c r="F224" s="63"/>
      <c r="G224" s="64"/>
    </row>
    <row r="225" spans="4:7" ht="14.25" customHeight="1">
      <c r="D225" s="61"/>
      <c r="E225" s="62"/>
      <c r="F225" s="63"/>
      <c r="G225" s="64"/>
    </row>
    <row r="226" spans="4:7" ht="14.25" customHeight="1">
      <c r="D226" s="61"/>
      <c r="E226" s="62"/>
      <c r="F226" s="63"/>
      <c r="G226" s="64"/>
    </row>
    <row r="227" spans="4:7" ht="14.25" customHeight="1">
      <c r="D227" s="61"/>
      <c r="E227" s="62"/>
      <c r="F227" s="63"/>
      <c r="G227" s="64"/>
    </row>
    <row r="228" spans="4:7" ht="14.25" customHeight="1">
      <c r="D228" s="61"/>
      <c r="E228" s="62"/>
      <c r="F228" s="63"/>
      <c r="G228" s="64"/>
    </row>
    <row r="229" spans="4:7" ht="14.25" customHeight="1">
      <c r="D229" s="61"/>
      <c r="E229" s="62"/>
      <c r="F229" s="63"/>
      <c r="G229" s="64"/>
    </row>
    <row r="230" spans="4:7" ht="14.25" customHeight="1">
      <c r="D230" s="61"/>
      <c r="E230" s="62"/>
      <c r="F230" s="63"/>
      <c r="G230" s="64"/>
    </row>
    <row r="231" spans="4:7" ht="14.25" customHeight="1">
      <c r="D231" s="61"/>
      <c r="E231" s="62"/>
      <c r="F231" s="63"/>
      <c r="G231" s="64"/>
    </row>
    <row r="232" spans="4:7" ht="14.25" customHeight="1">
      <c r="D232" s="61"/>
      <c r="E232" s="62"/>
      <c r="F232" s="63"/>
      <c r="G232" s="64"/>
    </row>
    <row r="233" spans="4:7" ht="14.25" customHeight="1">
      <c r="D233" s="61"/>
      <c r="E233" s="62"/>
      <c r="F233" s="63"/>
      <c r="G233" s="64"/>
    </row>
    <row r="234" spans="4:7" ht="14.25" customHeight="1">
      <c r="D234" s="61"/>
      <c r="E234" s="62"/>
      <c r="F234" s="63"/>
      <c r="G234" s="64"/>
    </row>
    <row r="235" spans="4:7" ht="14.25" customHeight="1">
      <c r="D235" s="61"/>
      <c r="E235" s="62"/>
      <c r="F235" s="63"/>
      <c r="G235" s="64"/>
    </row>
    <row r="236" spans="4:7" ht="14.25" customHeight="1">
      <c r="D236" s="61"/>
      <c r="E236" s="62"/>
      <c r="F236" s="63"/>
      <c r="G236" s="64"/>
    </row>
    <row r="237" spans="4:7" ht="14.25" customHeight="1">
      <c r="D237" s="61"/>
      <c r="E237" s="62"/>
      <c r="F237" s="63"/>
      <c r="G237" s="64"/>
    </row>
    <row r="238" spans="4:7" ht="14.25" customHeight="1">
      <c r="D238" s="61"/>
      <c r="E238" s="62"/>
      <c r="F238" s="63"/>
      <c r="G238" s="64"/>
    </row>
    <row r="239" spans="4:7" ht="14.25" customHeight="1">
      <c r="D239" s="61"/>
      <c r="E239" s="62"/>
      <c r="F239" s="63"/>
      <c r="G239" s="64"/>
    </row>
    <row r="240" spans="4:7" ht="14.25" customHeight="1">
      <c r="D240" s="61"/>
      <c r="E240" s="62"/>
      <c r="F240" s="63"/>
      <c r="G240" s="64"/>
    </row>
    <row r="241" spans="4:7" ht="14.25" customHeight="1">
      <c r="D241" s="61"/>
      <c r="E241" s="62"/>
      <c r="F241" s="63"/>
      <c r="G241" s="64"/>
    </row>
    <row r="242" spans="4:7" ht="14.25" customHeight="1">
      <c r="D242" s="61"/>
      <c r="E242" s="62"/>
      <c r="F242" s="63"/>
      <c r="G242" s="64"/>
    </row>
    <row r="243" spans="4:7" ht="14.25" customHeight="1">
      <c r="D243" s="61"/>
      <c r="E243" s="62"/>
      <c r="F243" s="63"/>
      <c r="G243" s="64"/>
    </row>
    <row r="244" spans="4:7" ht="14.25" customHeight="1">
      <c r="D244" s="61"/>
      <c r="E244" s="62"/>
      <c r="F244" s="63"/>
      <c r="G244" s="64"/>
    </row>
    <row r="245" spans="4:7" ht="14.25" customHeight="1">
      <c r="D245" s="61"/>
      <c r="E245" s="62"/>
      <c r="F245" s="63"/>
      <c r="G245" s="64"/>
    </row>
    <row r="246" spans="4:7" ht="14.25" customHeight="1">
      <c r="D246" s="61"/>
      <c r="E246" s="62"/>
      <c r="F246" s="63"/>
      <c r="G246" s="64"/>
    </row>
    <row r="247" spans="4:7" ht="14.25" customHeight="1">
      <c r="D247" s="61"/>
      <c r="E247" s="62"/>
      <c r="F247" s="63"/>
      <c r="G247" s="64"/>
    </row>
    <row r="248" spans="4:7" ht="14.25" customHeight="1">
      <c r="D248" s="61"/>
      <c r="E248" s="62"/>
      <c r="F248" s="63"/>
      <c r="G248" s="64"/>
    </row>
    <row r="249" spans="4:7" ht="14.25" customHeight="1">
      <c r="D249" s="61"/>
      <c r="E249" s="62"/>
      <c r="F249" s="63"/>
      <c r="G249" s="64"/>
    </row>
    <row r="250" spans="4:7" ht="14.25" customHeight="1">
      <c r="D250" s="61"/>
      <c r="E250" s="62"/>
      <c r="F250" s="63"/>
      <c r="G250" s="64"/>
    </row>
    <row r="251" spans="4:7" ht="14.25" customHeight="1">
      <c r="D251" s="61"/>
      <c r="E251" s="62"/>
      <c r="F251" s="63"/>
      <c r="G251" s="64"/>
    </row>
    <row r="252" spans="4:7" ht="14.25" customHeight="1">
      <c r="D252" s="61"/>
      <c r="E252" s="62"/>
      <c r="F252" s="63"/>
      <c r="G252" s="64"/>
    </row>
    <row r="253" spans="4:7" ht="14.25" customHeight="1">
      <c r="D253" s="61"/>
      <c r="E253" s="62"/>
      <c r="F253" s="63"/>
      <c r="G253" s="64"/>
    </row>
    <row r="254" spans="4:7" ht="14.25" customHeight="1">
      <c r="D254" s="61"/>
      <c r="E254" s="62"/>
      <c r="F254" s="63"/>
      <c r="G254" s="64"/>
    </row>
    <row r="255" spans="4:7" ht="14.25" customHeight="1">
      <c r="D255" s="61"/>
      <c r="E255" s="62"/>
      <c r="F255" s="63"/>
      <c r="G255" s="64"/>
    </row>
    <row r="256" spans="4:7" ht="14.25" customHeight="1">
      <c r="D256" s="61"/>
      <c r="E256" s="62"/>
      <c r="F256" s="63"/>
      <c r="G256" s="64"/>
    </row>
    <row r="257" spans="4:7" ht="14.25" customHeight="1">
      <c r="D257" s="61"/>
      <c r="E257" s="62"/>
      <c r="F257" s="63"/>
      <c r="G257" s="64"/>
    </row>
    <row r="258" spans="4:7" ht="14.25" customHeight="1">
      <c r="D258" s="61"/>
      <c r="E258" s="62"/>
      <c r="F258" s="63"/>
      <c r="G258" s="64"/>
    </row>
    <row r="259" spans="4:7" ht="14.25" customHeight="1">
      <c r="D259" s="61"/>
      <c r="E259" s="62"/>
      <c r="F259" s="63"/>
      <c r="G259" s="64"/>
    </row>
    <row r="260" spans="4:7" ht="14.25" customHeight="1">
      <c r="D260" s="61"/>
      <c r="E260" s="62"/>
      <c r="F260" s="63"/>
      <c r="G260" s="64"/>
    </row>
    <row r="261" spans="4:7" ht="14.25" customHeight="1">
      <c r="D261" s="61"/>
      <c r="E261" s="62"/>
      <c r="F261" s="63"/>
      <c r="G261" s="64"/>
    </row>
    <row r="262" spans="4:7" ht="14.25" customHeight="1">
      <c r="D262" s="61"/>
      <c r="E262" s="62"/>
      <c r="F262" s="63"/>
      <c r="G262" s="64"/>
    </row>
    <row r="263" spans="4:7" ht="14.25" customHeight="1">
      <c r="D263" s="61"/>
      <c r="E263" s="62"/>
      <c r="F263" s="63"/>
      <c r="G263" s="64"/>
    </row>
    <row r="264" spans="4:7" ht="14.25" customHeight="1">
      <c r="D264" s="61"/>
      <c r="E264" s="62"/>
      <c r="F264" s="63"/>
      <c r="G264" s="64"/>
    </row>
    <row r="265" spans="4:7" ht="14.25" customHeight="1">
      <c r="D265" s="61"/>
      <c r="E265" s="62"/>
      <c r="F265" s="63"/>
      <c r="G265" s="64"/>
    </row>
    <row r="266" spans="4:7" ht="14.25" customHeight="1">
      <c r="D266" s="61"/>
      <c r="E266" s="62"/>
      <c r="F266" s="63"/>
      <c r="G266" s="64"/>
    </row>
    <row r="267" spans="4:7" ht="14.25" customHeight="1">
      <c r="D267" s="61"/>
      <c r="E267" s="62"/>
      <c r="F267" s="63"/>
      <c r="G267" s="64"/>
    </row>
    <row r="268" spans="4:7" ht="14.25" customHeight="1">
      <c r="D268" s="61"/>
      <c r="E268" s="62"/>
      <c r="F268" s="63"/>
      <c r="G268" s="64"/>
    </row>
    <row r="269" spans="4:7" ht="14.25" customHeight="1">
      <c r="D269" s="61"/>
      <c r="E269" s="62"/>
      <c r="F269" s="63"/>
      <c r="G269" s="64"/>
    </row>
    <row r="270" spans="4:7" ht="14.25" customHeight="1">
      <c r="D270" s="61"/>
      <c r="E270" s="62"/>
      <c r="F270" s="63"/>
      <c r="G270" s="64"/>
    </row>
    <row r="271" spans="4:7" ht="14.25" customHeight="1">
      <c r="D271" s="61"/>
      <c r="E271" s="62"/>
      <c r="F271" s="63"/>
      <c r="G271" s="64"/>
    </row>
    <row r="272" spans="4:7" ht="14.25" customHeight="1">
      <c r="D272" s="61"/>
      <c r="E272" s="62"/>
      <c r="F272" s="63"/>
      <c r="G272" s="64"/>
    </row>
    <row r="273" spans="4:7" ht="14.25" customHeight="1">
      <c r="D273" s="61"/>
      <c r="E273" s="62"/>
      <c r="F273" s="63"/>
      <c r="G273" s="64"/>
    </row>
    <row r="274" spans="4:7" ht="14.25" customHeight="1">
      <c r="D274" s="61"/>
      <c r="E274" s="62"/>
      <c r="F274" s="63"/>
      <c r="G274" s="64"/>
    </row>
    <row r="275" spans="4:7" ht="14.25" customHeight="1">
      <c r="D275" s="61"/>
      <c r="E275" s="62"/>
      <c r="F275" s="63"/>
      <c r="G275" s="64"/>
    </row>
    <row r="276" spans="4:7" ht="14.25" customHeight="1">
      <c r="D276" s="61"/>
      <c r="E276" s="62"/>
      <c r="F276" s="63"/>
      <c r="G276" s="64"/>
    </row>
    <row r="277" spans="4:7" ht="14.25" customHeight="1">
      <c r="D277" s="61"/>
      <c r="E277" s="62"/>
      <c r="F277" s="63"/>
      <c r="G277" s="64"/>
    </row>
    <row r="278" spans="4:7" ht="14.25" customHeight="1">
      <c r="D278" s="61"/>
      <c r="E278" s="62"/>
      <c r="F278" s="63"/>
      <c r="G278" s="64"/>
    </row>
    <row r="279" spans="4:7" ht="14.25" customHeight="1">
      <c r="D279" s="61"/>
      <c r="E279" s="62"/>
      <c r="F279" s="63"/>
      <c r="G279" s="64"/>
    </row>
    <row r="280" spans="4:7" ht="14.25" customHeight="1">
      <c r="D280" s="61"/>
      <c r="E280" s="62"/>
      <c r="F280" s="63"/>
      <c r="G280" s="64"/>
    </row>
    <row r="281" spans="4:7" ht="14.25" customHeight="1">
      <c r="D281" s="61"/>
      <c r="E281" s="62"/>
      <c r="F281" s="63"/>
      <c r="G281" s="64"/>
    </row>
    <row r="282" spans="4:7" ht="14.25" customHeight="1">
      <c r="D282" s="61"/>
      <c r="E282" s="62"/>
      <c r="F282" s="63"/>
      <c r="G282" s="64"/>
    </row>
    <row r="283" spans="4:7" ht="14.25" customHeight="1">
      <c r="D283" s="61"/>
      <c r="E283" s="62"/>
      <c r="F283" s="63"/>
      <c r="G283" s="64"/>
    </row>
    <row r="284" spans="4:7" ht="14.25" customHeight="1">
      <c r="D284" s="61"/>
      <c r="E284" s="62"/>
      <c r="F284" s="63"/>
      <c r="G284" s="64"/>
    </row>
    <row r="285" spans="4:7" ht="14.25" customHeight="1">
      <c r="D285" s="61"/>
      <c r="E285" s="62"/>
      <c r="F285" s="63"/>
      <c r="G285" s="64"/>
    </row>
    <row r="286" spans="4:7" ht="14.25" customHeight="1">
      <c r="D286" s="61"/>
      <c r="E286" s="62"/>
      <c r="F286" s="63"/>
      <c r="G286" s="64"/>
    </row>
    <row r="287" spans="4:7" ht="14.25" customHeight="1">
      <c r="D287" s="61"/>
      <c r="E287" s="62"/>
      <c r="F287" s="63"/>
      <c r="G287" s="64"/>
    </row>
    <row r="288" spans="4:7" ht="14.25" customHeight="1">
      <c r="D288" s="61"/>
      <c r="E288" s="62"/>
      <c r="F288" s="63"/>
      <c r="G288" s="64"/>
    </row>
    <row r="289" spans="4:7" ht="14.25" customHeight="1">
      <c r="D289" s="61"/>
      <c r="E289" s="62"/>
      <c r="F289" s="63"/>
      <c r="G289" s="64"/>
    </row>
    <row r="290" spans="4:7" ht="14.25" customHeight="1">
      <c r="D290" s="61"/>
      <c r="E290" s="62"/>
      <c r="F290" s="63"/>
      <c r="G290" s="64"/>
    </row>
    <row r="291" spans="4:7" ht="14.25" customHeight="1">
      <c r="D291" s="61"/>
      <c r="E291" s="62"/>
      <c r="F291" s="63"/>
      <c r="G291" s="64"/>
    </row>
    <row r="292" spans="4:7" ht="14.25" customHeight="1">
      <c r="D292" s="61"/>
      <c r="E292" s="62"/>
      <c r="F292" s="63"/>
      <c r="G292" s="64"/>
    </row>
    <row r="293" spans="4:7" ht="14.25" customHeight="1">
      <c r="D293" s="61"/>
      <c r="E293" s="62"/>
      <c r="F293" s="63"/>
      <c r="G293" s="64"/>
    </row>
    <row r="294" spans="4:7" ht="14.25" customHeight="1">
      <c r="D294" s="61"/>
      <c r="E294" s="62"/>
      <c r="F294" s="63"/>
      <c r="G294" s="64"/>
    </row>
    <row r="295" spans="4:7" ht="14.25" customHeight="1">
      <c r="D295" s="61"/>
      <c r="E295" s="62"/>
      <c r="F295" s="63"/>
      <c r="G295" s="64"/>
    </row>
    <row r="296" spans="4:7" ht="14.25" customHeight="1">
      <c r="D296" s="61"/>
      <c r="E296" s="62"/>
      <c r="F296" s="63"/>
      <c r="G296" s="64"/>
    </row>
    <row r="297" spans="4:7" ht="14.25" customHeight="1">
      <c r="D297" s="61"/>
      <c r="E297" s="62"/>
      <c r="F297" s="63"/>
      <c r="G297" s="64"/>
    </row>
    <row r="298" spans="4:7" ht="14.25" customHeight="1">
      <c r="D298" s="61"/>
      <c r="E298" s="62"/>
      <c r="F298" s="63"/>
      <c r="G298" s="64"/>
    </row>
    <row r="299" spans="4:7" ht="14.25" customHeight="1">
      <c r="D299" s="61"/>
      <c r="E299" s="62"/>
      <c r="F299" s="63"/>
      <c r="G299" s="64"/>
    </row>
    <row r="300" spans="4:7" ht="14.25" customHeight="1">
      <c r="D300" s="61"/>
      <c r="E300" s="62"/>
      <c r="F300" s="63"/>
      <c r="G300" s="64"/>
    </row>
    <row r="301" spans="4:7" ht="14.25" customHeight="1">
      <c r="D301" s="61"/>
      <c r="E301" s="62"/>
      <c r="F301" s="63"/>
      <c r="G301" s="64"/>
    </row>
    <row r="302" spans="4:7" ht="14.25" customHeight="1">
      <c r="D302" s="61"/>
      <c r="E302" s="62"/>
      <c r="F302" s="63"/>
      <c r="G302" s="64"/>
    </row>
    <row r="303" spans="4:7" ht="14.25" customHeight="1">
      <c r="D303" s="61"/>
      <c r="E303" s="62"/>
      <c r="F303" s="63"/>
      <c r="G303" s="64"/>
    </row>
    <row r="304" spans="4:7" ht="14.25" customHeight="1">
      <c r="D304" s="61"/>
      <c r="E304" s="62"/>
      <c r="F304" s="63"/>
      <c r="G304" s="64"/>
    </row>
    <row r="305" spans="4:7" ht="14.25" customHeight="1">
      <c r="D305" s="61"/>
      <c r="E305" s="62"/>
      <c r="F305" s="63"/>
      <c r="G305" s="64"/>
    </row>
    <row r="306" spans="4:7" ht="14.25" customHeight="1">
      <c r="D306" s="61"/>
      <c r="E306" s="62"/>
      <c r="F306" s="63"/>
      <c r="G306" s="64"/>
    </row>
    <row r="307" spans="4:7" ht="14.25" customHeight="1">
      <c r="D307" s="61"/>
      <c r="E307" s="62"/>
      <c r="F307" s="63"/>
      <c r="G307" s="64"/>
    </row>
    <row r="308" spans="4:7" ht="14.25" customHeight="1">
      <c r="D308" s="61"/>
      <c r="E308" s="62"/>
      <c r="F308" s="63"/>
      <c r="G308" s="64"/>
    </row>
    <row r="309" spans="4:7" ht="14.25" customHeight="1">
      <c r="D309" s="61"/>
      <c r="E309" s="62"/>
      <c r="F309" s="63"/>
      <c r="G309" s="64"/>
    </row>
    <row r="310" spans="4:7" ht="14.25" customHeight="1">
      <c r="D310" s="61"/>
      <c r="E310" s="62"/>
      <c r="F310" s="63"/>
      <c r="G310" s="64"/>
    </row>
    <row r="311" spans="4:7" ht="14.25" customHeight="1">
      <c r="D311" s="61"/>
      <c r="E311" s="62"/>
      <c r="F311" s="63"/>
      <c r="G311" s="64"/>
    </row>
    <row r="312" spans="4:7" ht="14.25" customHeight="1">
      <c r="D312" s="61"/>
      <c r="E312" s="62"/>
      <c r="F312" s="63"/>
      <c r="G312" s="64"/>
    </row>
    <row r="313" spans="4:7" ht="14.25" customHeight="1">
      <c r="D313" s="61"/>
      <c r="E313" s="62"/>
      <c r="F313" s="63"/>
      <c r="G313" s="64"/>
    </row>
    <row r="314" spans="4:7" ht="14.25" customHeight="1">
      <c r="D314" s="61"/>
      <c r="E314" s="62"/>
      <c r="F314" s="63"/>
      <c r="G314" s="64"/>
    </row>
    <row r="315" spans="4:7" ht="14.25" customHeight="1">
      <c r="D315" s="61"/>
      <c r="E315" s="62"/>
      <c r="F315" s="63"/>
      <c r="G315" s="64"/>
    </row>
    <row r="316" spans="4:7" ht="14.25" customHeight="1">
      <c r="D316" s="61"/>
      <c r="E316" s="62"/>
      <c r="F316" s="63"/>
      <c r="G316" s="64"/>
    </row>
    <row r="317" spans="4:7" ht="14.25" customHeight="1">
      <c r="D317" s="61"/>
      <c r="E317" s="62"/>
      <c r="F317" s="63"/>
      <c r="G317" s="64"/>
    </row>
    <row r="318" spans="4:7" ht="14.25" customHeight="1">
      <c r="D318" s="61"/>
      <c r="E318" s="62"/>
      <c r="F318" s="63"/>
      <c r="G318" s="64"/>
    </row>
    <row r="319" spans="4:7" ht="14.25" customHeight="1">
      <c r="D319" s="61"/>
      <c r="E319" s="62"/>
      <c r="F319" s="63"/>
      <c r="G319" s="64"/>
    </row>
    <row r="320" spans="4:7" ht="14.25" customHeight="1">
      <c r="D320" s="61"/>
      <c r="E320" s="62"/>
      <c r="F320" s="63"/>
      <c r="G320" s="64"/>
    </row>
    <row r="321" spans="4:7" ht="14.25" customHeight="1">
      <c r="D321" s="61"/>
      <c r="E321" s="62"/>
      <c r="F321" s="63"/>
      <c r="G321" s="64"/>
    </row>
    <row r="322" spans="4:7" ht="14.25" customHeight="1">
      <c r="D322" s="61"/>
      <c r="E322" s="62"/>
      <c r="F322" s="63"/>
      <c r="G322" s="64"/>
    </row>
    <row r="323" spans="4:7" ht="14.25" customHeight="1">
      <c r="D323" s="61"/>
      <c r="E323" s="62"/>
      <c r="F323" s="63"/>
      <c r="G323" s="64"/>
    </row>
    <row r="324" spans="4:7" ht="14.25" customHeight="1">
      <c r="D324" s="61"/>
      <c r="E324" s="62"/>
      <c r="F324" s="63"/>
      <c r="G324" s="64"/>
    </row>
    <row r="325" spans="4:7" ht="14.25" customHeight="1">
      <c r="D325" s="61"/>
      <c r="E325" s="62"/>
      <c r="F325" s="63"/>
      <c r="G325" s="64"/>
    </row>
    <row r="326" spans="4:7" ht="14.25" customHeight="1">
      <c r="D326" s="61"/>
      <c r="E326" s="62"/>
      <c r="F326" s="63"/>
      <c r="G326" s="64"/>
    </row>
    <row r="327" spans="4:7" ht="14.25" customHeight="1">
      <c r="D327" s="61"/>
      <c r="E327" s="62"/>
      <c r="F327" s="63"/>
      <c r="G327" s="64"/>
    </row>
    <row r="328" spans="4:7" ht="14.25" customHeight="1">
      <c r="D328" s="61"/>
      <c r="E328" s="62"/>
      <c r="F328" s="63"/>
      <c r="G328" s="64"/>
    </row>
    <row r="329" spans="4:7" ht="14.25" customHeight="1">
      <c r="D329" s="61"/>
      <c r="E329" s="62"/>
      <c r="F329" s="63"/>
      <c r="G329" s="64"/>
    </row>
    <row r="330" spans="4:7" ht="14.25" customHeight="1">
      <c r="D330" s="61"/>
      <c r="E330" s="62"/>
      <c r="F330" s="63"/>
      <c r="G330" s="64"/>
    </row>
    <row r="331" spans="4:7" ht="14.25" customHeight="1">
      <c r="D331" s="61"/>
      <c r="E331" s="62"/>
      <c r="F331" s="63"/>
      <c r="G331" s="64"/>
    </row>
    <row r="332" spans="4:7" ht="14.25" customHeight="1">
      <c r="D332" s="61"/>
      <c r="E332" s="62"/>
      <c r="F332" s="63"/>
      <c r="G332" s="64"/>
    </row>
    <row r="333" spans="4:7" ht="14.25" customHeight="1">
      <c r="D333" s="61"/>
      <c r="E333" s="62"/>
      <c r="F333" s="63"/>
      <c r="G333" s="64"/>
    </row>
    <row r="334" spans="4:7" ht="14.25" customHeight="1">
      <c r="D334" s="61"/>
      <c r="E334" s="62"/>
      <c r="F334" s="63"/>
      <c r="G334" s="64"/>
    </row>
    <row r="335" spans="4:7" ht="14.25" customHeight="1">
      <c r="D335" s="61"/>
      <c r="E335" s="62"/>
      <c r="F335" s="63"/>
      <c r="G335" s="64"/>
    </row>
    <row r="336" spans="4:7" ht="14.25" customHeight="1">
      <c r="D336" s="61"/>
      <c r="E336" s="62"/>
      <c r="F336" s="63"/>
      <c r="G336" s="64"/>
    </row>
    <row r="337" spans="4:7" ht="14.25" customHeight="1">
      <c r="D337" s="61"/>
      <c r="E337" s="62"/>
      <c r="F337" s="63"/>
      <c r="G337" s="64"/>
    </row>
    <row r="338" spans="4:7" ht="14.25" customHeight="1">
      <c r="D338" s="61"/>
      <c r="E338" s="62"/>
      <c r="F338" s="63"/>
      <c r="G338" s="64"/>
    </row>
    <row r="339" spans="4:7" ht="14.25" customHeight="1">
      <c r="D339" s="61"/>
      <c r="E339" s="62"/>
      <c r="F339" s="63"/>
      <c r="G339" s="64"/>
    </row>
    <row r="340" spans="4:7" ht="14.25" customHeight="1">
      <c r="D340" s="61"/>
      <c r="E340" s="62"/>
      <c r="F340" s="63"/>
      <c r="G340" s="64"/>
    </row>
    <row r="341" spans="4:7" ht="14.25" customHeight="1">
      <c r="D341" s="61"/>
      <c r="E341" s="62"/>
      <c r="F341" s="63"/>
      <c r="G341" s="64"/>
    </row>
    <row r="342" spans="4:7" ht="14.25" customHeight="1">
      <c r="D342" s="61"/>
      <c r="E342" s="62"/>
      <c r="F342" s="63"/>
      <c r="G342" s="64"/>
    </row>
    <row r="343" spans="4:7" ht="14.25" customHeight="1">
      <c r="D343" s="61"/>
      <c r="E343" s="62"/>
      <c r="F343" s="63"/>
      <c r="G343" s="64"/>
    </row>
    <row r="344" spans="4:7" ht="14.25" customHeight="1">
      <c r="D344" s="61"/>
      <c r="E344" s="62"/>
      <c r="F344" s="63"/>
      <c r="G344" s="64"/>
    </row>
    <row r="345" spans="4:7" ht="14.25" customHeight="1">
      <c r="D345" s="61"/>
      <c r="E345" s="62"/>
      <c r="F345" s="63"/>
      <c r="G345" s="64"/>
    </row>
    <row r="346" spans="4:7" ht="14.25" customHeight="1">
      <c r="D346" s="61"/>
      <c r="E346" s="62"/>
      <c r="F346" s="63"/>
      <c r="G346" s="64"/>
    </row>
    <row r="347" spans="4:7" ht="14.25" customHeight="1">
      <c r="D347" s="61"/>
      <c r="E347" s="62"/>
      <c r="F347" s="63"/>
      <c r="G347" s="64"/>
    </row>
    <row r="348" spans="4:7" ht="14.25" customHeight="1">
      <c r="D348" s="61"/>
      <c r="E348" s="62"/>
      <c r="F348" s="63"/>
      <c r="G348" s="64"/>
    </row>
    <row r="349" spans="4:7" ht="14.25" customHeight="1">
      <c r="D349" s="61"/>
      <c r="E349" s="62"/>
      <c r="F349" s="63"/>
      <c r="G349" s="64"/>
    </row>
    <row r="350" spans="4:7" ht="14.25" customHeight="1">
      <c r="D350" s="61"/>
      <c r="E350" s="62"/>
      <c r="F350" s="63"/>
      <c r="G350" s="64"/>
    </row>
    <row r="351" spans="4:7" ht="14.25" customHeight="1">
      <c r="D351" s="61"/>
      <c r="E351" s="62"/>
      <c r="F351" s="63"/>
      <c r="G351" s="64"/>
    </row>
    <row r="352" spans="4:7" ht="14.25" customHeight="1">
      <c r="D352" s="61"/>
      <c r="E352" s="62"/>
      <c r="F352" s="63"/>
      <c r="G352" s="64"/>
    </row>
    <row r="353" spans="4:7" ht="14.25" customHeight="1">
      <c r="D353" s="61"/>
      <c r="E353" s="62"/>
      <c r="F353" s="63"/>
      <c r="G353" s="64"/>
    </row>
    <row r="354" spans="4:7" ht="14.25" customHeight="1">
      <c r="D354" s="61"/>
      <c r="E354" s="62"/>
      <c r="F354" s="63"/>
      <c r="G354" s="64"/>
    </row>
    <row r="355" spans="4:7" ht="14.25" customHeight="1">
      <c r="D355" s="61"/>
      <c r="E355" s="62"/>
      <c r="F355" s="63"/>
      <c r="G355" s="64"/>
    </row>
    <row r="356" spans="4:7" ht="14.25" customHeight="1">
      <c r="D356" s="61"/>
      <c r="E356" s="62"/>
      <c r="F356" s="63"/>
      <c r="G356" s="64"/>
    </row>
    <row r="357" spans="4:7" ht="14.25" customHeight="1">
      <c r="D357" s="61"/>
      <c r="E357" s="62"/>
      <c r="F357" s="63"/>
      <c r="G357" s="64"/>
    </row>
    <row r="358" spans="4:7" ht="14.25" customHeight="1">
      <c r="D358" s="61"/>
      <c r="E358" s="62"/>
      <c r="F358" s="63"/>
      <c r="G358" s="64"/>
    </row>
    <row r="359" spans="4:7" ht="14.25" customHeight="1">
      <c r="D359" s="61"/>
      <c r="E359" s="62"/>
      <c r="F359" s="63"/>
      <c r="G359" s="64"/>
    </row>
    <row r="360" spans="4:7" ht="14.25" customHeight="1">
      <c r="D360" s="61"/>
      <c r="E360" s="62"/>
      <c r="F360" s="63"/>
      <c r="G360" s="64"/>
    </row>
    <row r="361" spans="4:7" ht="14.25" customHeight="1">
      <c r="D361" s="61"/>
      <c r="E361" s="62"/>
      <c r="F361" s="63"/>
      <c r="G361" s="64"/>
    </row>
    <row r="362" spans="4:7" ht="14.25" customHeight="1">
      <c r="D362" s="61"/>
      <c r="E362" s="62"/>
      <c r="F362" s="63"/>
      <c r="G362" s="64"/>
    </row>
    <row r="363" spans="4:7" ht="14.25" customHeight="1">
      <c r="D363" s="61"/>
      <c r="E363" s="62"/>
      <c r="F363" s="63"/>
      <c r="G363" s="64"/>
    </row>
    <row r="364" spans="4:7" ht="14.25" customHeight="1">
      <c r="D364" s="61"/>
      <c r="E364" s="62"/>
      <c r="F364" s="63"/>
      <c r="G364" s="64"/>
    </row>
    <row r="365" spans="4:7" ht="14.25" customHeight="1">
      <c r="D365" s="61"/>
      <c r="E365" s="62"/>
      <c r="F365" s="63"/>
      <c r="G365" s="64"/>
    </row>
    <row r="366" spans="4:7" ht="14.25" customHeight="1">
      <c r="D366" s="61"/>
      <c r="E366" s="62"/>
      <c r="F366" s="63"/>
      <c r="G366" s="64"/>
    </row>
    <row r="367" spans="4:7" ht="14.25" customHeight="1">
      <c r="D367" s="61"/>
      <c r="E367" s="62"/>
      <c r="F367" s="63"/>
      <c r="G367" s="64"/>
    </row>
    <row r="368" spans="4:7" ht="14.25" customHeight="1">
      <c r="D368" s="61"/>
      <c r="E368" s="62"/>
      <c r="F368" s="63"/>
      <c r="G368" s="64"/>
    </row>
    <row r="369" spans="4:7" ht="14.25" customHeight="1">
      <c r="D369" s="61"/>
      <c r="E369" s="62"/>
      <c r="F369" s="63"/>
      <c r="G369" s="64"/>
    </row>
    <row r="370" spans="4:7" ht="14.25" customHeight="1">
      <c r="D370" s="61"/>
      <c r="E370" s="62"/>
      <c r="F370" s="63"/>
      <c r="G370" s="64"/>
    </row>
    <row r="371" spans="4:7" ht="14.25" customHeight="1">
      <c r="D371" s="61"/>
      <c r="E371" s="62"/>
      <c r="F371" s="63"/>
      <c r="G371" s="64"/>
    </row>
    <row r="372" spans="4:7" ht="14.25" customHeight="1">
      <c r="D372" s="61"/>
      <c r="E372" s="62"/>
      <c r="F372" s="63"/>
      <c r="G372" s="64"/>
    </row>
    <row r="373" spans="4:7" ht="14.25" customHeight="1">
      <c r="D373" s="61"/>
      <c r="E373" s="62"/>
      <c r="F373" s="63"/>
      <c r="G373" s="64"/>
    </row>
    <row r="374" spans="4:7" ht="14.25" customHeight="1">
      <c r="D374" s="61"/>
      <c r="E374" s="62"/>
      <c r="F374" s="63"/>
      <c r="G374" s="64"/>
    </row>
    <row r="375" spans="4:7" ht="14.25" customHeight="1">
      <c r="D375" s="61"/>
      <c r="E375" s="62"/>
      <c r="F375" s="63"/>
      <c r="G375" s="64"/>
    </row>
    <row r="376" spans="4:7" ht="14.25" customHeight="1">
      <c r="D376" s="61"/>
      <c r="E376" s="62"/>
      <c r="F376" s="63"/>
      <c r="G376" s="64"/>
    </row>
    <row r="377" spans="4:7" ht="14.25" customHeight="1">
      <c r="D377" s="61"/>
      <c r="E377" s="62"/>
      <c r="F377" s="63"/>
      <c r="G377" s="64"/>
    </row>
    <row r="378" spans="4:7" ht="14.25" customHeight="1">
      <c r="D378" s="61"/>
      <c r="E378" s="62"/>
      <c r="F378" s="63"/>
      <c r="G378" s="64"/>
    </row>
    <row r="379" spans="4:7" ht="14.25" customHeight="1">
      <c r="D379" s="61"/>
      <c r="E379" s="62"/>
      <c r="F379" s="63"/>
      <c r="G379" s="64"/>
    </row>
    <row r="380" spans="4:7" ht="14.25" customHeight="1">
      <c r="D380" s="61"/>
      <c r="E380" s="62"/>
      <c r="F380" s="63"/>
      <c r="G380" s="64"/>
    </row>
    <row r="381" spans="4:7" ht="14.25" customHeight="1">
      <c r="D381" s="61"/>
      <c r="E381" s="62"/>
      <c r="F381" s="63"/>
      <c r="G381" s="64"/>
    </row>
    <row r="382" spans="4:7" ht="14.25" customHeight="1">
      <c r="D382" s="61"/>
      <c r="E382" s="62"/>
      <c r="F382" s="63"/>
      <c r="G382" s="64"/>
    </row>
    <row r="383" spans="4:7" ht="14.25" customHeight="1">
      <c r="D383" s="61"/>
      <c r="E383" s="62"/>
      <c r="F383" s="63"/>
      <c r="G383" s="64"/>
    </row>
    <row r="384" spans="4:7" ht="14.25" customHeight="1">
      <c r="D384" s="61"/>
      <c r="E384" s="62"/>
      <c r="F384" s="63"/>
      <c r="G384" s="64"/>
    </row>
    <row r="385" spans="4:7" ht="14.25" customHeight="1">
      <c r="D385" s="61"/>
      <c r="E385" s="62"/>
      <c r="F385" s="63"/>
      <c r="G385" s="64"/>
    </row>
    <row r="386" spans="4:7" ht="14.25" customHeight="1">
      <c r="D386" s="61"/>
      <c r="E386" s="62"/>
      <c r="F386" s="63"/>
      <c r="G386" s="64"/>
    </row>
    <row r="387" spans="4:7" ht="14.25" customHeight="1">
      <c r="D387" s="61"/>
      <c r="E387" s="62"/>
      <c r="F387" s="63"/>
      <c r="G387" s="64"/>
    </row>
    <row r="388" spans="4:7" ht="14.25" customHeight="1">
      <c r="D388" s="61"/>
      <c r="E388" s="62"/>
      <c r="F388" s="63"/>
      <c r="G388" s="64"/>
    </row>
    <row r="389" spans="4:7" ht="14.25" customHeight="1">
      <c r="D389" s="61"/>
      <c r="E389" s="62"/>
      <c r="F389" s="63"/>
      <c r="G389" s="64"/>
    </row>
    <row r="390" spans="4:7" ht="14.25" customHeight="1">
      <c r="D390" s="61"/>
      <c r="E390" s="62"/>
      <c r="F390" s="63"/>
      <c r="G390" s="64"/>
    </row>
    <row r="391" spans="4:7" ht="14.25" customHeight="1">
      <c r="D391" s="61"/>
      <c r="E391" s="62"/>
      <c r="F391" s="63"/>
      <c r="G391" s="64"/>
    </row>
    <row r="392" spans="4:7" ht="14.25" customHeight="1">
      <c r="D392" s="61"/>
      <c r="E392" s="62"/>
      <c r="F392" s="63"/>
      <c r="G392" s="64"/>
    </row>
    <row r="393" spans="4:7" ht="14.25" customHeight="1">
      <c r="D393" s="61"/>
      <c r="E393" s="62"/>
      <c r="F393" s="63"/>
      <c r="G393" s="64"/>
    </row>
    <row r="394" spans="4:7" ht="14.25" customHeight="1">
      <c r="D394" s="61"/>
      <c r="E394" s="62"/>
      <c r="F394" s="63"/>
      <c r="G394" s="64"/>
    </row>
    <row r="395" spans="4:7" ht="14.25" customHeight="1">
      <c r="D395" s="61"/>
      <c r="E395" s="62"/>
      <c r="F395" s="63"/>
      <c r="G395" s="64"/>
    </row>
    <row r="396" spans="4:7" ht="14.25" customHeight="1">
      <c r="D396" s="61"/>
      <c r="E396" s="62"/>
      <c r="F396" s="63"/>
      <c r="G396" s="64"/>
    </row>
    <row r="397" spans="4:7" ht="14.25" customHeight="1">
      <c r="D397" s="61"/>
      <c r="E397" s="62"/>
      <c r="F397" s="63"/>
      <c r="G397" s="64"/>
    </row>
    <row r="398" spans="4:7" ht="14.25" customHeight="1">
      <c r="D398" s="61"/>
      <c r="E398" s="62"/>
      <c r="F398" s="63"/>
      <c r="G398" s="64"/>
    </row>
    <row r="399" spans="4:7" ht="14.25" customHeight="1">
      <c r="D399" s="61"/>
      <c r="E399" s="62"/>
      <c r="F399" s="63"/>
      <c r="G399" s="64"/>
    </row>
    <row r="400" spans="4:7" ht="14.25" customHeight="1">
      <c r="D400" s="61"/>
      <c r="E400" s="62"/>
      <c r="F400" s="63"/>
      <c r="G400" s="64"/>
    </row>
    <row r="401" spans="4:7" ht="14.25" customHeight="1">
      <c r="D401" s="61"/>
      <c r="E401" s="62"/>
      <c r="F401" s="63"/>
      <c r="G401" s="64"/>
    </row>
    <row r="402" spans="4:7" ht="14.25" customHeight="1">
      <c r="D402" s="61"/>
      <c r="E402" s="62"/>
      <c r="F402" s="63"/>
      <c r="G402" s="64"/>
    </row>
    <row r="403" spans="4:7" ht="14.25" customHeight="1">
      <c r="D403" s="61"/>
      <c r="E403" s="62"/>
      <c r="F403" s="63"/>
      <c r="G403" s="64"/>
    </row>
    <row r="404" spans="4:7" ht="14.25" customHeight="1">
      <c r="D404" s="61"/>
      <c r="E404" s="62"/>
      <c r="F404" s="63"/>
      <c r="G404" s="64"/>
    </row>
    <row r="405" spans="4:7" ht="14.25" customHeight="1">
      <c r="D405" s="61"/>
      <c r="E405" s="62"/>
      <c r="F405" s="63"/>
      <c r="G405" s="64"/>
    </row>
    <row r="406" spans="4:7" ht="14.25" customHeight="1">
      <c r="D406" s="61"/>
      <c r="E406" s="62"/>
      <c r="F406" s="63"/>
      <c r="G406" s="64"/>
    </row>
    <row r="407" spans="4:7" ht="14.25" customHeight="1">
      <c r="D407" s="61"/>
      <c r="E407" s="62"/>
      <c r="F407" s="63"/>
      <c r="G407" s="64"/>
    </row>
    <row r="408" spans="4:7" ht="14.25" customHeight="1">
      <c r="D408" s="61"/>
      <c r="E408" s="62"/>
      <c r="F408" s="63"/>
      <c r="G408" s="64"/>
    </row>
    <row r="409" spans="4:7" ht="14.25" customHeight="1">
      <c r="D409" s="61"/>
      <c r="E409" s="62"/>
      <c r="F409" s="63"/>
      <c r="G409" s="64"/>
    </row>
    <row r="410" spans="4:7" ht="14.25" customHeight="1">
      <c r="D410" s="61"/>
      <c r="E410" s="62"/>
      <c r="F410" s="63"/>
      <c r="G410" s="64"/>
    </row>
    <row r="411" spans="4:7" ht="14.25" customHeight="1">
      <c r="D411" s="61"/>
      <c r="E411" s="62"/>
      <c r="F411" s="63"/>
      <c r="G411" s="64"/>
    </row>
    <row r="412" spans="4:7" ht="14.25" customHeight="1">
      <c r="D412" s="61"/>
      <c r="E412" s="62"/>
      <c r="F412" s="63"/>
      <c r="G412" s="64"/>
    </row>
    <row r="413" spans="4:7" ht="14.25" customHeight="1">
      <c r="D413" s="61"/>
      <c r="E413" s="62"/>
      <c r="F413" s="63"/>
      <c r="G413" s="64"/>
    </row>
    <row r="414" spans="4:7" ht="14.25" customHeight="1">
      <c r="D414" s="61"/>
      <c r="E414" s="62"/>
      <c r="F414" s="63"/>
      <c r="G414" s="64"/>
    </row>
    <row r="415" spans="4:7" ht="14.25" customHeight="1">
      <c r="D415" s="61"/>
      <c r="E415" s="62"/>
      <c r="F415" s="63"/>
      <c r="G415" s="64"/>
    </row>
    <row r="416" spans="4:7" ht="14.25" customHeight="1">
      <c r="D416" s="61"/>
      <c r="E416" s="62"/>
      <c r="F416" s="63"/>
      <c r="G416" s="64"/>
    </row>
    <row r="417" spans="4:7" ht="14.25" customHeight="1">
      <c r="D417" s="61"/>
      <c r="E417" s="62"/>
      <c r="F417" s="63"/>
      <c r="G417" s="64"/>
    </row>
    <row r="418" spans="4:7" ht="14.25" customHeight="1">
      <c r="D418" s="61"/>
      <c r="E418" s="62"/>
      <c r="F418" s="63"/>
      <c r="G418" s="64"/>
    </row>
    <row r="419" spans="4:7" ht="14.25" customHeight="1">
      <c r="D419" s="61"/>
      <c r="E419" s="62"/>
      <c r="F419" s="63"/>
      <c r="G419" s="64"/>
    </row>
    <row r="420" spans="4:7" ht="14.25" customHeight="1">
      <c r="D420" s="61"/>
      <c r="E420" s="62"/>
      <c r="F420" s="63"/>
      <c r="G420" s="64"/>
    </row>
    <row r="421" spans="4:7" ht="14.25" customHeight="1">
      <c r="D421" s="61"/>
      <c r="E421" s="62"/>
      <c r="F421" s="63"/>
      <c r="G421" s="64"/>
    </row>
    <row r="422" spans="4:7" ht="14.25" customHeight="1">
      <c r="D422" s="61"/>
      <c r="E422" s="62"/>
      <c r="F422" s="63"/>
      <c r="G422" s="64"/>
    </row>
    <row r="423" spans="4:7" ht="14.25" customHeight="1">
      <c r="D423" s="61"/>
      <c r="E423" s="62"/>
      <c r="F423" s="63"/>
      <c r="G423" s="64"/>
    </row>
    <row r="424" spans="4:7" ht="14.25" customHeight="1">
      <c r="D424" s="61"/>
      <c r="E424" s="62"/>
      <c r="F424" s="63"/>
      <c r="G424" s="64"/>
    </row>
    <row r="425" spans="4:7" ht="14.25" customHeight="1">
      <c r="D425" s="61"/>
      <c r="E425" s="62"/>
      <c r="F425" s="63"/>
      <c r="G425" s="64"/>
    </row>
    <row r="426" spans="4:7" ht="14.25" customHeight="1">
      <c r="D426" s="61"/>
      <c r="E426" s="62"/>
      <c r="F426" s="63"/>
      <c r="G426" s="64"/>
    </row>
    <row r="427" spans="4:7" ht="14.25" customHeight="1">
      <c r="D427" s="61"/>
      <c r="E427" s="62"/>
      <c r="F427" s="63"/>
      <c r="G427" s="64"/>
    </row>
    <row r="428" spans="4:7" ht="14.25" customHeight="1">
      <c r="D428" s="61"/>
      <c r="E428" s="62"/>
      <c r="F428" s="63"/>
      <c r="G428" s="64"/>
    </row>
    <row r="429" spans="4:7" ht="14.25" customHeight="1">
      <c r="D429" s="61"/>
      <c r="E429" s="62"/>
      <c r="F429" s="63"/>
      <c r="G429" s="64"/>
    </row>
    <row r="430" spans="4:7" ht="14.25" customHeight="1">
      <c r="D430" s="61"/>
      <c r="E430" s="62"/>
      <c r="F430" s="63"/>
      <c r="G430" s="64"/>
    </row>
    <row r="431" spans="4:7" ht="14.25" customHeight="1">
      <c r="D431" s="61"/>
      <c r="E431" s="62"/>
      <c r="F431" s="63"/>
      <c r="G431" s="64"/>
    </row>
    <row r="432" spans="4:7" ht="14.25" customHeight="1">
      <c r="D432" s="61"/>
      <c r="E432" s="62"/>
      <c r="F432" s="63"/>
      <c r="G432" s="64"/>
    </row>
    <row r="433" spans="4:7" ht="14.25" customHeight="1">
      <c r="D433" s="61"/>
      <c r="E433" s="62"/>
      <c r="F433" s="63"/>
      <c r="G433" s="64"/>
    </row>
    <row r="434" spans="4:7" ht="14.25" customHeight="1">
      <c r="D434" s="61"/>
      <c r="E434" s="62"/>
      <c r="F434" s="63"/>
      <c r="G434" s="64"/>
    </row>
    <row r="435" spans="4:7" ht="14.25" customHeight="1">
      <c r="D435" s="61"/>
      <c r="E435" s="62"/>
      <c r="F435" s="63"/>
      <c r="G435" s="64"/>
    </row>
    <row r="436" spans="4:7" ht="14.25" customHeight="1">
      <c r="D436" s="61"/>
      <c r="E436" s="62"/>
      <c r="F436" s="63"/>
      <c r="G436" s="64"/>
    </row>
    <row r="437" spans="4:7" ht="14.25" customHeight="1">
      <c r="D437" s="61"/>
      <c r="E437" s="62"/>
      <c r="F437" s="63"/>
      <c r="G437" s="64"/>
    </row>
    <row r="438" spans="4:7" ht="14.25" customHeight="1">
      <c r="D438" s="61"/>
      <c r="E438" s="62"/>
      <c r="F438" s="63"/>
      <c r="G438" s="64"/>
    </row>
    <row r="439" spans="4:7" ht="14.25" customHeight="1">
      <c r="D439" s="61"/>
      <c r="E439" s="62"/>
      <c r="F439" s="63"/>
      <c r="G439" s="64"/>
    </row>
    <row r="440" spans="4:7" ht="14.25" customHeight="1">
      <c r="D440" s="61"/>
      <c r="E440" s="62"/>
      <c r="F440" s="63"/>
      <c r="G440" s="64"/>
    </row>
    <row r="441" spans="4:7" ht="14.25" customHeight="1">
      <c r="D441" s="61"/>
      <c r="E441" s="62"/>
      <c r="F441" s="63"/>
      <c r="G441" s="64"/>
    </row>
    <row r="442" spans="4:7" ht="14.25" customHeight="1">
      <c r="D442" s="61"/>
      <c r="E442" s="62"/>
      <c r="F442" s="63"/>
      <c r="G442" s="64"/>
    </row>
    <row r="443" spans="4:7" ht="14.25" customHeight="1">
      <c r="D443" s="61"/>
      <c r="E443" s="62"/>
      <c r="F443" s="63"/>
      <c r="G443" s="64"/>
    </row>
    <row r="444" spans="4:7" ht="14.25" customHeight="1">
      <c r="D444" s="61"/>
      <c r="E444" s="62"/>
      <c r="F444" s="63"/>
      <c r="G444" s="64"/>
    </row>
    <row r="445" spans="4:7" ht="14.25" customHeight="1">
      <c r="D445" s="61"/>
      <c r="E445" s="62"/>
      <c r="F445" s="63"/>
      <c r="G445" s="64"/>
    </row>
    <row r="446" spans="4:7" ht="14.25" customHeight="1">
      <c r="D446" s="61"/>
      <c r="E446" s="62"/>
      <c r="F446" s="63"/>
      <c r="G446" s="64"/>
    </row>
    <row r="447" spans="4:7" ht="14.25" customHeight="1">
      <c r="D447" s="61"/>
      <c r="E447" s="62"/>
      <c r="F447" s="63"/>
      <c r="G447" s="64"/>
    </row>
    <row r="448" spans="4:7" ht="14.25" customHeight="1">
      <c r="D448" s="61"/>
      <c r="E448" s="62"/>
      <c r="F448" s="63"/>
      <c r="G448" s="64"/>
    </row>
    <row r="449" spans="4:7" ht="14.25" customHeight="1">
      <c r="D449" s="61"/>
      <c r="E449" s="62"/>
      <c r="F449" s="63"/>
      <c r="G449" s="64"/>
    </row>
    <row r="450" spans="4:7" ht="14.25" customHeight="1">
      <c r="D450" s="61"/>
      <c r="E450" s="62"/>
      <c r="F450" s="63"/>
      <c r="G450" s="64"/>
    </row>
    <row r="451" spans="4:7" ht="14.25" customHeight="1">
      <c r="D451" s="61"/>
      <c r="E451" s="62"/>
      <c r="F451" s="63"/>
      <c r="G451" s="64"/>
    </row>
    <row r="452" spans="4:7" ht="14.25" customHeight="1">
      <c r="D452" s="61"/>
      <c r="E452" s="62"/>
      <c r="F452" s="63"/>
      <c r="G452" s="64"/>
    </row>
    <row r="453" spans="4:7" ht="14.25" customHeight="1">
      <c r="D453" s="61"/>
      <c r="E453" s="62"/>
      <c r="F453" s="63"/>
      <c r="G453" s="64"/>
    </row>
    <row r="454" spans="4:7" ht="14.25" customHeight="1">
      <c r="D454" s="61"/>
      <c r="E454" s="62"/>
      <c r="F454" s="63"/>
      <c r="G454" s="64"/>
    </row>
    <row r="455" spans="4:7" ht="14.25" customHeight="1">
      <c r="D455" s="61"/>
      <c r="E455" s="62"/>
      <c r="F455" s="63"/>
      <c r="G455" s="64"/>
    </row>
    <row r="456" spans="4:7" ht="14.25" customHeight="1">
      <c r="D456" s="61"/>
      <c r="E456" s="62"/>
      <c r="F456" s="63"/>
      <c r="G456" s="64"/>
    </row>
    <row r="457" spans="4:7" ht="14.25" customHeight="1">
      <c r="D457" s="61"/>
      <c r="E457" s="62"/>
      <c r="F457" s="63"/>
      <c r="G457" s="64"/>
    </row>
    <row r="458" spans="4:7" ht="14.25" customHeight="1">
      <c r="D458" s="61"/>
      <c r="E458" s="62"/>
      <c r="F458" s="63"/>
      <c r="G458" s="64"/>
    </row>
    <row r="459" spans="4:7" ht="14.25" customHeight="1">
      <c r="D459" s="61"/>
      <c r="E459" s="62"/>
      <c r="F459" s="63"/>
      <c r="G459" s="64"/>
    </row>
    <row r="460" spans="4:7" ht="14.25" customHeight="1">
      <c r="D460" s="61"/>
      <c r="E460" s="62"/>
      <c r="F460" s="63"/>
      <c r="G460" s="64"/>
    </row>
    <row r="461" spans="4:7" ht="14.25" customHeight="1">
      <c r="D461" s="61"/>
      <c r="E461" s="62"/>
      <c r="F461" s="63"/>
      <c r="G461" s="64"/>
    </row>
    <row r="462" spans="4:7" ht="14.25" customHeight="1">
      <c r="D462" s="61"/>
      <c r="E462" s="62"/>
      <c r="F462" s="63"/>
      <c r="G462" s="64"/>
    </row>
    <row r="463" spans="4:7" ht="14.25" customHeight="1">
      <c r="D463" s="61"/>
      <c r="E463" s="62"/>
      <c r="F463" s="63"/>
      <c r="G463" s="64"/>
    </row>
    <row r="464" spans="4:7" ht="14.25" customHeight="1">
      <c r="D464" s="61"/>
      <c r="E464" s="62"/>
      <c r="F464" s="63"/>
      <c r="G464" s="64"/>
    </row>
    <row r="465" spans="4:7" ht="14.25" customHeight="1">
      <c r="D465" s="61"/>
      <c r="E465" s="62"/>
      <c r="F465" s="63"/>
      <c r="G465" s="64"/>
    </row>
    <row r="466" spans="4:7" ht="14.25" customHeight="1">
      <c r="D466" s="61"/>
      <c r="E466" s="62"/>
      <c r="F466" s="63"/>
      <c r="G466" s="64"/>
    </row>
    <row r="467" spans="4:7" ht="14.25" customHeight="1">
      <c r="D467" s="61"/>
      <c r="E467" s="62"/>
      <c r="F467" s="63"/>
      <c r="G467" s="64"/>
    </row>
    <row r="468" spans="4:7" ht="14.25" customHeight="1">
      <c r="D468" s="61"/>
      <c r="E468" s="62"/>
      <c r="F468" s="63"/>
      <c r="G468" s="64"/>
    </row>
    <row r="469" spans="4:7" ht="14.25" customHeight="1">
      <c r="D469" s="61"/>
      <c r="E469" s="62"/>
      <c r="F469" s="63"/>
      <c r="G469" s="64"/>
    </row>
    <row r="470" spans="4:7" ht="14.25" customHeight="1">
      <c r="D470" s="61"/>
      <c r="E470" s="62"/>
      <c r="F470" s="63"/>
      <c r="G470" s="64"/>
    </row>
    <row r="471" spans="4:7" ht="14.25" customHeight="1">
      <c r="D471" s="61"/>
      <c r="E471" s="62"/>
      <c r="F471" s="63"/>
      <c r="G471" s="64"/>
    </row>
    <row r="472" spans="4:7" ht="14.25" customHeight="1">
      <c r="D472" s="61"/>
      <c r="E472" s="62"/>
      <c r="F472" s="63"/>
      <c r="G472" s="64"/>
    </row>
    <row r="473" spans="4:7" ht="14.25" customHeight="1">
      <c r="D473" s="61"/>
      <c r="E473" s="62"/>
      <c r="F473" s="63"/>
      <c r="G473" s="64"/>
    </row>
    <row r="474" spans="4:7" ht="14.25" customHeight="1">
      <c r="D474" s="61"/>
      <c r="E474" s="62"/>
      <c r="F474" s="63"/>
      <c r="G474" s="64"/>
    </row>
    <row r="475" spans="4:7" ht="14.25" customHeight="1">
      <c r="D475" s="61"/>
      <c r="E475" s="62"/>
      <c r="F475" s="63"/>
      <c r="G475" s="64"/>
    </row>
    <row r="476" spans="4:7" ht="14.25" customHeight="1">
      <c r="D476" s="61"/>
      <c r="E476" s="62"/>
      <c r="F476" s="63"/>
      <c r="G476" s="64"/>
    </row>
    <row r="477" spans="4:7" ht="14.25" customHeight="1">
      <c r="D477" s="61"/>
      <c r="E477" s="62"/>
      <c r="F477" s="63"/>
      <c r="G477" s="64"/>
    </row>
    <row r="478" spans="4:7" ht="14.25" customHeight="1">
      <c r="D478" s="61"/>
      <c r="E478" s="62"/>
      <c r="F478" s="63"/>
      <c r="G478" s="64"/>
    </row>
    <row r="479" spans="4:7" ht="14.25" customHeight="1">
      <c r="D479" s="61"/>
      <c r="E479" s="62"/>
      <c r="F479" s="63"/>
      <c r="G479" s="64"/>
    </row>
    <row r="480" spans="4:7" ht="14.25" customHeight="1">
      <c r="D480" s="61"/>
      <c r="E480" s="62"/>
      <c r="F480" s="63"/>
      <c r="G480" s="64"/>
    </row>
    <row r="481" spans="4:7" ht="14.25" customHeight="1">
      <c r="D481" s="61"/>
      <c r="E481" s="62"/>
      <c r="F481" s="63"/>
      <c r="G481" s="64"/>
    </row>
    <row r="482" spans="4:7" ht="14.25" customHeight="1">
      <c r="D482" s="61"/>
      <c r="E482" s="62"/>
      <c r="F482" s="63"/>
      <c r="G482" s="64"/>
    </row>
    <row r="483" spans="4:7" ht="14.25" customHeight="1">
      <c r="D483" s="61"/>
      <c r="E483" s="62"/>
      <c r="F483" s="63"/>
      <c r="G483" s="64"/>
    </row>
    <row r="484" spans="4:7" ht="14.25" customHeight="1">
      <c r="D484" s="61"/>
      <c r="E484" s="62"/>
      <c r="F484" s="63"/>
      <c r="G484" s="64"/>
    </row>
    <row r="485" spans="4:7" ht="14.25" customHeight="1">
      <c r="D485" s="61"/>
      <c r="E485" s="62"/>
      <c r="F485" s="63"/>
      <c r="G485" s="64"/>
    </row>
    <row r="486" spans="4:7" ht="14.25" customHeight="1">
      <c r="D486" s="61"/>
      <c r="E486" s="62"/>
      <c r="F486" s="63"/>
      <c r="G486" s="64"/>
    </row>
    <row r="487" spans="4:7" ht="14.25" customHeight="1">
      <c r="D487" s="61"/>
      <c r="E487" s="62"/>
      <c r="F487" s="63"/>
      <c r="G487" s="64"/>
    </row>
    <row r="488" spans="4:7" ht="14.25" customHeight="1">
      <c r="D488" s="61"/>
      <c r="E488" s="62"/>
      <c r="F488" s="63"/>
      <c r="G488" s="64"/>
    </row>
    <row r="489" spans="4:7" ht="14.25" customHeight="1">
      <c r="D489" s="61"/>
      <c r="E489" s="62"/>
      <c r="F489" s="63"/>
      <c r="G489" s="64"/>
    </row>
    <row r="490" spans="4:7" ht="14.25" customHeight="1">
      <c r="D490" s="61"/>
      <c r="E490" s="62"/>
      <c r="F490" s="63"/>
      <c r="G490" s="64"/>
    </row>
    <row r="491" spans="4:7" ht="14.25" customHeight="1">
      <c r="D491" s="61"/>
      <c r="E491" s="62"/>
      <c r="F491" s="63"/>
      <c r="G491" s="64"/>
    </row>
    <row r="492" spans="4:7" ht="14.25" customHeight="1">
      <c r="D492" s="61"/>
      <c r="E492" s="62"/>
      <c r="F492" s="63"/>
      <c r="G492" s="64"/>
    </row>
    <row r="493" spans="4:7" ht="14.25" customHeight="1">
      <c r="D493" s="61"/>
      <c r="E493" s="62"/>
      <c r="F493" s="63"/>
      <c r="G493" s="64"/>
    </row>
    <row r="494" spans="4:7" ht="14.25" customHeight="1">
      <c r="D494" s="61"/>
      <c r="E494" s="62"/>
      <c r="F494" s="63"/>
      <c r="G494" s="64"/>
    </row>
    <row r="495" spans="4:7" ht="14.25" customHeight="1">
      <c r="D495" s="61"/>
      <c r="E495" s="62"/>
      <c r="F495" s="63"/>
      <c r="G495" s="64"/>
    </row>
    <row r="496" spans="4:7" ht="14.25" customHeight="1">
      <c r="D496" s="61"/>
      <c r="E496" s="62"/>
      <c r="F496" s="63"/>
      <c r="G496" s="64"/>
    </row>
    <row r="497" spans="4:7" ht="14.25" customHeight="1">
      <c r="D497" s="61"/>
      <c r="E497" s="62"/>
      <c r="F497" s="63"/>
      <c r="G497" s="64"/>
    </row>
    <row r="498" spans="4:7" ht="14.25" customHeight="1">
      <c r="D498" s="61"/>
      <c r="E498" s="62"/>
      <c r="F498" s="63"/>
      <c r="G498" s="64"/>
    </row>
    <row r="499" spans="4:7" ht="14.25" customHeight="1">
      <c r="D499" s="61"/>
      <c r="E499" s="62"/>
      <c r="F499" s="63"/>
      <c r="G499" s="64"/>
    </row>
    <row r="500" spans="4:7" ht="14.25" customHeight="1">
      <c r="D500" s="61"/>
      <c r="E500" s="62"/>
      <c r="F500" s="63"/>
      <c r="G500" s="64"/>
    </row>
    <row r="501" spans="4:7" ht="14.25" customHeight="1">
      <c r="D501" s="61"/>
      <c r="E501" s="62"/>
      <c r="F501" s="63"/>
      <c r="G501" s="64"/>
    </row>
    <row r="502" spans="4:7" ht="14.25" customHeight="1">
      <c r="D502" s="61"/>
      <c r="E502" s="62"/>
      <c r="F502" s="63"/>
      <c r="G502" s="64"/>
    </row>
    <row r="503" spans="4:7" ht="14.25" customHeight="1">
      <c r="D503" s="61"/>
      <c r="E503" s="62"/>
      <c r="F503" s="63"/>
      <c r="G503" s="64"/>
    </row>
    <row r="504" spans="4:7" ht="14.25" customHeight="1">
      <c r="D504" s="61"/>
      <c r="E504" s="62"/>
      <c r="F504" s="63"/>
      <c r="G504" s="64"/>
    </row>
    <row r="505" spans="4:7" ht="14.25" customHeight="1">
      <c r="D505" s="61"/>
      <c r="E505" s="62"/>
      <c r="F505" s="63"/>
      <c r="G505" s="64"/>
    </row>
    <row r="506" spans="4:7" ht="14.25" customHeight="1">
      <c r="D506" s="61"/>
      <c r="E506" s="62"/>
      <c r="F506" s="63"/>
      <c r="G506" s="64"/>
    </row>
    <row r="507" spans="4:7" ht="14.25" customHeight="1">
      <c r="D507" s="61"/>
      <c r="E507" s="62"/>
      <c r="F507" s="63"/>
      <c r="G507" s="64"/>
    </row>
    <row r="508" spans="4:7" ht="14.25" customHeight="1">
      <c r="D508" s="61"/>
      <c r="E508" s="62"/>
      <c r="F508" s="63"/>
      <c r="G508" s="64"/>
    </row>
    <row r="509" spans="4:7" ht="14.25" customHeight="1">
      <c r="D509" s="61"/>
      <c r="E509" s="62"/>
      <c r="F509" s="63"/>
      <c r="G509" s="64"/>
    </row>
    <row r="510" spans="4:7" ht="14.25" customHeight="1">
      <c r="D510" s="61"/>
      <c r="E510" s="62"/>
      <c r="F510" s="63"/>
      <c r="G510" s="64"/>
    </row>
    <row r="511" spans="4:7" ht="14.25" customHeight="1">
      <c r="D511" s="61"/>
      <c r="E511" s="62"/>
      <c r="F511" s="63"/>
      <c r="G511" s="64"/>
    </row>
    <row r="512" spans="4:7" ht="14.25" customHeight="1">
      <c r="D512" s="61"/>
      <c r="E512" s="62"/>
      <c r="F512" s="63"/>
      <c r="G512" s="64"/>
    </row>
    <row r="513" spans="4:7" ht="14.25" customHeight="1">
      <c r="D513" s="61"/>
      <c r="E513" s="62"/>
      <c r="F513" s="63"/>
      <c r="G513" s="64"/>
    </row>
    <row r="514" spans="4:7" ht="14.25" customHeight="1">
      <c r="D514" s="61"/>
      <c r="E514" s="62"/>
      <c r="F514" s="63"/>
      <c r="G514" s="64"/>
    </row>
    <row r="515" spans="4:7" ht="14.25" customHeight="1">
      <c r="D515" s="61"/>
      <c r="E515" s="62"/>
      <c r="F515" s="63"/>
      <c r="G515" s="64"/>
    </row>
    <row r="516" spans="4:7" ht="14.25" customHeight="1">
      <c r="D516" s="61"/>
      <c r="E516" s="62"/>
      <c r="F516" s="63"/>
      <c r="G516" s="64"/>
    </row>
    <row r="517" spans="4:7" ht="14.25" customHeight="1">
      <c r="D517" s="61"/>
      <c r="E517" s="62"/>
      <c r="F517" s="63"/>
      <c r="G517" s="64"/>
    </row>
    <row r="518" spans="4:7" ht="14.25" customHeight="1">
      <c r="D518" s="61"/>
      <c r="E518" s="62"/>
      <c r="F518" s="63"/>
      <c r="G518" s="64"/>
    </row>
    <row r="519" spans="4:7" ht="14.25" customHeight="1">
      <c r="D519" s="61"/>
      <c r="E519" s="62"/>
      <c r="F519" s="63"/>
      <c r="G519" s="64"/>
    </row>
    <row r="520" spans="4:7" ht="14.25" customHeight="1">
      <c r="D520" s="61"/>
      <c r="E520" s="62"/>
      <c r="F520" s="63"/>
      <c r="G520" s="64"/>
    </row>
    <row r="521" spans="4:7" ht="14.25" customHeight="1">
      <c r="D521" s="61"/>
      <c r="E521" s="62"/>
      <c r="F521" s="63"/>
      <c r="G521" s="64"/>
    </row>
    <row r="522" spans="4:7" ht="14.25" customHeight="1">
      <c r="D522" s="61"/>
      <c r="E522" s="62"/>
      <c r="F522" s="63"/>
      <c r="G522" s="64"/>
    </row>
    <row r="523" spans="4:7" ht="14.25" customHeight="1">
      <c r="D523" s="61"/>
      <c r="E523" s="62"/>
      <c r="F523" s="63"/>
      <c r="G523" s="64"/>
    </row>
    <row r="524" spans="4:7" ht="14.25" customHeight="1">
      <c r="D524" s="61"/>
      <c r="E524" s="62"/>
      <c r="F524" s="63"/>
      <c r="G524" s="64"/>
    </row>
    <row r="525" spans="4:7" ht="14.25" customHeight="1">
      <c r="D525" s="61"/>
      <c r="E525" s="62"/>
      <c r="F525" s="63"/>
      <c r="G525" s="64"/>
    </row>
    <row r="526" spans="4:7" ht="14.25" customHeight="1">
      <c r="D526" s="61"/>
      <c r="E526" s="62"/>
      <c r="F526" s="63"/>
      <c r="G526" s="64"/>
    </row>
    <row r="527" spans="4:7" ht="14.25" customHeight="1">
      <c r="D527" s="61"/>
      <c r="E527" s="62"/>
      <c r="F527" s="63"/>
      <c r="G527" s="64"/>
    </row>
    <row r="528" spans="4:7" ht="14.25" customHeight="1">
      <c r="D528" s="61"/>
      <c r="E528" s="62"/>
      <c r="F528" s="63"/>
      <c r="G528" s="64"/>
    </row>
    <row r="529" spans="4:7" ht="14.25" customHeight="1">
      <c r="D529" s="61"/>
      <c r="E529" s="62"/>
      <c r="F529" s="63"/>
      <c r="G529" s="64"/>
    </row>
    <row r="530" spans="4:7" ht="14.25" customHeight="1">
      <c r="D530" s="61"/>
      <c r="E530" s="62"/>
      <c r="F530" s="63"/>
      <c r="G530" s="64"/>
    </row>
    <row r="531" spans="4:7" ht="14.25" customHeight="1">
      <c r="D531" s="61"/>
      <c r="E531" s="62"/>
      <c r="F531" s="63"/>
      <c r="G531" s="64"/>
    </row>
    <row r="532" spans="4:7" ht="14.25" customHeight="1">
      <c r="D532" s="61"/>
      <c r="E532" s="62"/>
      <c r="F532" s="63"/>
      <c r="G532" s="64"/>
    </row>
    <row r="533" spans="4:7" ht="14.25" customHeight="1">
      <c r="D533" s="61"/>
      <c r="E533" s="62"/>
      <c r="F533" s="63"/>
      <c r="G533" s="64"/>
    </row>
    <row r="534" spans="4:7" ht="14.25" customHeight="1">
      <c r="D534" s="61"/>
      <c r="E534" s="62"/>
      <c r="F534" s="63"/>
      <c r="G534" s="64"/>
    </row>
    <row r="535" spans="4:7" ht="14.25" customHeight="1">
      <c r="D535" s="61"/>
      <c r="E535" s="62"/>
      <c r="F535" s="63"/>
      <c r="G535" s="64"/>
    </row>
    <row r="536" spans="4:7" ht="14.25" customHeight="1">
      <c r="D536" s="61"/>
      <c r="E536" s="62"/>
      <c r="F536" s="63"/>
      <c r="G536" s="64"/>
    </row>
    <row r="537" spans="4:7" ht="14.25" customHeight="1">
      <c r="D537" s="61"/>
      <c r="E537" s="62"/>
      <c r="F537" s="63"/>
      <c r="G537" s="64"/>
    </row>
    <row r="538" spans="4:7" ht="14.25" customHeight="1">
      <c r="D538" s="61"/>
      <c r="E538" s="62"/>
      <c r="F538" s="63"/>
      <c r="G538" s="64"/>
    </row>
    <row r="539" spans="4:7" ht="14.25" customHeight="1">
      <c r="D539" s="61"/>
      <c r="E539" s="62"/>
      <c r="F539" s="63"/>
      <c r="G539" s="64"/>
    </row>
    <row r="540" spans="4:7" ht="14.25" customHeight="1">
      <c r="D540" s="61"/>
      <c r="E540" s="62"/>
      <c r="F540" s="63"/>
      <c r="G540" s="64"/>
    </row>
    <row r="541" spans="4:7" ht="14.25" customHeight="1">
      <c r="D541" s="61"/>
      <c r="E541" s="62"/>
      <c r="F541" s="63"/>
      <c r="G541" s="64"/>
    </row>
    <row r="542" spans="4:7" ht="14.25" customHeight="1">
      <c r="D542" s="61"/>
      <c r="E542" s="62"/>
      <c r="F542" s="63"/>
      <c r="G542" s="64"/>
    </row>
    <row r="543" spans="4:7" ht="14.25" customHeight="1">
      <c r="D543" s="61"/>
      <c r="E543" s="62"/>
      <c r="F543" s="63"/>
      <c r="G543" s="64"/>
    </row>
    <row r="544" spans="4:7" ht="14.25" customHeight="1">
      <c r="D544" s="61"/>
      <c r="E544" s="62"/>
      <c r="F544" s="63"/>
      <c r="G544" s="64"/>
    </row>
    <row r="545" spans="4:7" ht="14.25" customHeight="1">
      <c r="D545" s="61"/>
      <c r="E545" s="62"/>
      <c r="F545" s="63"/>
      <c r="G545" s="64"/>
    </row>
    <row r="546" spans="4:7" ht="14.25" customHeight="1">
      <c r="D546" s="61"/>
      <c r="E546" s="62"/>
      <c r="F546" s="63"/>
      <c r="G546" s="64"/>
    </row>
    <row r="547" spans="4:7" ht="14.25" customHeight="1">
      <c r="D547" s="61"/>
      <c r="E547" s="62"/>
      <c r="F547" s="63"/>
      <c r="G547" s="64"/>
    </row>
    <row r="548" spans="4:7" ht="14.25" customHeight="1">
      <c r="D548" s="61"/>
      <c r="E548" s="62"/>
      <c r="F548" s="63"/>
      <c r="G548" s="64"/>
    </row>
    <row r="549" spans="4:7" ht="14.25" customHeight="1">
      <c r="D549" s="61"/>
      <c r="E549" s="62"/>
      <c r="F549" s="63"/>
      <c r="G549" s="64"/>
    </row>
    <row r="550" spans="4:7" ht="14.25" customHeight="1">
      <c r="D550" s="61"/>
      <c r="E550" s="62"/>
      <c r="F550" s="63"/>
      <c r="G550" s="64"/>
    </row>
    <row r="551" spans="4:7" ht="14.25" customHeight="1">
      <c r="D551" s="61"/>
      <c r="E551" s="62"/>
      <c r="F551" s="63"/>
      <c r="G551" s="64"/>
    </row>
    <row r="552" spans="4:7" ht="14.25" customHeight="1">
      <c r="D552" s="61"/>
      <c r="E552" s="62"/>
      <c r="F552" s="63"/>
      <c r="G552" s="64"/>
    </row>
    <row r="553" spans="4:7" ht="14.25" customHeight="1">
      <c r="D553" s="61"/>
      <c r="E553" s="62"/>
      <c r="F553" s="63"/>
      <c r="G553" s="64"/>
    </row>
    <row r="554" spans="4:7" ht="14.25" customHeight="1">
      <c r="D554" s="61"/>
      <c r="E554" s="62"/>
      <c r="F554" s="63"/>
      <c r="G554" s="64"/>
    </row>
    <row r="555" spans="4:7" ht="14.25" customHeight="1">
      <c r="D555" s="61"/>
      <c r="E555" s="62"/>
      <c r="F555" s="63"/>
      <c r="G555" s="64"/>
    </row>
    <row r="556" spans="4:7" ht="14.25" customHeight="1">
      <c r="D556" s="61"/>
      <c r="E556" s="62"/>
      <c r="F556" s="63"/>
      <c r="G556" s="64"/>
    </row>
    <row r="557" spans="4:7" ht="14.25" customHeight="1">
      <c r="D557" s="61"/>
      <c r="E557" s="62"/>
      <c r="F557" s="63"/>
      <c r="G557" s="64"/>
    </row>
    <row r="558" spans="4:7" ht="14.25" customHeight="1">
      <c r="D558" s="61"/>
      <c r="E558" s="62"/>
      <c r="F558" s="63"/>
      <c r="G558" s="64"/>
    </row>
    <row r="559" spans="4:7" ht="14.25" customHeight="1">
      <c r="D559" s="61"/>
      <c r="E559" s="62"/>
      <c r="F559" s="63"/>
      <c r="G559" s="64"/>
    </row>
    <row r="560" spans="4:7" ht="14.25" customHeight="1">
      <c r="D560" s="61"/>
      <c r="E560" s="62"/>
      <c r="F560" s="63"/>
      <c r="G560" s="64"/>
    </row>
    <row r="561" spans="4:7" ht="14.25" customHeight="1">
      <c r="D561" s="61"/>
      <c r="E561" s="62"/>
      <c r="F561" s="63"/>
      <c r="G561" s="64"/>
    </row>
    <row r="562" spans="4:7" ht="14.25" customHeight="1">
      <c r="D562" s="61"/>
      <c r="E562" s="62"/>
      <c r="F562" s="63"/>
      <c r="G562" s="64"/>
    </row>
    <row r="563" spans="4:7" ht="14.25" customHeight="1">
      <c r="D563" s="61"/>
      <c r="E563" s="62"/>
      <c r="F563" s="63"/>
      <c r="G563" s="64"/>
    </row>
    <row r="564" spans="4:7" ht="14.25" customHeight="1">
      <c r="D564" s="61"/>
      <c r="E564" s="62"/>
      <c r="F564" s="63"/>
      <c r="G564" s="64"/>
    </row>
    <row r="565" spans="4:7" ht="14.25" customHeight="1">
      <c r="D565" s="61"/>
      <c r="E565" s="62"/>
      <c r="F565" s="63"/>
      <c r="G565" s="64"/>
    </row>
    <row r="566" spans="4:7" ht="14.25" customHeight="1">
      <c r="D566" s="61"/>
      <c r="E566" s="62"/>
      <c r="F566" s="63"/>
      <c r="G566" s="64"/>
    </row>
    <row r="567" spans="4:7" ht="14.25" customHeight="1">
      <c r="D567" s="61"/>
      <c r="E567" s="62"/>
      <c r="F567" s="63"/>
      <c r="G567" s="64"/>
    </row>
    <row r="568" spans="4:7" ht="14.25" customHeight="1">
      <c r="D568" s="61"/>
      <c r="E568" s="62"/>
      <c r="F568" s="63"/>
      <c r="G568" s="64"/>
    </row>
    <row r="569" spans="4:7" ht="14.25" customHeight="1">
      <c r="D569" s="61"/>
      <c r="E569" s="62"/>
      <c r="F569" s="63"/>
      <c r="G569" s="64"/>
    </row>
    <row r="570" spans="4:7" ht="14.25" customHeight="1">
      <c r="D570" s="61"/>
      <c r="E570" s="62"/>
      <c r="F570" s="63"/>
      <c r="G570" s="64"/>
    </row>
    <row r="571" spans="4:7" ht="14.25" customHeight="1">
      <c r="D571" s="61"/>
      <c r="E571" s="62"/>
      <c r="F571" s="63"/>
      <c r="G571" s="64"/>
    </row>
    <row r="572" spans="4:7" ht="14.25" customHeight="1">
      <c r="D572" s="61"/>
      <c r="E572" s="62"/>
      <c r="F572" s="63"/>
      <c r="G572" s="64"/>
    </row>
    <row r="573" spans="4:7" ht="14.25" customHeight="1">
      <c r="D573" s="61"/>
      <c r="E573" s="62"/>
      <c r="F573" s="63"/>
      <c r="G573" s="64"/>
    </row>
    <row r="574" spans="4:7" ht="14.25" customHeight="1">
      <c r="D574" s="61"/>
      <c r="E574" s="62"/>
      <c r="F574" s="63"/>
      <c r="G574" s="64"/>
    </row>
    <row r="575" spans="4:7" ht="14.25" customHeight="1">
      <c r="D575" s="61"/>
      <c r="E575" s="62"/>
      <c r="F575" s="63"/>
      <c r="G575" s="64"/>
    </row>
    <row r="576" spans="4:7" ht="14.25" customHeight="1">
      <c r="D576" s="61"/>
      <c r="E576" s="62"/>
      <c r="F576" s="63"/>
      <c r="G576" s="64"/>
    </row>
    <row r="577" spans="4:7" ht="14.25" customHeight="1">
      <c r="D577" s="61"/>
      <c r="E577" s="62"/>
      <c r="F577" s="63"/>
      <c r="G577" s="64"/>
    </row>
    <row r="578" spans="4:7" ht="14.25" customHeight="1">
      <c r="D578" s="61"/>
      <c r="E578" s="62"/>
      <c r="F578" s="63"/>
      <c r="G578" s="64"/>
    </row>
    <row r="579" spans="4:7" ht="14.25" customHeight="1">
      <c r="D579" s="61"/>
      <c r="E579" s="62"/>
      <c r="F579" s="63"/>
      <c r="G579" s="64"/>
    </row>
    <row r="580" spans="4:7" ht="14.25" customHeight="1">
      <c r="D580" s="61"/>
      <c r="E580" s="62"/>
      <c r="F580" s="63"/>
      <c r="G580" s="64"/>
    </row>
    <row r="581" spans="4:7" ht="14.25" customHeight="1">
      <c r="D581" s="61"/>
      <c r="E581" s="62"/>
      <c r="F581" s="63"/>
      <c r="G581" s="64"/>
    </row>
    <row r="582" spans="4:7" ht="14.25" customHeight="1">
      <c r="D582" s="61"/>
      <c r="E582" s="62"/>
      <c r="F582" s="63"/>
      <c r="G582" s="64"/>
    </row>
    <row r="583" spans="4:7" ht="14.25" customHeight="1">
      <c r="D583" s="61"/>
      <c r="E583" s="62"/>
      <c r="F583" s="63"/>
      <c r="G583" s="64"/>
    </row>
    <row r="584" spans="4:7" ht="14.25" customHeight="1">
      <c r="D584" s="61"/>
      <c r="E584" s="62"/>
      <c r="F584" s="63"/>
      <c r="G584" s="64"/>
    </row>
    <row r="585" spans="4:7" ht="14.25" customHeight="1">
      <c r="D585" s="61"/>
      <c r="E585" s="62"/>
      <c r="F585" s="63"/>
      <c r="G585" s="64"/>
    </row>
    <row r="586" spans="4:7" ht="14.25" customHeight="1">
      <c r="D586" s="61"/>
      <c r="E586" s="62"/>
      <c r="F586" s="63"/>
      <c r="G586" s="64"/>
    </row>
    <row r="587" spans="4:7" ht="14.25" customHeight="1">
      <c r="D587" s="61"/>
      <c r="E587" s="62"/>
      <c r="F587" s="63"/>
      <c r="G587" s="64"/>
    </row>
    <row r="588" spans="4:7" ht="14.25" customHeight="1">
      <c r="D588" s="61"/>
      <c r="E588" s="62"/>
      <c r="F588" s="63"/>
      <c r="G588" s="64"/>
    </row>
    <row r="589" spans="4:7" ht="14.25" customHeight="1">
      <c r="D589" s="61"/>
      <c r="E589" s="62"/>
      <c r="F589" s="63"/>
      <c r="G589" s="64"/>
    </row>
    <row r="590" spans="4:7" ht="14.25" customHeight="1">
      <c r="D590" s="61"/>
      <c r="E590" s="62"/>
      <c r="F590" s="63"/>
      <c r="G590" s="64"/>
    </row>
    <row r="591" spans="4:7" ht="14.25" customHeight="1">
      <c r="D591" s="61"/>
      <c r="E591" s="62"/>
      <c r="F591" s="63"/>
      <c r="G591" s="64"/>
    </row>
    <row r="592" spans="4:7" ht="14.25" customHeight="1">
      <c r="D592" s="61"/>
      <c r="E592" s="62"/>
      <c r="F592" s="63"/>
      <c r="G592" s="64"/>
    </row>
    <row r="593" spans="4:7" ht="14.25" customHeight="1">
      <c r="D593" s="61"/>
      <c r="E593" s="62"/>
      <c r="F593" s="63"/>
      <c r="G593" s="64"/>
    </row>
    <row r="594" spans="4:7" ht="14.25" customHeight="1">
      <c r="D594" s="61"/>
      <c r="E594" s="62"/>
      <c r="F594" s="63"/>
      <c r="G594" s="64"/>
    </row>
    <row r="595" spans="4:7" ht="14.25" customHeight="1">
      <c r="D595" s="61"/>
      <c r="E595" s="62"/>
      <c r="F595" s="63"/>
      <c r="G595" s="64"/>
    </row>
    <row r="596" spans="4:7" ht="14.25" customHeight="1">
      <c r="D596" s="61"/>
      <c r="E596" s="62"/>
      <c r="F596" s="63"/>
      <c r="G596" s="64"/>
    </row>
    <row r="597" spans="4:7" ht="14.25" customHeight="1">
      <c r="D597" s="61"/>
      <c r="E597" s="62"/>
      <c r="F597" s="63"/>
      <c r="G597" s="64"/>
    </row>
    <row r="598" spans="4:7" ht="14.25" customHeight="1">
      <c r="D598" s="61"/>
      <c r="E598" s="62"/>
      <c r="F598" s="63"/>
      <c r="G598" s="64"/>
    </row>
    <row r="599" spans="4:7" ht="14.25" customHeight="1">
      <c r="D599" s="61"/>
      <c r="E599" s="62"/>
      <c r="F599" s="63"/>
      <c r="G599" s="64"/>
    </row>
    <row r="600" spans="4:7" ht="14.25" customHeight="1">
      <c r="D600" s="61"/>
      <c r="E600" s="62"/>
      <c r="F600" s="63"/>
      <c r="G600" s="64"/>
    </row>
    <row r="601" spans="4:7" ht="14.25" customHeight="1">
      <c r="D601" s="61"/>
      <c r="E601" s="62"/>
      <c r="F601" s="63"/>
      <c r="G601" s="64"/>
    </row>
    <row r="602" spans="4:7" ht="14.25" customHeight="1">
      <c r="D602" s="61"/>
      <c r="E602" s="62"/>
      <c r="F602" s="63"/>
      <c r="G602" s="64"/>
    </row>
    <row r="603" spans="4:7" ht="14.25" customHeight="1">
      <c r="D603" s="61"/>
      <c r="E603" s="62"/>
      <c r="F603" s="63"/>
      <c r="G603" s="64"/>
    </row>
    <row r="604" spans="4:7" ht="14.25" customHeight="1">
      <c r="D604" s="61"/>
      <c r="E604" s="62"/>
      <c r="F604" s="63"/>
      <c r="G604" s="64"/>
    </row>
    <row r="605" spans="4:7" ht="14.25" customHeight="1">
      <c r="D605" s="61"/>
      <c r="E605" s="62"/>
      <c r="F605" s="63"/>
      <c r="G605" s="64"/>
    </row>
    <row r="606" spans="4:7" ht="14.25" customHeight="1">
      <c r="D606" s="61"/>
      <c r="E606" s="62"/>
      <c r="F606" s="63"/>
      <c r="G606" s="64"/>
    </row>
    <row r="607" spans="4:7" ht="14.25" customHeight="1">
      <c r="D607" s="61"/>
      <c r="E607" s="62"/>
      <c r="F607" s="63"/>
      <c r="G607" s="64"/>
    </row>
    <row r="608" spans="4:7" ht="14.25" customHeight="1">
      <c r="D608" s="61"/>
      <c r="E608" s="62"/>
      <c r="F608" s="63"/>
      <c r="G608" s="64"/>
    </row>
    <row r="609" spans="4:7" ht="14.25" customHeight="1">
      <c r="D609" s="61"/>
      <c r="E609" s="62"/>
      <c r="F609" s="63"/>
      <c r="G609" s="64"/>
    </row>
    <row r="610" spans="4:7" ht="14.25" customHeight="1">
      <c r="D610" s="61"/>
      <c r="E610" s="62"/>
      <c r="F610" s="63"/>
      <c r="G610" s="64"/>
    </row>
    <row r="611" spans="4:7" ht="14.25" customHeight="1">
      <c r="D611" s="61"/>
      <c r="E611" s="62"/>
      <c r="F611" s="63"/>
      <c r="G611" s="64"/>
    </row>
    <row r="612" spans="4:7" ht="14.25" customHeight="1">
      <c r="D612" s="61"/>
      <c r="E612" s="62"/>
      <c r="F612" s="63"/>
      <c r="G612" s="64"/>
    </row>
    <row r="613" spans="4:7" ht="14.25" customHeight="1">
      <c r="D613" s="61"/>
      <c r="E613" s="62"/>
      <c r="F613" s="63"/>
      <c r="G613" s="64"/>
    </row>
    <row r="614" spans="4:7" ht="14.25" customHeight="1">
      <c r="D614" s="61"/>
      <c r="E614" s="62"/>
      <c r="F614" s="63"/>
      <c r="G614" s="64"/>
    </row>
    <row r="615" spans="4:7" ht="14.25" customHeight="1">
      <c r="D615" s="61"/>
      <c r="E615" s="62"/>
      <c r="F615" s="63"/>
      <c r="G615" s="64"/>
    </row>
    <row r="616" spans="4:7" ht="14.25" customHeight="1">
      <c r="D616" s="61"/>
      <c r="E616" s="62"/>
      <c r="F616" s="63"/>
      <c r="G616" s="64"/>
    </row>
    <row r="617" spans="4:7" ht="14.25" customHeight="1">
      <c r="D617" s="61"/>
      <c r="E617" s="62"/>
      <c r="F617" s="63"/>
      <c r="G617" s="64"/>
    </row>
    <row r="618" spans="4:7" ht="14.25" customHeight="1">
      <c r="D618" s="61"/>
      <c r="E618" s="62"/>
      <c r="F618" s="63"/>
      <c r="G618" s="64"/>
    </row>
    <row r="619" spans="4:7" ht="14.25" customHeight="1">
      <c r="D619" s="61"/>
      <c r="E619" s="62"/>
      <c r="F619" s="63"/>
      <c r="G619" s="64"/>
    </row>
    <row r="620" spans="4:7" ht="14.25" customHeight="1">
      <c r="D620" s="61"/>
      <c r="E620" s="62"/>
      <c r="F620" s="63"/>
      <c r="G620" s="64"/>
    </row>
    <row r="621" spans="4:7" ht="14.25" customHeight="1">
      <c r="D621" s="61"/>
      <c r="E621" s="62"/>
      <c r="F621" s="63"/>
      <c r="G621" s="64"/>
    </row>
    <row r="622" spans="4:7" ht="14.25" customHeight="1">
      <c r="D622" s="61"/>
      <c r="E622" s="62"/>
      <c r="F622" s="63"/>
      <c r="G622" s="64"/>
    </row>
    <row r="623" spans="4:7" ht="14.25" customHeight="1">
      <c r="D623" s="61"/>
      <c r="E623" s="62"/>
      <c r="F623" s="63"/>
      <c r="G623" s="64"/>
    </row>
    <row r="624" spans="4:7" ht="14.25" customHeight="1">
      <c r="D624" s="61"/>
      <c r="E624" s="62"/>
      <c r="F624" s="63"/>
      <c r="G624" s="64"/>
    </row>
    <row r="625" spans="4:7" ht="14.25" customHeight="1">
      <c r="D625" s="61"/>
      <c r="E625" s="62"/>
      <c r="F625" s="63"/>
      <c r="G625" s="64"/>
    </row>
    <row r="626" spans="4:7" ht="14.25" customHeight="1">
      <c r="D626" s="61"/>
      <c r="E626" s="62"/>
      <c r="F626" s="63"/>
      <c r="G626" s="64"/>
    </row>
    <row r="627" spans="4:7" ht="14.25" customHeight="1">
      <c r="D627" s="61"/>
      <c r="E627" s="62"/>
      <c r="F627" s="63"/>
      <c r="G627" s="64"/>
    </row>
    <row r="628" spans="4:7" ht="14.25" customHeight="1">
      <c r="D628" s="61"/>
      <c r="E628" s="62"/>
      <c r="F628" s="63"/>
      <c r="G628" s="64"/>
    </row>
    <row r="629" spans="4:7" ht="14.25" customHeight="1">
      <c r="D629" s="61"/>
      <c r="E629" s="62"/>
      <c r="F629" s="63"/>
      <c r="G629" s="64"/>
    </row>
    <row r="630" spans="4:7" ht="14.25" customHeight="1">
      <c r="D630" s="61"/>
      <c r="E630" s="62"/>
      <c r="F630" s="63"/>
      <c r="G630" s="64"/>
    </row>
    <row r="631" spans="4:7" ht="14.25" customHeight="1">
      <c r="D631" s="61"/>
      <c r="E631" s="62"/>
      <c r="F631" s="63"/>
      <c r="G631" s="64"/>
    </row>
    <row r="632" spans="4:7" ht="14.25" customHeight="1">
      <c r="D632" s="61"/>
      <c r="E632" s="62"/>
      <c r="F632" s="63"/>
      <c r="G632" s="64"/>
    </row>
    <row r="633" spans="4:7" ht="14.25" customHeight="1">
      <c r="D633" s="61"/>
      <c r="E633" s="62"/>
      <c r="F633" s="63"/>
      <c r="G633" s="64"/>
    </row>
    <row r="634" spans="4:7" ht="14.25" customHeight="1">
      <c r="D634" s="61"/>
      <c r="E634" s="62"/>
      <c r="F634" s="63"/>
      <c r="G634" s="64"/>
    </row>
    <row r="635" spans="4:7" ht="14.25" customHeight="1">
      <c r="D635" s="61"/>
      <c r="E635" s="62"/>
      <c r="F635" s="63"/>
      <c r="G635" s="64"/>
    </row>
    <row r="636" spans="4:7" ht="14.25" customHeight="1">
      <c r="D636" s="61"/>
      <c r="E636" s="62"/>
      <c r="F636" s="63"/>
      <c r="G636" s="64"/>
    </row>
    <row r="637" spans="4:7" ht="14.25" customHeight="1">
      <c r="D637" s="61"/>
      <c r="E637" s="62"/>
      <c r="F637" s="63"/>
      <c r="G637" s="64"/>
    </row>
    <row r="638" spans="4:7" ht="14.25" customHeight="1">
      <c r="D638" s="61"/>
      <c r="E638" s="62"/>
      <c r="F638" s="63"/>
      <c r="G638" s="64"/>
    </row>
    <row r="639" spans="4:7" ht="14.25" customHeight="1">
      <c r="D639" s="61"/>
      <c r="E639" s="62"/>
      <c r="F639" s="63"/>
      <c r="G639" s="64"/>
    </row>
    <row r="640" spans="4:7" ht="14.25" customHeight="1">
      <c r="D640" s="61"/>
      <c r="E640" s="62"/>
      <c r="F640" s="63"/>
      <c r="G640" s="64"/>
    </row>
    <row r="641" spans="4:7" ht="14.25" customHeight="1">
      <c r="D641" s="61"/>
      <c r="E641" s="62"/>
      <c r="F641" s="63"/>
      <c r="G641" s="64"/>
    </row>
    <row r="642" spans="4:7" ht="14.25" customHeight="1">
      <c r="D642" s="61"/>
      <c r="E642" s="62"/>
      <c r="F642" s="63"/>
      <c r="G642" s="64"/>
    </row>
    <row r="643" spans="4:7" ht="14.25" customHeight="1">
      <c r="D643" s="61"/>
      <c r="E643" s="62"/>
      <c r="F643" s="63"/>
      <c r="G643" s="64"/>
    </row>
    <row r="644" spans="4:7" ht="14.25" customHeight="1">
      <c r="D644" s="61"/>
      <c r="E644" s="62"/>
      <c r="F644" s="63"/>
      <c r="G644" s="64"/>
    </row>
    <row r="645" spans="4:7" ht="14.25" customHeight="1">
      <c r="D645" s="61"/>
      <c r="E645" s="62"/>
      <c r="F645" s="63"/>
      <c r="G645" s="64"/>
    </row>
    <row r="646" spans="4:7" ht="14.25" customHeight="1">
      <c r="D646" s="61"/>
      <c r="E646" s="62"/>
      <c r="F646" s="63"/>
      <c r="G646" s="64"/>
    </row>
    <row r="647" spans="4:7" ht="14.25" customHeight="1">
      <c r="D647" s="61"/>
      <c r="E647" s="62"/>
      <c r="F647" s="63"/>
      <c r="G647" s="64"/>
    </row>
    <row r="648" spans="4:7" ht="14.25" customHeight="1">
      <c r="D648" s="61"/>
      <c r="E648" s="62"/>
      <c r="F648" s="63"/>
      <c r="G648" s="64"/>
    </row>
    <row r="649" spans="4:7" ht="14.25" customHeight="1">
      <c r="D649" s="61"/>
      <c r="E649" s="62"/>
      <c r="F649" s="63"/>
      <c r="G649" s="64"/>
    </row>
    <row r="650" spans="4:7" ht="14.25" customHeight="1">
      <c r="D650" s="61"/>
      <c r="E650" s="62"/>
      <c r="F650" s="63"/>
      <c r="G650" s="64"/>
    </row>
    <row r="651" spans="4:7" ht="14.25" customHeight="1">
      <c r="D651" s="61"/>
      <c r="E651" s="62"/>
      <c r="F651" s="63"/>
      <c r="G651" s="64"/>
    </row>
    <row r="652" spans="4:7" ht="14.25" customHeight="1">
      <c r="D652" s="61"/>
      <c r="E652" s="62"/>
      <c r="F652" s="63"/>
      <c r="G652" s="64"/>
    </row>
    <row r="653" spans="4:7" ht="14.25" customHeight="1">
      <c r="D653" s="61"/>
      <c r="E653" s="62"/>
      <c r="F653" s="63"/>
      <c r="G653" s="64"/>
    </row>
    <row r="654" spans="4:7" ht="14.25" customHeight="1">
      <c r="D654" s="61"/>
      <c r="E654" s="62"/>
      <c r="F654" s="63"/>
      <c r="G654" s="64"/>
    </row>
    <row r="655" spans="4:7" ht="14.25" customHeight="1">
      <c r="D655" s="61"/>
      <c r="E655" s="62"/>
      <c r="F655" s="63"/>
      <c r="G655" s="64"/>
    </row>
    <row r="656" spans="4:7" ht="14.25" customHeight="1">
      <c r="D656" s="61"/>
      <c r="E656" s="62"/>
      <c r="F656" s="63"/>
      <c r="G656" s="64"/>
    </row>
    <row r="657" spans="4:7" ht="14.25" customHeight="1">
      <c r="D657" s="61"/>
      <c r="E657" s="62"/>
      <c r="F657" s="63"/>
      <c r="G657" s="64"/>
    </row>
    <row r="658" spans="4:7" ht="14.25" customHeight="1">
      <c r="D658" s="61"/>
      <c r="E658" s="62"/>
      <c r="F658" s="63"/>
      <c r="G658" s="64"/>
    </row>
    <row r="659" spans="4:7" ht="14.25" customHeight="1">
      <c r="D659" s="61"/>
      <c r="E659" s="62"/>
      <c r="F659" s="63"/>
      <c r="G659" s="64"/>
    </row>
    <row r="660" spans="4:7" ht="14.25" customHeight="1">
      <c r="D660" s="61"/>
      <c r="E660" s="62"/>
      <c r="F660" s="63"/>
      <c r="G660" s="64"/>
    </row>
    <row r="661" spans="4:7" ht="14.25" customHeight="1">
      <c r="D661" s="61"/>
      <c r="E661" s="62"/>
      <c r="F661" s="63"/>
      <c r="G661" s="64"/>
    </row>
    <row r="662" spans="4:7" ht="14.25" customHeight="1">
      <c r="D662" s="61"/>
      <c r="E662" s="62"/>
      <c r="F662" s="63"/>
      <c r="G662" s="64"/>
    </row>
    <row r="663" spans="4:7" ht="14.25" customHeight="1">
      <c r="D663" s="61"/>
      <c r="E663" s="62"/>
      <c r="F663" s="63"/>
      <c r="G663" s="64"/>
    </row>
    <row r="664" spans="4:7" ht="14.25" customHeight="1">
      <c r="D664" s="61"/>
      <c r="E664" s="62"/>
      <c r="F664" s="63"/>
      <c r="G664" s="64"/>
    </row>
    <row r="665" spans="4:7" ht="14.25" customHeight="1">
      <c r="D665" s="61"/>
      <c r="E665" s="62"/>
      <c r="F665" s="63"/>
      <c r="G665" s="64"/>
    </row>
    <row r="666" spans="4:7" ht="14.25" customHeight="1">
      <c r="D666" s="61"/>
      <c r="E666" s="62"/>
      <c r="F666" s="63"/>
      <c r="G666" s="64"/>
    </row>
    <row r="667" spans="4:7" ht="14.25" customHeight="1">
      <c r="D667" s="61"/>
      <c r="E667" s="62"/>
      <c r="F667" s="63"/>
      <c r="G667" s="64"/>
    </row>
    <row r="668" spans="4:7" ht="14.25" customHeight="1">
      <c r="D668" s="61"/>
      <c r="E668" s="62"/>
      <c r="F668" s="63"/>
      <c r="G668" s="64"/>
    </row>
    <row r="669" spans="4:7" ht="14.25" customHeight="1">
      <c r="D669" s="61"/>
      <c r="E669" s="62"/>
      <c r="F669" s="63"/>
      <c r="G669" s="64"/>
    </row>
    <row r="670" spans="4:7" ht="14.25" customHeight="1">
      <c r="D670" s="61"/>
      <c r="E670" s="62"/>
      <c r="F670" s="63"/>
      <c r="G670" s="64"/>
    </row>
    <row r="671" spans="4:7" ht="14.25" customHeight="1">
      <c r="D671" s="61"/>
      <c r="E671" s="62"/>
      <c r="F671" s="63"/>
      <c r="G671" s="64"/>
    </row>
    <row r="672" spans="4:7" ht="14.25" customHeight="1">
      <c r="D672" s="61"/>
      <c r="E672" s="62"/>
      <c r="F672" s="63"/>
      <c r="G672" s="64"/>
    </row>
    <row r="673" spans="4:7" ht="14.25" customHeight="1">
      <c r="D673" s="61"/>
      <c r="E673" s="62"/>
      <c r="F673" s="63"/>
      <c r="G673" s="64"/>
    </row>
    <row r="674" spans="4:7" ht="14.25" customHeight="1">
      <c r="D674" s="61"/>
      <c r="E674" s="62"/>
      <c r="F674" s="63"/>
      <c r="G674" s="64"/>
    </row>
    <row r="675" spans="4:7" ht="14.25" customHeight="1">
      <c r="D675" s="61"/>
      <c r="E675" s="62"/>
      <c r="F675" s="63"/>
      <c r="G675" s="64"/>
    </row>
    <row r="676" spans="4:7" ht="14.25" customHeight="1">
      <c r="D676" s="61"/>
      <c r="E676" s="62"/>
      <c r="F676" s="63"/>
      <c r="G676" s="64"/>
    </row>
    <row r="677" spans="4:7" ht="14.25" customHeight="1">
      <c r="D677" s="61"/>
      <c r="E677" s="62"/>
      <c r="F677" s="63"/>
      <c r="G677" s="64"/>
    </row>
    <row r="678" spans="4:7" ht="14.25" customHeight="1">
      <c r="D678" s="61"/>
      <c r="E678" s="62"/>
      <c r="F678" s="63"/>
      <c r="G678" s="64"/>
    </row>
    <row r="679" spans="4:7" ht="14.25" customHeight="1">
      <c r="D679" s="61"/>
      <c r="E679" s="62"/>
      <c r="F679" s="63"/>
      <c r="G679" s="64"/>
    </row>
    <row r="680" spans="4:7" ht="14.25" customHeight="1">
      <c r="D680" s="61"/>
      <c r="E680" s="62"/>
      <c r="F680" s="63"/>
      <c r="G680" s="64"/>
    </row>
    <row r="681" spans="4:7" ht="14.25" customHeight="1">
      <c r="D681" s="61"/>
      <c r="E681" s="62"/>
      <c r="F681" s="63"/>
      <c r="G681" s="64"/>
    </row>
    <row r="682" spans="4:7" ht="14.25" customHeight="1">
      <c r="D682" s="61"/>
      <c r="E682" s="62"/>
      <c r="F682" s="63"/>
      <c r="G682" s="64"/>
    </row>
    <row r="683" spans="4:7" ht="14.25" customHeight="1">
      <c r="D683" s="61"/>
      <c r="E683" s="62"/>
      <c r="F683" s="63"/>
      <c r="G683" s="64"/>
    </row>
    <row r="684" spans="4:7" ht="14.25" customHeight="1">
      <c r="D684" s="61"/>
      <c r="E684" s="62"/>
      <c r="F684" s="63"/>
      <c r="G684" s="64"/>
    </row>
    <row r="685" spans="4:7" ht="14.25" customHeight="1">
      <c r="D685" s="61"/>
      <c r="E685" s="62"/>
      <c r="F685" s="63"/>
      <c r="G685" s="64"/>
    </row>
    <row r="686" spans="4:7" ht="14.25" customHeight="1">
      <c r="D686" s="61"/>
      <c r="E686" s="62"/>
      <c r="F686" s="63"/>
      <c r="G686" s="64"/>
    </row>
    <row r="687" spans="4:7" ht="14.25" customHeight="1">
      <c r="D687" s="61"/>
      <c r="E687" s="62"/>
      <c r="F687" s="63"/>
      <c r="G687" s="64"/>
    </row>
    <row r="688" spans="4:7" ht="14.25" customHeight="1">
      <c r="D688" s="61"/>
      <c r="E688" s="62"/>
      <c r="F688" s="63"/>
      <c r="G688" s="64"/>
    </row>
    <row r="689" spans="4:7" ht="14.25" customHeight="1">
      <c r="D689" s="61"/>
      <c r="E689" s="62"/>
      <c r="F689" s="63"/>
      <c r="G689" s="64"/>
    </row>
    <row r="690" spans="4:7" ht="14.25" customHeight="1">
      <c r="D690" s="61"/>
      <c r="E690" s="62"/>
      <c r="F690" s="63"/>
      <c r="G690" s="64"/>
    </row>
    <row r="691" spans="4:7" ht="14.25" customHeight="1">
      <c r="D691" s="61"/>
      <c r="E691" s="62"/>
      <c r="F691" s="63"/>
      <c r="G691" s="64"/>
    </row>
    <row r="692" spans="4:7" ht="14.25" customHeight="1">
      <c r="D692" s="61"/>
      <c r="E692" s="62"/>
      <c r="F692" s="63"/>
      <c r="G692" s="64"/>
    </row>
    <row r="693" spans="4:7" ht="14.25" customHeight="1">
      <c r="D693" s="61"/>
      <c r="E693" s="62"/>
      <c r="F693" s="63"/>
      <c r="G693" s="64"/>
    </row>
    <row r="694" spans="4:7" ht="14.25" customHeight="1">
      <c r="D694" s="61"/>
      <c r="E694" s="62"/>
      <c r="F694" s="63"/>
      <c r="G694" s="64"/>
    </row>
    <row r="695" spans="4:7" ht="14.25" customHeight="1">
      <c r="D695" s="61"/>
      <c r="E695" s="62"/>
      <c r="F695" s="63"/>
      <c r="G695" s="64"/>
    </row>
    <row r="696" spans="4:7" ht="14.25" customHeight="1">
      <c r="D696" s="61"/>
      <c r="E696" s="62"/>
      <c r="F696" s="63"/>
      <c r="G696" s="64"/>
    </row>
    <row r="697" spans="4:7" ht="14.25" customHeight="1">
      <c r="D697" s="61"/>
      <c r="E697" s="62"/>
      <c r="F697" s="63"/>
      <c r="G697" s="64"/>
    </row>
    <row r="698" spans="4:7" ht="14.25" customHeight="1">
      <c r="D698" s="61"/>
      <c r="E698" s="62"/>
      <c r="F698" s="63"/>
      <c r="G698" s="64"/>
    </row>
    <row r="699" spans="4:7" ht="14.25" customHeight="1">
      <c r="D699" s="61"/>
      <c r="E699" s="62"/>
      <c r="F699" s="63"/>
      <c r="G699" s="64"/>
    </row>
    <row r="700" spans="4:7" ht="14.25" customHeight="1">
      <c r="D700" s="61"/>
      <c r="E700" s="62"/>
      <c r="F700" s="63"/>
      <c r="G700" s="64"/>
    </row>
    <row r="701" spans="4:7" ht="14.25" customHeight="1">
      <c r="D701" s="61"/>
      <c r="E701" s="62"/>
      <c r="F701" s="63"/>
      <c r="G701" s="64"/>
    </row>
    <row r="702" spans="4:7" ht="14.25" customHeight="1">
      <c r="D702" s="61"/>
      <c r="E702" s="62"/>
      <c r="F702" s="63"/>
      <c r="G702" s="64"/>
    </row>
    <row r="703" spans="4:7" ht="14.25" customHeight="1">
      <c r="D703" s="61"/>
      <c r="E703" s="62"/>
      <c r="F703" s="63"/>
      <c r="G703" s="64"/>
    </row>
    <row r="704" spans="4:7" ht="14.25" customHeight="1">
      <c r="D704" s="61"/>
      <c r="E704" s="62"/>
      <c r="F704" s="63"/>
      <c r="G704" s="64"/>
    </row>
    <row r="705" spans="4:7" ht="14.25" customHeight="1">
      <c r="D705" s="61"/>
      <c r="E705" s="62"/>
      <c r="F705" s="63"/>
      <c r="G705" s="64"/>
    </row>
    <row r="706" spans="4:7" ht="14.25" customHeight="1">
      <c r="D706" s="61"/>
      <c r="E706" s="62"/>
      <c r="F706" s="63"/>
      <c r="G706" s="64"/>
    </row>
    <row r="707" spans="4:7" ht="14.25" customHeight="1">
      <c r="D707" s="61"/>
      <c r="E707" s="62"/>
      <c r="F707" s="63"/>
      <c r="G707" s="64"/>
    </row>
    <row r="708" spans="4:7" ht="14.25" customHeight="1">
      <c r="D708" s="61"/>
      <c r="E708" s="62"/>
      <c r="F708" s="63"/>
      <c r="G708" s="64"/>
    </row>
    <row r="709" spans="4:7" ht="14.25" customHeight="1">
      <c r="D709" s="61"/>
      <c r="E709" s="62"/>
      <c r="F709" s="63"/>
      <c r="G709" s="64"/>
    </row>
    <row r="710" spans="4:7" ht="14.25" customHeight="1">
      <c r="D710" s="61"/>
      <c r="E710" s="62"/>
      <c r="F710" s="63"/>
      <c r="G710" s="64"/>
    </row>
    <row r="711" spans="4:7" ht="14.25" customHeight="1">
      <c r="D711" s="61"/>
      <c r="E711" s="62"/>
      <c r="F711" s="63"/>
      <c r="G711" s="64"/>
    </row>
    <row r="712" spans="4:7" ht="14.25" customHeight="1">
      <c r="D712" s="61"/>
      <c r="E712" s="62"/>
      <c r="F712" s="63"/>
      <c r="G712" s="64"/>
    </row>
    <row r="713" spans="4:7" ht="14.25" customHeight="1">
      <c r="D713" s="61"/>
      <c r="E713" s="62"/>
      <c r="F713" s="63"/>
      <c r="G713" s="64"/>
    </row>
    <row r="714" spans="4:7" ht="14.25" customHeight="1">
      <c r="D714" s="61"/>
      <c r="E714" s="62"/>
      <c r="F714" s="63"/>
      <c r="G714" s="64"/>
    </row>
    <row r="715" spans="4:7" ht="14.25" customHeight="1">
      <c r="D715" s="61"/>
      <c r="E715" s="62"/>
      <c r="F715" s="63"/>
      <c r="G715" s="64"/>
    </row>
    <row r="716" spans="4:7" ht="14.25" customHeight="1">
      <c r="D716" s="61"/>
      <c r="E716" s="62"/>
      <c r="F716" s="63"/>
      <c r="G716" s="64"/>
    </row>
    <row r="717" spans="4:7" ht="14.25" customHeight="1">
      <c r="D717" s="61"/>
      <c r="E717" s="62"/>
      <c r="F717" s="63"/>
      <c r="G717" s="64"/>
    </row>
    <row r="718" spans="4:7" ht="14.25" customHeight="1">
      <c r="D718" s="61"/>
      <c r="E718" s="62"/>
      <c r="F718" s="63"/>
      <c r="G718" s="64"/>
    </row>
    <row r="719" spans="4:7" ht="14.25" customHeight="1">
      <c r="D719" s="61"/>
      <c r="E719" s="62"/>
      <c r="F719" s="63"/>
      <c r="G719" s="64"/>
    </row>
    <row r="720" spans="4:7" ht="14.25" customHeight="1">
      <c r="D720" s="61"/>
      <c r="E720" s="62"/>
      <c r="F720" s="63"/>
      <c r="G720" s="64"/>
    </row>
    <row r="721" spans="4:7" ht="14.25" customHeight="1">
      <c r="D721" s="61"/>
      <c r="E721" s="62"/>
      <c r="F721" s="63"/>
      <c r="G721" s="64"/>
    </row>
    <row r="722" spans="4:7" ht="14.25" customHeight="1">
      <c r="D722" s="61"/>
      <c r="E722" s="62"/>
      <c r="F722" s="63"/>
      <c r="G722" s="64"/>
    </row>
    <row r="723" spans="4:7" ht="14.25" customHeight="1">
      <c r="D723" s="61"/>
      <c r="E723" s="62"/>
      <c r="F723" s="63"/>
      <c r="G723" s="64"/>
    </row>
    <row r="724" spans="4:7" ht="14.25" customHeight="1">
      <c r="D724" s="61"/>
      <c r="E724" s="62"/>
      <c r="F724" s="63"/>
      <c r="G724" s="64"/>
    </row>
    <row r="725" spans="4:7" ht="14.25" customHeight="1">
      <c r="D725" s="61"/>
      <c r="E725" s="62"/>
      <c r="F725" s="63"/>
      <c r="G725" s="64"/>
    </row>
    <row r="726" spans="4:7" ht="14.25" customHeight="1">
      <c r="D726" s="61"/>
      <c r="E726" s="62"/>
      <c r="F726" s="63"/>
      <c r="G726" s="64"/>
    </row>
    <row r="727" spans="4:7" ht="14.25" customHeight="1">
      <c r="D727" s="61"/>
      <c r="E727" s="62"/>
      <c r="F727" s="63"/>
      <c r="G727" s="64"/>
    </row>
    <row r="728" spans="4:7" ht="14.25" customHeight="1">
      <c r="D728" s="61"/>
      <c r="E728" s="62"/>
      <c r="F728" s="63"/>
      <c r="G728" s="64"/>
    </row>
    <row r="729" spans="4:7" ht="14.25" customHeight="1">
      <c r="D729" s="61"/>
      <c r="E729" s="62"/>
      <c r="F729" s="63"/>
      <c r="G729" s="64"/>
    </row>
    <row r="730" spans="4:7" ht="14.25" customHeight="1">
      <c r="D730" s="61"/>
      <c r="E730" s="62"/>
      <c r="F730" s="63"/>
      <c r="G730" s="64"/>
    </row>
    <row r="731" spans="4:7" ht="14.25" customHeight="1">
      <c r="D731" s="61"/>
      <c r="E731" s="62"/>
      <c r="F731" s="63"/>
      <c r="G731" s="64"/>
    </row>
    <row r="732" spans="4:7" ht="14.25" customHeight="1">
      <c r="D732" s="61"/>
      <c r="E732" s="62"/>
      <c r="F732" s="63"/>
      <c r="G732" s="64"/>
    </row>
    <row r="733" spans="4:7" ht="14.25" customHeight="1">
      <c r="D733" s="61"/>
      <c r="E733" s="62"/>
      <c r="F733" s="63"/>
      <c r="G733" s="64"/>
    </row>
    <row r="734" spans="4:7" ht="14.25" customHeight="1">
      <c r="D734" s="61"/>
      <c r="E734" s="62"/>
      <c r="F734" s="63"/>
      <c r="G734" s="64"/>
    </row>
    <row r="735" spans="4:7" ht="14.25" customHeight="1">
      <c r="D735" s="61"/>
      <c r="E735" s="62"/>
      <c r="F735" s="63"/>
      <c r="G735" s="64"/>
    </row>
    <row r="736" spans="4:7" ht="14.25" customHeight="1">
      <c r="D736" s="61"/>
      <c r="E736" s="62"/>
      <c r="F736" s="63"/>
      <c r="G736" s="64"/>
    </row>
    <row r="737" spans="4:7" ht="14.25" customHeight="1">
      <c r="D737" s="61"/>
      <c r="E737" s="62"/>
      <c r="F737" s="63"/>
      <c r="G737" s="64"/>
    </row>
    <row r="738" spans="4:7" ht="14.25" customHeight="1">
      <c r="D738" s="61"/>
      <c r="E738" s="62"/>
      <c r="F738" s="63"/>
      <c r="G738" s="64"/>
    </row>
    <row r="739" spans="4:7" ht="14.25" customHeight="1">
      <c r="D739" s="61"/>
      <c r="E739" s="62"/>
      <c r="F739" s="63"/>
      <c r="G739" s="64"/>
    </row>
    <row r="740" spans="4:7" ht="14.25" customHeight="1">
      <c r="D740" s="61"/>
      <c r="E740" s="62"/>
      <c r="F740" s="63"/>
      <c r="G740" s="64"/>
    </row>
    <row r="741" spans="4:7" ht="14.25" customHeight="1">
      <c r="D741" s="61"/>
      <c r="E741" s="62"/>
      <c r="F741" s="63"/>
      <c r="G741" s="64"/>
    </row>
    <row r="742" spans="4:7" ht="14.25" customHeight="1">
      <c r="D742" s="61"/>
      <c r="E742" s="62"/>
      <c r="F742" s="63"/>
      <c r="G742" s="64"/>
    </row>
    <row r="743" spans="4:7" ht="14.25" customHeight="1">
      <c r="D743" s="61"/>
      <c r="E743" s="62"/>
      <c r="F743" s="63"/>
      <c r="G743" s="64"/>
    </row>
    <row r="744" spans="4:7" ht="14.25" customHeight="1">
      <c r="D744" s="61"/>
      <c r="E744" s="62"/>
      <c r="F744" s="63"/>
      <c r="G744" s="64"/>
    </row>
    <row r="745" spans="4:7" ht="14.25" customHeight="1">
      <c r="D745" s="61"/>
      <c r="E745" s="62"/>
      <c r="F745" s="63"/>
      <c r="G745" s="64"/>
    </row>
    <row r="746" spans="4:7" ht="14.25" customHeight="1">
      <c r="D746" s="61"/>
      <c r="E746" s="62"/>
      <c r="F746" s="63"/>
      <c r="G746" s="64"/>
    </row>
    <row r="747" spans="4:7" ht="14.25" customHeight="1">
      <c r="D747" s="61"/>
      <c r="E747" s="62"/>
      <c r="F747" s="63"/>
      <c r="G747" s="64"/>
    </row>
    <row r="748" spans="4:7" ht="14.25" customHeight="1">
      <c r="D748" s="61"/>
      <c r="E748" s="62"/>
      <c r="F748" s="63"/>
      <c r="G748" s="64"/>
    </row>
    <row r="749" spans="4:7" ht="14.25" customHeight="1">
      <c r="D749" s="61"/>
      <c r="E749" s="62"/>
      <c r="F749" s="63"/>
      <c r="G749" s="64"/>
    </row>
    <row r="750" spans="4:7" ht="14.25" customHeight="1">
      <c r="D750" s="61"/>
      <c r="E750" s="62"/>
      <c r="F750" s="63"/>
      <c r="G750" s="64"/>
    </row>
    <row r="751" spans="4:7" ht="14.25" customHeight="1">
      <c r="D751" s="61"/>
      <c r="E751" s="62"/>
      <c r="F751" s="63"/>
      <c r="G751" s="64"/>
    </row>
    <row r="752" spans="4:7" ht="14.25" customHeight="1">
      <c r="D752" s="61"/>
      <c r="E752" s="62"/>
      <c r="F752" s="63"/>
      <c r="G752" s="64"/>
    </row>
    <row r="753" spans="4:7" ht="14.25" customHeight="1">
      <c r="D753" s="61"/>
      <c r="E753" s="62"/>
      <c r="F753" s="63"/>
      <c r="G753" s="64"/>
    </row>
    <row r="754" spans="4:7" ht="14.25" customHeight="1">
      <c r="D754" s="61"/>
      <c r="E754" s="62"/>
      <c r="F754" s="63"/>
      <c r="G754" s="64"/>
    </row>
    <row r="755" spans="4:7" ht="14.25" customHeight="1">
      <c r="D755" s="61"/>
      <c r="E755" s="62"/>
      <c r="F755" s="63"/>
      <c r="G755" s="64"/>
    </row>
    <row r="756" spans="4:7" ht="14.25" customHeight="1">
      <c r="D756" s="61"/>
      <c r="E756" s="62"/>
      <c r="F756" s="63"/>
      <c r="G756" s="64"/>
    </row>
    <row r="757" spans="4:7" ht="14.25" customHeight="1">
      <c r="D757" s="61"/>
      <c r="E757" s="62"/>
      <c r="F757" s="63"/>
      <c r="G757" s="64"/>
    </row>
    <row r="758" spans="4:7" ht="14.25" customHeight="1">
      <c r="D758" s="61"/>
      <c r="E758" s="62"/>
      <c r="F758" s="63"/>
      <c r="G758" s="64"/>
    </row>
    <row r="759" spans="4:7" ht="14.25" customHeight="1">
      <c r="D759" s="61"/>
      <c r="E759" s="62"/>
      <c r="F759" s="63"/>
      <c r="G759" s="64"/>
    </row>
    <row r="760" spans="4:7" ht="14.25" customHeight="1">
      <c r="D760" s="61"/>
      <c r="E760" s="62"/>
      <c r="F760" s="63"/>
      <c r="G760" s="64"/>
    </row>
    <row r="761" spans="4:7" ht="14.25" customHeight="1">
      <c r="D761" s="61"/>
      <c r="E761" s="62"/>
      <c r="F761" s="63"/>
      <c r="G761" s="64"/>
    </row>
    <row r="762" spans="4:7" ht="14.25" customHeight="1">
      <c r="D762" s="61"/>
      <c r="E762" s="62"/>
      <c r="F762" s="63"/>
      <c r="G762" s="64"/>
    </row>
    <row r="763" spans="4:7" ht="14.25" customHeight="1">
      <c r="D763" s="61"/>
      <c r="E763" s="62"/>
      <c r="F763" s="63"/>
      <c r="G763" s="64"/>
    </row>
    <row r="764" spans="4:7" ht="14.25" customHeight="1">
      <c r="D764" s="61"/>
      <c r="E764" s="62"/>
      <c r="F764" s="63"/>
      <c r="G764" s="64"/>
    </row>
    <row r="765" spans="4:7" ht="14.25" customHeight="1">
      <c r="D765" s="61"/>
      <c r="E765" s="62"/>
      <c r="F765" s="63"/>
      <c r="G765" s="64"/>
    </row>
    <row r="766" spans="4:7" ht="14.25" customHeight="1">
      <c r="D766" s="61"/>
      <c r="E766" s="62"/>
      <c r="F766" s="63"/>
      <c r="G766" s="64"/>
    </row>
    <row r="767" spans="4:7" ht="14.25" customHeight="1">
      <c r="D767" s="61"/>
      <c r="E767" s="62"/>
      <c r="F767" s="63"/>
      <c r="G767" s="64"/>
    </row>
    <row r="768" spans="4:7" ht="14.25" customHeight="1">
      <c r="D768" s="61"/>
      <c r="E768" s="62"/>
      <c r="F768" s="63"/>
      <c r="G768" s="64"/>
    </row>
    <row r="769" spans="4:7" ht="14.25" customHeight="1">
      <c r="D769" s="61"/>
      <c r="E769" s="62"/>
      <c r="F769" s="63"/>
      <c r="G769" s="64"/>
    </row>
    <row r="770" spans="4:7" ht="14.25" customHeight="1">
      <c r="D770" s="61"/>
      <c r="E770" s="62"/>
      <c r="F770" s="63"/>
      <c r="G770" s="64"/>
    </row>
    <row r="771" spans="4:7" ht="14.25" customHeight="1">
      <c r="D771" s="61"/>
      <c r="E771" s="62"/>
      <c r="F771" s="63"/>
      <c r="G771" s="64"/>
    </row>
    <row r="772" spans="4:7" ht="14.25" customHeight="1">
      <c r="D772" s="61"/>
      <c r="E772" s="62"/>
      <c r="F772" s="63"/>
      <c r="G772" s="64"/>
    </row>
    <row r="773" spans="4:7" ht="14.25" customHeight="1">
      <c r="D773" s="61"/>
      <c r="E773" s="62"/>
      <c r="F773" s="63"/>
      <c r="G773" s="64"/>
    </row>
    <row r="774" spans="4:7" ht="14.25" customHeight="1">
      <c r="D774" s="61"/>
      <c r="E774" s="62"/>
      <c r="F774" s="63"/>
      <c r="G774" s="64"/>
    </row>
    <row r="775" spans="4:7" ht="14.25" customHeight="1">
      <c r="D775" s="61"/>
      <c r="E775" s="62"/>
      <c r="F775" s="63"/>
      <c r="G775" s="64"/>
    </row>
    <row r="776" spans="4:7" ht="14.25" customHeight="1">
      <c r="D776" s="61"/>
      <c r="E776" s="62"/>
      <c r="F776" s="63"/>
      <c r="G776" s="64"/>
    </row>
    <row r="777" spans="4:7" ht="14.25" customHeight="1">
      <c r="D777" s="61"/>
      <c r="E777" s="62"/>
      <c r="F777" s="63"/>
      <c r="G777" s="64"/>
    </row>
    <row r="778" spans="4:7" ht="14.25" customHeight="1">
      <c r="D778" s="61"/>
      <c r="E778" s="62"/>
      <c r="F778" s="63"/>
      <c r="G778" s="64"/>
    </row>
    <row r="779" spans="4:7" ht="14.25" customHeight="1">
      <c r="D779" s="61"/>
      <c r="E779" s="62"/>
      <c r="F779" s="63"/>
      <c r="G779" s="64"/>
    </row>
    <row r="780" spans="4:7" ht="14.25" customHeight="1">
      <c r="D780" s="61"/>
      <c r="E780" s="62"/>
      <c r="F780" s="63"/>
      <c r="G780" s="64"/>
    </row>
    <row r="781" spans="4:7" ht="14.25" customHeight="1">
      <c r="D781" s="61"/>
      <c r="E781" s="62"/>
      <c r="F781" s="63"/>
      <c r="G781" s="64"/>
    </row>
    <row r="782" spans="4:7" ht="14.25" customHeight="1">
      <c r="D782" s="61"/>
      <c r="E782" s="62"/>
      <c r="F782" s="63"/>
      <c r="G782" s="64"/>
    </row>
    <row r="783" spans="4:7" ht="14.25" customHeight="1">
      <c r="D783" s="61"/>
      <c r="E783" s="62"/>
      <c r="F783" s="63"/>
      <c r="G783" s="64"/>
    </row>
    <row r="784" spans="4:7" ht="14.25" customHeight="1">
      <c r="D784" s="61"/>
      <c r="E784" s="62"/>
      <c r="F784" s="63"/>
      <c r="G784" s="64"/>
    </row>
    <row r="785" spans="4:7" ht="14.25" customHeight="1">
      <c r="D785" s="61"/>
      <c r="E785" s="62"/>
      <c r="F785" s="63"/>
      <c r="G785" s="64"/>
    </row>
    <row r="786" spans="4:7" ht="14.25" customHeight="1">
      <c r="D786" s="61"/>
      <c r="E786" s="62"/>
      <c r="F786" s="63"/>
      <c r="G786" s="64"/>
    </row>
    <row r="787" spans="4:7" ht="14.25" customHeight="1">
      <c r="D787" s="61"/>
      <c r="E787" s="62"/>
      <c r="F787" s="63"/>
      <c r="G787" s="64"/>
    </row>
    <row r="788" spans="4:7" ht="14.25" customHeight="1">
      <c r="D788" s="61"/>
      <c r="E788" s="62"/>
      <c r="F788" s="63"/>
      <c r="G788" s="64"/>
    </row>
    <row r="789" spans="4:7" ht="14.25" customHeight="1">
      <c r="D789" s="61"/>
      <c r="E789" s="62"/>
      <c r="F789" s="63"/>
      <c r="G789" s="64"/>
    </row>
    <row r="790" spans="4:7" ht="14.25" customHeight="1">
      <c r="D790" s="61"/>
      <c r="E790" s="62"/>
      <c r="F790" s="63"/>
      <c r="G790" s="64"/>
    </row>
    <row r="791" spans="4:7" ht="14.25" customHeight="1">
      <c r="D791" s="61"/>
      <c r="E791" s="62"/>
      <c r="F791" s="63"/>
      <c r="G791" s="64"/>
    </row>
    <row r="792" spans="4:7" ht="14.25" customHeight="1">
      <c r="D792" s="61"/>
      <c r="E792" s="62"/>
      <c r="F792" s="63"/>
      <c r="G792" s="64"/>
    </row>
    <row r="793" spans="4:7" ht="14.25" customHeight="1">
      <c r="D793" s="61"/>
      <c r="E793" s="62"/>
      <c r="F793" s="63"/>
      <c r="G793" s="64"/>
    </row>
    <row r="794" spans="4:7" ht="14.25" customHeight="1">
      <c r="D794" s="61"/>
      <c r="E794" s="62"/>
      <c r="F794" s="63"/>
      <c r="G794" s="64"/>
    </row>
    <row r="795" spans="4:7" ht="14.25" customHeight="1">
      <c r="D795" s="61"/>
      <c r="E795" s="62"/>
      <c r="F795" s="63"/>
      <c r="G795" s="64"/>
    </row>
    <row r="796" spans="4:7" ht="14.25" customHeight="1">
      <c r="D796" s="61"/>
      <c r="E796" s="62"/>
      <c r="F796" s="63"/>
      <c r="G796" s="64"/>
    </row>
    <row r="797" spans="4:7" ht="14.25" customHeight="1">
      <c r="D797" s="61"/>
      <c r="E797" s="62"/>
      <c r="F797" s="63"/>
      <c r="G797" s="64"/>
    </row>
    <row r="798" spans="4:7" ht="14.25" customHeight="1">
      <c r="D798" s="61"/>
      <c r="E798" s="62"/>
      <c r="F798" s="63"/>
      <c r="G798" s="64"/>
    </row>
    <row r="799" spans="4:7" ht="14.25" customHeight="1">
      <c r="D799" s="61"/>
      <c r="E799" s="62"/>
      <c r="F799" s="63"/>
      <c r="G799" s="64"/>
    </row>
    <row r="800" spans="4:7" ht="14.25" customHeight="1">
      <c r="D800" s="61"/>
      <c r="E800" s="62"/>
      <c r="F800" s="63"/>
      <c r="G800" s="64"/>
    </row>
    <row r="801" spans="4:7" ht="14.25" customHeight="1">
      <c r="D801" s="61"/>
      <c r="E801" s="62"/>
      <c r="F801" s="63"/>
      <c r="G801" s="64"/>
    </row>
    <row r="802" spans="4:7" ht="14.25" customHeight="1">
      <c r="D802" s="61"/>
      <c r="E802" s="62"/>
      <c r="F802" s="63"/>
      <c r="G802" s="64"/>
    </row>
    <row r="803" spans="4:7" ht="14.25" customHeight="1">
      <c r="D803" s="61"/>
      <c r="E803" s="62"/>
      <c r="F803" s="63"/>
      <c r="G803" s="64"/>
    </row>
    <row r="804" spans="4:7" ht="14.25" customHeight="1">
      <c r="D804" s="61"/>
      <c r="E804" s="62"/>
      <c r="F804" s="63"/>
      <c r="G804" s="64"/>
    </row>
    <row r="805" spans="4:7" ht="14.25" customHeight="1">
      <c r="D805" s="61"/>
      <c r="E805" s="62"/>
      <c r="F805" s="63"/>
      <c r="G805" s="64"/>
    </row>
    <row r="806" spans="4:7" ht="14.25" customHeight="1">
      <c r="D806" s="61"/>
      <c r="E806" s="62"/>
      <c r="F806" s="63"/>
      <c r="G806" s="64"/>
    </row>
    <row r="807" spans="4:7" ht="14.25" customHeight="1">
      <c r="D807" s="61"/>
      <c r="E807" s="62"/>
      <c r="F807" s="63"/>
      <c r="G807" s="64"/>
    </row>
    <row r="808" spans="4:7" ht="14.25" customHeight="1">
      <c r="D808" s="61"/>
      <c r="E808" s="62"/>
      <c r="F808" s="63"/>
      <c r="G808" s="64"/>
    </row>
    <row r="809" spans="4:7" ht="14.25" customHeight="1">
      <c r="D809" s="61"/>
      <c r="E809" s="62"/>
      <c r="F809" s="63"/>
      <c r="G809" s="64"/>
    </row>
    <row r="810" spans="4:7" ht="14.25" customHeight="1">
      <c r="D810" s="61"/>
      <c r="E810" s="62"/>
      <c r="F810" s="63"/>
      <c r="G810" s="64"/>
    </row>
    <row r="811" spans="4:7" ht="14.25" customHeight="1">
      <c r="D811" s="61"/>
      <c r="E811" s="62"/>
      <c r="F811" s="63"/>
      <c r="G811" s="64"/>
    </row>
    <row r="812" spans="4:7" ht="14.25" customHeight="1">
      <c r="D812" s="61"/>
      <c r="E812" s="62"/>
      <c r="F812" s="63"/>
      <c r="G812" s="64"/>
    </row>
    <row r="813" spans="4:7" ht="14.25" customHeight="1">
      <c r="D813" s="61"/>
      <c r="E813" s="62"/>
      <c r="F813" s="63"/>
      <c r="G813" s="64"/>
    </row>
    <row r="814" spans="4:7" ht="14.25" customHeight="1">
      <c r="D814" s="61"/>
      <c r="E814" s="62"/>
      <c r="F814" s="63"/>
      <c r="G814" s="64"/>
    </row>
    <row r="815" spans="4:7" ht="14.25" customHeight="1">
      <c r="D815" s="61"/>
      <c r="E815" s="62"/>
      <c r="F815" s="63"/>
      <c r="G815" s="64"/>
    </row>
    <row r="816" spans="4:7" ht="14.25" customHeight="1">
      <c r="D816" s="61"/>
      <c r="E816" s="62"/>
      <c r="F816" s="63"/>
      <c r="G816" s="64"/>
    </row>
    <row r="817" spans="4:7" ht="14.25" customHeight="1">
      <c r="D817" s="61"/>
      <c r="E817" s="62"/>
      <c r="F817" s="63"/>
      <c r="G817" s="64"/>
    </row>
    <row r="818" spans="4:7" ht="14.25" customHeight="1">
      <c r="D818" s="61"/>
      <c r="E818" s="62"/>
      <c r="F818" s="63"/>
      <c r="G818" s="64"/>
    </row>
    <row r="819" spans="4:7" ht="14.25" customHeight="1">
      <c r="D819" s="61"/>
      <c r="E819" s="62"/>
      <c r="F819" s="63"/>
      <c r="G819" s="64"/>
    </row>
    <row r="820" spans="4:7" ht="14.25" customHeight="1">
      <c r="D820" s="61"/>
      <c r="E820" s="62"/>
      <c r="F820" s="63"/>
      <c r="G820" s="64"/>
    </row>
    <row r="821" spans="4:7" ht="14.25" customHeight="1">
      <c r="D821" s="61"/>
      <c r="E821" s="62"/>
      <c r="F821" s="63"/>
      <c r="G821" s="64"/>
    </row>
    <row r="822" spans="4:7" ht="14.25" customHeight="1">
      <c r="D822" s="61"/>
      <c r="E822" s="62"/>
      <c r="F822" s="63"/>
      <c r="G822" s="64"/>
    </row>
    <row r="823" spans="4:7" ht="14.25" customHeight="1">
      <c r="D823" s="61"/>
      <c r="E823" s="62"/>
      <c r="F823" s="63"/>
      <c r="G823" s="64"/>
    </row>
    <row r="824" spans="4:7" ht="14.25" customHeight="1">
      <c r="D824" s="61"/>
      <c r="E824" s="62"/>
      <c r="F824" s="63"/>
      <c r="G824" s="64"/>
    </row>
    <row r="825" spans="4:7" ht="14.25" customHeight="1">
      <c r="D825" s="61"/>
      <c r="E825" s="62"/>
      <c r="F825" s="63"/>
      <c r="G825" s="64"/>
    </row>
    <row r="826" spans="4:7" ht="14.25" customHeight="1">
      <c r="D826" s="61"/>
      <c r="E826" s="62"/>
      <c r="F826" s="63"/>
      <c r="G826" s="64"/>
    </row>
    <row r="827" spans="4:7" ht="14.25" customHeight="1">
      <c r="D827" s="61"/>
      <c r="E827" s="62"/>
      <c r="F827" s="63"/>
      <c r="G827" s="64"/>
    </row>
    <row r="828" spans="4:7" ht="14.25" customHeight="1">
      <c r="D828" s="61"/>
      <c r="E828" s="62"/>
      <c r="F828" s="63"/>
      <c r="G828" s="64"/>
    </row>
    <row r="829" spans="4:7" ht="14.25" customHeight="1">
      <c r="D829" s="61"/>
      <c r="E829" s="62"/>
      <c r="F829" s="63"/>
      <c r="G829" s="64"/>
    </row>
    <row r="830" spans="4:7" ht="14.25" customHeight="1">
      <c r="D830" s="61"/>
      <c r="E830" s="62"/>
      <c r="F830" s="63"/>
      <c r="G830" s="64"/>
    </row>
    <row r="831" spans="4:7" ht="14.25" customHeight="1">
      <c r="D831" s="61"/>
      <c r="E831" s="62"/>
      <c r="F831" s="63"/>
      <c r="G831" s="64"/>
    </row>
    <row r="832" spans="4:7" ht="14.25" customHeight="1">
      <c r="D832" s="61"/>
      <c r="E832" s="62"/>
      <c r="F832" s="63"/>
      <c r="G832" s="64"/>
    </row>
    <row r="833" spans="4:7" ht="14.25" customHeight="1">
      <c r="D833" s="61"/>
      <c r="E833" s="62"/>
      <c r="F833" s="63"/>
      <c r="G833" s="64"/>
    </row>
    <row r="834" spans="4:7" ht="14.25" customHeight="1">
      <c r="D834" s="61"/>
      <c r="E834" s="62"/>
      <c r="F834" s="63"/>
      <c r="G834" s="64"/>
    </row>
    <row r="835" spans="4:7" ht="14.25" customHeight="1">
      <c r="D835" s="61"/>
      <c r="E835" s="62"/>
      <c r="F835" s="63"/>
      <c r="G835" s="64"/>
    </row>
    <row r="836" spans="4:7" ht="14.25" customHeight="1">
      <c r="D836" s="61"/>
      <c r="E836" s="62"/>
      <c r="F836" s="63"/>
      <c r="G836" s="64"/>
    </row>
    <row r="837" spans="4:7" ht="14.25" customHeight="1">
      <c r="D837" s="61"/>
      <c r="E837" s="62"/>
      <c r="F837" s="63"/>
      <c r="G837" s="64"/>
    </row>
    <row r="838" spans="4:7" ht="14.25" customHeight="1">
      <c r="D838" s="61"/>
      <c r="E838" s="62"/>
      <c r="F838" s="63"/>
      <c r="G838" s="64"/>
    </row>
    <row r="839" spans="4:7" ht="14.25" customHeight="1">
      <c r="D839" s="61"/>
      <c r="E839" s="62"/>
      <c r="F839" s="63"/>
      <c r="G839" s="64"/>
    </row>
    <row r="840" spans="4:7" ht="14.25" customHeight="1">
      <c r="D840" s="61"/>
      <c r="E840" s="62"/>
      <c r="F840" s="63"/>
      <c r="G840" s="64"/>
    </row>
    <row r="841" spans="4:7" ht="14.25" customHeight="1">
      <c r="D841" s="61"/>
      <c r="E841" s="62"/>
      <c r="F841" s="63"/>
      <c r="G841" s="64"/>
    </row>
    <row r="842" spans="4:7" ht="14.25" customHeight="1">
      <c r="D842" s="61"/>
      <c r="E842" s="62"/>
      <c r="F842" s="63"/>
      <c r="G842" s="64"/>
    </row>
    <row r="843" spans="4:7" ht="14.25" customHeight="1">
      <c r="D843" s="61"/>
      <c r="E843" s="62"/>
      <c r="F843" s="63"/>
      <c r="G843" s="64"/>
    </row>
    <row r="844" spans="4:7" ht="14.25" customHeight="1">
      <c r="D844" s="61"/>
      <c r="E844" s="62"/>
      <c r="F844" s="63"/>
      <c r="G844" s="64"/>
    </row>
    <row r="845" spans="4:7" ht="14.25" customHeight="1">
      <c r="D845" s="61"/>
      <c r="E845" s="62"/>
      <c r="F845" s="63"/>
      <c r="G845" s="64"/>
    </row>
    <row r="846" spans="4:7" ht="14.25" customHeight="1">
      <c r="D846" s="61"/>
      <c r="E846" s="62"/>
      <c r="F846" s="63"/>
      <c r="G846" s="64"/>
    </row>
    <row r="847" spans="4:7" ht="14.25" customHeight="1">
      <c r="D847" s="61"/>
      <c r="E847" s="62"/>
      <c r="F847" s="63"/>
      <c r="G847" s="64"/>
    </row>
    <row r="848" spans="4:7" ht="14.25" customHeight="1">
      <c r="D848" s="61"/>
      <c r="E848" s="62"/>
      <c r="F848" s="63"/>
      <c r="G848" s="64"/>
    </row>
    <row r="849" spans="4:7" ht="14.25" customHeight="1">
      <c r="D849" s="61"/>
      <c r="E849" s="62"/>
      <c r="F849" s="63"/>
      <c r="G849" s="64"/>
    </row>
    <row r="850" spans="4:7" ht="14.25" customHeight="1">
      <c r="D850" s="61"/>
      <c r="E850" s="62"/>
      <c r="F850" s="63"/>
      <c r="G850" s="64"/>
    </row>
    <row r="851" spans="4:7" ht="14.25" customHeight="1">
      <c r="D851" s="61"/>
      <c r="E851" s="62"/>
      <c r="F851" s="63"/>
      <c r="G851" s="64"/>
    </row>
    <row r="852" spans="4:7" ht="14.25" customHeight="1">
      <c r="D852" s="61"/>
      <c r="E852" s="62"/>
      <c r="F852" s="63"/>
      <c r="G852" s="64"/>
    </row>
    <row r="853" spans="4:7" ht="14.25" customHeight="1">
      <c r="D853" s="61"/>
      <c r="E853" s="62"/>
      <c r="F853" s="63"/>
      <c r="G853" s="64"/>
    </row>
    <row r="854" spans="4:7" ht="14.25" customHeight="1">
      <c r="D854" s="61"/>
      <c r="E854" s="62"/>
      <c r="F854" s="63"/>
      <c r="G854" s="64"/>
    </row>
    <row r="855" spans="4:7" ht="14.25" customHeight="1">
      <c r="D855" s="61"/>
      <c r="E855" s="62"/>
      <c r="F855" s="63"/>
      <c r="G855" s="64"/>
    </row>
    <row r="856" spans="4:7" ht="14.25" customHeight="1">
      <c r="D856" s="61"/>
      <c r="E856" s="62"/>
      <c r="F856" s="63"/>
      <c r="G856" s="64"/>
    </row>
    <row r="857" spans="4:7" ht="14.25" customHeight="1">
      <c r="D857" s="61"/>
      <c r="E857" s="62"/>
      <c r="F857" s="63"/>
      <c r="G857" s="64"/>
    </row>
    <row r="858" spans="4:7" ht="14.25" customHeight="1">
      <c r="D858" s="61"/>
      <c r="E858" s="62"/>
      <c r="F858" s="63"/>
      <c r="G858" s="64"/>
    </row>
    <row r="859" spans="4:7" ht="14.25" customHeight="1">
      <c r="D859" s="61"/>
      <c r="E859" s="62"/>
      <c r="F859" s="63"/>
      <c r="G859" s="64"/>
    </row>
    <row r="860" spans="4:7" ht="14.25" customHeight="1">
      <c r="D860" s="61"/>
      <c r="E860" s="62"/>
      <c r="F860" s="63"/>
      <c r="G860" s="64"/>
    </row>
    <row r="861" spans="4:7" ht="14.25" customHeight="1">
      <c r="D861" s="61"/>
      <c r="E861" s="62"/>
      <c r="F861" s="63"/>
      <c r="G861" s="64"/>
    </row>
    <row r="862" spans="4:7" ht="14.25" customHeight="1">
      <c r="D862" s="61"/>
      <c r="E862" s="62"/>
      <c r="F862" s="63"/>
      <c r="G862" s="64"/>
    </row>
    <row r="863" spans="4:7" ht="14.25" customHeight="1">
      <c r="D863" s="61"/>
      <c r="E863" s="62"/>
      <c r="F863" s="63"/>
      <c r="G863" s="64"/>
    </row>
    <row r="864" spans="4:7" ht="14.25" customHeight="1">
      <c r="D864" s="61"/>
      <c r="E864" s="62"/>
      <c r="F864" s="63"/>
      <c r="G864" s="64"/>
    </row>
    <row r="865" spans="4:7" ht="14.25" customHeight="1">
      <c r="D865" s="61"/>
      <c r="E865" s="62"/>
      <c r="F865" s="63"/>
      <c r="G865" s="64"/>
    </row>
    <row r="866" spans="4:7" ht="14.25" customHeight="1">
      <c r="D866" s="61"/>
      <c r="E866" s="62"/>
      <c r="F866" s="63"/>
      <c r="G866" s="64"/>
    </row>
    <row r="867" spans="4:7" ht="14.25" customHeight="1">
      <c r="D867" s="61"/>
      <c r="E867" s="62"/>
      <c r="F867" s="63"/>
      <c r="G867" s="64"/>
    </row>
    <row r="868" spans="4:7" ht="14.25" customHeight="1">
      <c r="D868" s="61"/>
      <c r="E868" s="62"/>
      <c r="F868" s="63"/>
      <c r="G868" s="64"/>
    </row>
    <row r="869" spans="4:7" ht="14.25" customHeight="1">
      <c r="D869" s="61"/>
      <c r="E869" s="62"/>
      <c r="F869" s="63"/>
      <c r="G869" s="64"/>
    </row>
    <row r="870" spans="4:7" ht="14.25" customHeight="1">
      <c r="D870" s="61"/>
      <c r="E870" s="62"/>
      <c r="F870" s="63"/>
      <c r="G870" s="64"/>
    </row>
    <row r="871" spans="4:7" ht="14.25" customHeight="1">
      <c r="D871" s="61"/>
      <c r="E871" s="62"/>
      <c r="F871" s="63"/>
      <c r="G871" s="64"/>
    </row>
    <row r="872" spans="4:7" ht="14.25" customHeight="1">
      <c r="D872" s="61"/>
      <c r="E872" s="62"/>
      <c r="F872" s="63"/>
      <c r="G872" s="64"/>
    </row>
    <row r="873" spans="4:7" ht="14.25" customHeight="1">
      <c r="D873" s="61"/>
      <c r="E873" s="62"/>
      <c r="F873" s="63"/>
      <c r="G873" s="64"/>
    </row>
    <row r="874" spans="4:7" ht="14.25" customHeight="1">
      <c r="D874" s="61"/>
      <c r="E874" s="62"/>
      <c r="F874" s="63"/>
      <c r="G874" s="64"/>
    </row>
    <row r="875" spans="4:7" ht="14.25" customHeight="1">
      <c r="D875" s="61"/>
      <c r="E875" s="62"/>
      <c r="F875" s="63"/>
      <c r="G875" s="64"/>
    </row>
    <row r="876" spans="4:7" ht="14.25" customHeight="1">
      <c r="D876" s="61"/>
      <c r="E876" s="62"/>
      <c r="F876" s="63"/>
      <c r="G876" s="64"/>
    </row>
    <row r="877" spans="4:7" ht="14.25" customHeight="1">
      <c r="D877" s="61"/>
      <c r="E877" s="62"/>
      <c r="F877" s="63"/>
      <c r="G877" s="64"/>
    </row>
    <row r="878" spans="4:7" ht="14.25" customHeight="1">
      <c r="D878" s="61"/>
      <c r="E878" s="62"/>
      <c r="F878" s="63"/>
      <c r="G878" s="64"/>
    </row>
    <row r="879" spans="4:7" ht="14.25" customHeight="1">
      <c r="D879" s="61"/>
      <c r="E879" s="62"/>
      <c r="F879" s="63"/>
      <c r="G879" s="64"/>
    </row>
    <row r="880" spans="4:7" ht="14.25" customHeight="1">
      <c r="D880" s="61"/>
      <c r="E880" s="62"/>
      <c r="F880" s="63"/>
      <c r="G880" s="64"/>
    </row>
    <row r="881" spans="4:7" ht="14.25" customHeight="1">
      <c r="D881" s="61"/>
      <c r="E881" s="62"/>
      <c r="F881" s="63"/>
      <c r="G881" s="64"/>
    </row>
    <row r="882" spans="4:7" ht="14.25" customHeight="1">
      <c r="D882" s="61"/>
      <c r="E882" s="62"/>
      <c r="F882" s="63"/>
      <c r="G882" s="64"/>
    </row>
    <row r="883" spans="4:7" ht="14.25" customHeight="1">
      <c r="D883" s="61"/>
      <c r="E883" s="62"/>
      <c r="F883" s="63"/>
      <c r="G883" s="64"/>
    </row>
    <row r="884" spans="4:7" ht="14.25" customHeight="1">
      <c r="D884" s="61"/>
      <c r="E884" s="62"/>
      <c r="F884" s="63"/>
      <c r="G884" s="64"/>
    </row>
    <row r="885" spans="4:7" ht="14.25" customHeight="1">
      <c r="D885" s="61"/>
      <c r="E885" s="62"/>
      <c r="F885" s="63"/>
      <c r="G885" s="64"/>
    </row>
    <row r="886" spans="4:7" ht="14.25" customHeight="1">
      <c r="D886" s="61"/>
      <c r="E886" s="62"/>
      <c r="F886" s="63"/>
      <c r="G886" s="64"/>
    </row>
    <row r="887" spans="4:7" ht="14.25" customHeight="1">
      <c r="D887" s="61"/>
      <c r="E887" s="62"/>
      <c r="F887" s="63"/>
      <c r="G887" s="64"/>
    </row>
    <row r="888" spans="4:7" ht="14.25" customHeight="1">
      <c r="D888" s="61"/>
      <c r="E888" s="62"/>
      <c r="F888" s="63"/>
      <c r="G888" s="64"/>
    </row>
    <row r="889" spans="4:7" ht="14.25" customHeight="1">
      <c r="D889" s="61"/>
      <c r="E889" s="62"/>
      <c r="F889" s="63"/>
      <c r="G889" s="64"/>
    </row>
    <row r="890" spans="4:7" ht="14.25" customHeight="1">
      <c r="D890" s="61"/>
      <c r="E890" s="62"/>
      <c r="F890" s="63"/>
      <c r="G890" s="64"/>
    </row>
    <row r="891" spans="4:7" ht="14.25" customHeight="1">
      <c r="D891" s="61"/>
      <c r="E891" s="62"/>
      <c r="F891" s="63"/>
      <c r="G891" s="64"/>
    </row>
    <row r="892" spans="4:7" ht="14.25" customHeight="1">
      <c r="D892" s="61"/>
      <c r="E892" s="62"/>
      <c r="F892" s="63"/>
      <c r="G892" s="64"/>
    </row>
    <row r="893" spans="4:7" ht="14.25" customHeight="1">
      <c r="D893" s="61"/>
      <c r="E893" s="62"/>
      <c r="F893" s="63"/>
      <c r="G893" s="64"/>
    </row>
    <row r="894" spans="4:7" ht="14.25" customHeight="1">
      <c r="D894" s="61"/>
      <c r="E894" s="62"/>
      <c r="F894" s="63"/>
      <c r="G894" s="64"/>
    </row>
    <row r="895" spans="4:7" ht="14.25" customHeight="1">
      <c r="D895" s="61"/>
      <c r="E895" s="62"/>
      <c r="F895" s="63"/>
      <c r="G895" s="64"/>
    </row>
    <row r="896" spans="4:7" ht="14.25" customHeight="1">
      <c r="D896" s="61"/>
      <c r="E896" s="62"/>
      <c r="F896" s="63"/>
      <c r="G896" s="64"/>
    </row>
    <row r="897" spans="4:7" ht="14.25" customHeight="1">
      <c r="D897" s="61"/>
      <c r="E897" s="62"/>
      <c r="F897" s="63"/>
      <c r="G897" s="64"/>
    </row>
    <row r="898" spans="4:7" ht="14.25" customHeight="1">
      <c r="D898" s="61"/>
      <c r="E898" s="62"/>
      <c r="F898" s="63"/>
      <c r="G898" s="64"/>
    </row>
    <row r="899" spans="4:7" ht="14.25" customHeight="1">
      <c r="D899" s="61"/>
      <c r="E899" s="62"/>
      <c r="F899" s="63"/>
      <c r="G899" s="64"/>
    </row>
    <row r="900" spans="4:7" ht="14.25" customHeight="1">
      <c r="D900" s="61"/>
      <c r="E900" s="62"/>
      <c r="F900" s="63"/>
      <c r="G900" s="64"/>
    </row>
    <row r="901" spans="4:7" ht="14.25" customHeight="1">
      <c r="D901" s="61"/>
      <c r="E901" s="62"/>
      <c r="F901" s="63"/>
      <c r="G901" s="64"/>
    </row>
    <row r="902" spans="4:7" ht="14.25" customHeight="1">
      <c r="D902" s="61"/>
      <c r="E902" s="62"/>
      <c r="F902" s="63"/>
      <c r="G902" s="64"/>
    </row>
    <row r="903" spans="4:7" ht="14.25" customHeight="1">
      <c r="D903" s="61"/>
      <c r="E903" s="62"/>
      <c r="F903" s="63"/>
      <c r="G903" s="64"/>
    </row>
    <row r="904" spans="4:7" ht="14.25" customHeight="1">
      <c r="D904" s="61"/>
      <c r="E904" s="62"/>
      <c r="F904" s="63"/>
      <c r="G904" s="64"/>
    </row>
    <row r="905" spans="4:7" ht="14.25" customHeight="1">
      <c r="D905" s="61"/>
      <c r="E905" s="62"/>
      <c r="F905" s="63"/>
      <c r="G905" s="64"/>
    </row>
    <row r="906" spans="4:7" ht="14.25" customHeight="1">
      <c r="D906" s="61"/>
      <c r="E906" s="62"/>
      <c r="F906" s="63"/>
      <c r="G906" s="64"/>
    </row>
    <row r="907" spans="4:7" ht="14.25" customHeight="1">
      <c r="D907" s="61"/>
      <c r="E907" s="62"/>
      <c r="F907" s="63"/>
      <c r="G907" s="64"/>
    </row>
    <row r="908" spans="4:7" ht="14.25" customHeight="1">
      <c r="D908" s="61"/>
      <c r="E908" s="62"/>
      <c r="F908" s="63"/>
      <c r="G908" s="64"/>
    </row>
    <row r="909" spans="4:7" ht="14.25" customHeight="1">
      <c r="D909" s="61"/>
      <c r="E909" s="62"/>
      <c r="F909" s="63"/>
      <c r="G909" s="64"/>
    </row>
    <row r="910" spans="4:7" ht="14.25" customHeight="1">
      <c r="D910" s="61"/>
      <c r="E910" s="62"/>
      <c r="F910" s="63"/>
      <c r="G910" s="64"/>
    </row>
    <row r="911" spans="4:7" ht="14.25" customHeight="1">
      <c r="D911" s="61"/>
      <c r="E911" s="62"/>
      <c r="F911" s="63"/>
      <c r="G911" s="64"/>
    </row>
    <row r="912" spans="4:7" ht="14.25" customHeight="1">
      <c r="D912" s="61"/>
      <c r="E912" s="62"/>
      <c r="F912" s="63"/>
      <c r="G912" s="64"/>
    </row>
    <row r="913" spans="4:7" ht="14.25" customHeight="1">
      <c r="D913" s="61"/>
      <c r="E913" s="62"/>
      <c r="F913" s="63"/>
      <c r="G913" s="64"/>
    </row>
    <row r="914" spans="4:7" ht="14.25" customHeight="1">
      <c r="D914" s="61"/>
      <c r="E914" s="62"/>
      <c r="F914" s="63"/>
      <c r="G914" s="64"/>
    </row>
    <row r="915" spans="4:7" ht="14.25" customHeight="1">
      <c r="D915" s="61"/>
      <c r="E915" s="62"/>
      <c r="F915" s="63"/>
      <c r="G915" s="64"/>
    </row>
    <row r="916" spans="4:7" ht="14.25" customHeight="1">
      <c r="D916" s="61"/>
      <c r="E916" s="62"/>
      <c r="F916" s="63"/>
      <c r="G916" s="64"/>
    </row>
    <row r="917" spans="4:7" ht="14.25" customHeight="1">
      <c r="D917" s="61"/>
      <c r="E917" s="62"/>
      <c r="F917" s="63"/>
      <c r="G917" s="64"/>
    </row>
    <row r="918" spans="4:7" ht="14.25" customHeight="1">
      <c r="D918" s="61"/>
      <c r="E918" s="62"/>
      <c r="F918" s="63"/>
      <c r="G918" s="64"/>
    </row>
    <row r="919" spans="4:7" ht="14.25" customHeight="1">
      <c r="D919" s="61"/>
      <c r="E919" s="62"/>
      <c r="F919" s="63"/>
      <c r="G919" s="64"/>
    </row>
    <row r="920" spans="4:7" ht="14.25" customHeight="1">
      <c r="D920" s="61"/>
      <c r="E920" s="62"/>
      <c r="F920" s="63"/>
      <c r="G920" s="64"/>
    </row>
    <row r="921" spans="4:7" ht="14.25" customHeight="1">
      <c r="D921" s="61"/>
      <c r="E921" s="62"/>
      <c r="F921" s="63"/>
      <c r="G921" s="64"/>
    </row>
    <row r="922" spans="4:7" ht="14.25" customHeight="1">
      <c r="D922" s="61"/>
      <c r="E922" s="62"/>
      <c r="F922" s="63"/>
      <c r="G922" s="64"/>
    </row>
    <row r="923" spans="4:7" ht="14.25" customHeight="1">
      <c r="D923" s="61"/>
      <c r="E923" s="62"/>
      <c r="F923" s="63"/>
      <c r="G923" s="64"/>
    </row>
    <row r="924" spans="4:7" ht="14.25" customHeight="1">
      <c r="D924" s="61"/>
      <c r="E924" s="62"/>
      <c r="F924" s="63"/>
      <c r="G924" s="64"/>
    </row>
    <row r="925" spans="4:7" ht="14.25" customHeight="1">
      <c r="D925" s="61"/>
      <c r="E925" s="62"/>
      <c r="F925" s="63"/>
      <c r="G925" s="64"/>
    </row>
    <row r="926" spans="4:7" ht="14.25" customHeight="1">
      <c r="D926" s="61"/>
      <c r="E926" s="62"/>
      <c r="F926" s="63"/>
      <c r="G926" s="64"/>
    </row>
    <row r="927" spans="4:7" ht="14.25" customHeight="1">
      <c r="D927" s="61"/>
      <c r="E927" s="62"/>
      <c r="F927" s="63"/>
      <c r="G927" s="64"/>
    </row>
    <row r="928" spans="4:7" ht="14.25" customHeight="1">
      <c r="D928" s="61"/>
      <c r="E928" s="62"/>
      <c r="F928" s="63"/>
      <c r="G928" s="64"/>
    </row>
    <row r="929" spans="4:7" ht="14.25" customHeight="1">
      <c r="D929" s="61"/>
      <c r="E929" s="62"/>
      <c r="F929" s="63"/>
      <c r="G929" s="64"/>
    </row>
    <row r="930" spans="4:7" ht="14.25" customHeight="1">
      <c r="D930" s="61"/>
      <c r="E930" s="62"/>
      <c r="F930" s="63"/>
      <c r="G930" s="64"/>
    </row>
    <row r="931" spans="4:7" ht="14.25" customHeight="1">
      <c r="D931" s="61"/>
      <c r="E931" s="62"/>
      <c r="F931" s="63"/>
      <c r="G931" s="64"/>
    </row>
    <row r="932" spans="4:7" ht="14.25" customHeight="1">
      <c r="D932" s="61"/>
      <c r="E932" s="62"/>
      <c r="F932" s="63"/>
      <c r="G932" s="64"/>
    </row>
    <row r="933" spans="4:7" ht="14.25" customHeight="1">
      <c r="D933" s="61"/>
      <c r="E933" s="62"/>
      <c r="F933" s="63"/>
      <c r="G933" s="64"/>
    </row>
    <row r="934" spans="4:7" ht="14.25" customHeight="1">
      <c r="D934" s="61"/>
      <c r="E934" s="62"/>
      <c r="F934" s="63"/>
      <c r="G934" s="64"/>
    </row>
    <row r="935" spans="4:7" ht="14.25" customHeight="1">
      <c r="D935" s="61"/>
      <c r="E935" s="62"/>
      <c r="F935" s="63"/>
      <c r="G935" s="64"/>
    </row>
    <row r="936" spans="4:7" ht="14.25" customHeight="1">
      <c r="D936" s="61"/>
      <c r="E936" s="62"/>
      <c r="F936" s="63"/>
      <c r="G936" s="64"/>
    </row>
    <row r="937" spans="4:7" ht="14.25" customHeight="1">
      <c r="D937" s="61"/>
      <c r="E937" s="62"/>
      <c r="F937" s="63"/>
      <c r="G937" s="64"/>
    </row>
    <row r="938" spans="4:7" ht="14.25" customHeight="1">
      <c r="D938" s="61"/>
      <c r="E938" s="62"/>
      <c r="F938" s="63"/>
      <c r="G938" s="64"/>
    </row>
    <row r="939" spans="4:7" ht="14.25" customHeight="1">
      <c r="D939" s="61"/>
      <c r="E939" s="62"/>
      <c r="F939" s="63"/>
      <c r="G939" s="64"/>
    </row>
    <row r="940" spans="4:7" ht="14.25" customHeight="1">
      <c r="D940" s="61"/>
      <c r="E940" s="62"/>
      <c r="F940" s="63"/>
      <c r="G940" s="64"/>
    </row>
    <row r="941" spans="4:7" ht="14.25" customHeight="1">
      <c r="D941" s="61"/>
      <c r="E941" s="62"/>
      <c r="F941" s="63"/>
      <c r="G941" s="64"/>
    </row>
    <row r="942" spans="4:7" ht="14.25" customHeight="1">
      <c r="D942" s="61"/>
      <c r="E942" s="62"/>
      <c r="F942" s="63"/>
      <c r="G942" s="64"/>
    </row>
    <row r="943" spans="4:7" ht="14.25" customHeight="1">
      <c r="D943" s="61"/>
      <c r="E943" s="62"/>
      <c r="F943" s="63"/>
      <c r="G943" s="64"/>
    </row>
    <row r="944" spans="4:7" ht="14.25" customHeight="1">
      <c r="D944" s="61"/>
      <c r="E944" s="62"/>
      <c r="F944" s="63"/>
      <c r="G944" s="64"/>
    </row>
    <row r="945" spans="4:7" ht="14.25" customHeight="1">
      <c r="D945" s="61"/>
      <c r="E945" s="62"/>
      <c r="F945" s="63"/>
      <c r="G945" s="64"/>
    </row>
    <row r="946" spans="4:7" ht="14.25" customHeight="1">
      <c r="D946" s="61"/>
      <c r="E946" s="62"/>
      <c r="F946" s="63"/>
      <c r="G946" s="64"/>
    </row>
    <row r="947" spans="4:7" ht="14.25" customHeight="1">
      <c r="D947" s="61"/>
      <c r="E947" s="62"/>
      <c r="F947" s="63"/>
      <c r="G947" s="64"/>
    </row>
    <row r="948" spans="4:7" ht="14.25" customHeight="1">
      <c r="D948" s="61"/>
      <c r="E948" s="62"/>
      <c r="F948" s="63"/>
      <c r="G948" s="64"/>
    </row>
    <row r="949" spans="4:7" ht="14.25" customHeight="1">
      <c r="D949" s="61"/>
      <c r="E949" s="62"/>
      <c r="F949" s="63"/>
      <c r="G949" s="64"/>
    </row>
    <row r="950" spans="4:7" ht="14.25" customHeight="1">
      <c r="D950" s="61"/>
      <c r="E950" s="62"/>
      <c r="F950" s="63"/>
      <c r="G950" s="64"/>
    </row>
    <row r="951" spans="4:7" ht="14.25" customHeight="1">
      <c r="D951" s="61"/>
      <c r="E951" s="62"/>
      <c r="F951" s="63"/>
      <c r="G951" s="64"/>
    </row>
    <row r="952" spans="4:7" ht="14.25" customHeight="1">
      <c r="D952" s="61"/>
      <c r="E952" s="62"/>
      <c r="F952" s="63"/>
      <c r="G952" s="64"/>
    </row>
    <row r="953" spans="4:7" ht="14.25" customHeight="1">
      <c r="D953" s="61"/>
      <c r="E953" s="62"/>
      <c r="F953" s="63"/>
      <c r="G953" s="64"/>
    </row>
    <row r="954" spans="4:7" ht="14.25" customHeight="1">
      <c r="D954" s="61"/>
      <c r="E954" s="62"/>
      <c r="F954" s="63"/>
      <c r="G954" s="64"/>
    </row>
    <row r="955" spans="4:7" ht="14.25" customHeight="1">
      <c r="D955" s="61"/>
      <c r="E955" s="62"/>
      <c r="F955" s="63"/>
      <c r="G955" s="64"/>
    </row>
    <row r="956" spans="4:7" ht="14.25" customHeight="1">
      <c r="D956" s="61"/>
      <c r="E956" s="62"/>
      <c r="F956" s="63"/>
      <c r="G956" s="64"/>
    </row>
    <row r="957" spans="4:7" ht="14.25" customHeight="1">
      <c r="D957" s="61"/>
      <c r="E957" s="62"/>
      <c r="F957" s="63"/>
      <c r="G957" s="64"/>
    </row>
    <row r="958" spans="4:7" ht="14.25" customHeight="1">
      <c r="D958" s="61"/>
      <c r="E958" s="62"/>
      <c r="F958" s="63"/>
      <c r="G958" s="64"/>
    </row>
    <row r="959" spans="4:7" ht="14.25" customHeight="1">
      <c r="D959" s="61"/>
      <c r="E959" s="62"/>
      <c r="F959" s="63"/>
      <c r="G959" s="64"/>
    </row>
    <row r="960" spans="4:7" ht="14.25" customHeight="1">
      <c r="D960" s="61"/>
      <c r="E960" s="62"/>
      <c r="F960" s="63"/>
      <c r="G960" s="64"/>
    </row>
    <row r="961" spans="4:7" ht="14.25" customHeight="1">
      <c r="D961" s="61"/>
      <c r="E961" s="62"/>
      <c r="F961" s="63"/>
      <c r="G961" s="64"/>
    </row>
    <row r="962" spans="4:7" ht="14.25" customHeight="1">
      <c r="D962" s="61"/>
      <c r="E962" s="62"/>
      <c r="F962" s="63"/>
      <c r="G962" s="64"/>
    </row>
    <row r="963" spans="4:7" ht="14.25" customHeight="1">
      <c r="D963" s="61"/>
      <c r="E963" s="62"/>
      <c r="F963" s="63"/>
      <c r="G963" s="64"/>
    </row>
    <row r="964" spans="4:7" ht="14.25" customHeight="1">
      <c r="D964" s="61"/>
      <c r="E964" s="62"/>
      <c r="F964" s="63"/>
      <c r="G964" s="64"/>
    </row>
    <row r="965" spans="4:7" ht="14.25" customHeight="1">
      <c r="D965" s="61"/>
      <c r="E965" s="62"/>
      <c r="F965" s="63"/>
      <c r="G965" s="64"/>
    </row>
    <row r="966" spans="4:7" ht="14.25" customHeight="1">
      <c r="D966" s="61"/>
      <c r="E966" s="62"/>
      <c r="F966" s="63"/>
      <c r="G966" s="64"/>
    </row>
    <row r="967" spans="4:7" ht="14.25" customHeight="1">
      <c r="D967" s="61"/>
      <c r="E967" s="62"/>
      <c r="F967" s="63"/>
      <c r="G967" s="64"/>
    </row>
    <row r="968" spans="4:7" ht="14.25" customHeight="1">
      <c r="D968" s="61"/>
      <c r="E968" s="62"/>
      <c r="F968" s="63"/>
      <c r="G968" s="64"/>
    </row>
    <row r="969" spans="4:7" ht="14.25" customHeight="1">
      <c r="D969" s="61"/>
      <c r="E969" s="62"/>
      <c r="F969" s="63"/>
      <c r="G969" s="64"/>
    </row>
    <row r="970" spans="4:7" ht="14.25" customHeight="1">
      <c r="D970" s="61"/>
      <c r="E970" s="62"/>
      <c r="F970" s="63"/>
      <c r="G970" s="64"/>
    </row>
    <row r="971" spans="4:7" ht="14.25" customHeight="1">
      <c r="D971" s="61"/>
      <c r="E971" s="62"/>
      <c r="F971" s="63"/>
      <c r="G971" s="64"/>
    </row>
    <row r="972" spans="4:7" ht="14.25" customHeight="1">
      <c r="D972" s="61"/>
      <c r="E972" s="62"/>
      <c r="F972" s="63"/>
      <c r="G972" s="64"/>
    </row>
    <row r="973" spans="4:7" ht="14.25" customHeight="1">
      <c r="D973" s="61"/>
      <c r="E973" s="62"/>
      <c r="F973" s="63"/>
      <c r="G973" s="64"/>
    </row>
    <row r="974" spans="4:7" ht="14.25" customHeight="1">
      <c r="D974" s="61"/>
      <c r="E974" s="62"/>
      <c r="F974" s="63"/>
      <c r="G974" s="64"/>
    </row>
    <row r="975" spans="4:7" ht="14.25" customHeight="1">
      <c r="D975" s="61"/>
      <c r="E975" s="62"/>
      <c r="F975" s="63"/>
      <c r="G975" s="64"/>
    </row>
    <row r="976" spans="4:7" ht="14.25" customHeight="1">
      <c r="D976" s="61"/>
      <c r="E976" s="62"/>
      <c r="F976" s="63"/>
      <c r="G976" s="64"/>
    </row>
    <row r="977" spans="4:7" ht="14.25" customHeight="1">
      <c r="D977" s="61"/>
      <c r="E977" s="62"/>
      <c r="F977" s="63"/>
      <c r="G977" s="64"/>
    </row>
    <row r="978" spans="4:7" ht="14.25" customHeight="1">
      <c r="D978" s="61"/>
      <c r="E978" s="62"/>
      <c r="F978" s="63"/>
      <c r="G978" s="64"/>
    </row>
    <row r="979" spans="4:7" ht="14.25" customHeight="1">
      <c r="D979" s="61"/>
      <c r="E979" s="62"/>
      <c r="F979" s="63"/>
      <c r="G979" s="64"/>
    </row>
    <row r="980" spans="4:7" ht="14.25" customHeight="1">
      <c r="D980" s="61"/>
      <c r="E980" s="62"/>
      <c r="F980" s="63"/>
      <c r="G980" s="64"/>
    </row>
    <row r="981" spans="4:7" ht="14.25" customHeight="1">
      <c r="D981" s="61"/>
      <c r="E981" s="62"/>
      <c r="F981" s="63"/>
      <c r="G981" s="64"/>
    </row>
    <row r="982" spans="4:7" ht="14.25" customHeight="1">
      <c r="D982" s="61"/>
      <c r="E982" s="62"/>
      <c r="F982" s="63"/>
      <c r="G982" s="64"/>
    </row>
    <row r="983" spans="4:7" ht="14.25" customHeight="1">
      <c r="D983" s="61"/>
      <c r="E983" s="62"/>
      <c r="F983" s="63"/>
      <c r="G983" s="64"/>
    </row>
    <row r="984" spans="4:7" ht="14.25" customHeight="1">
      <c r="D984" s="61"/>
      <c r="E984" s="62"/>
      <c r="F984" s="63"/>
      <c r="G984" s="64"/>
    </row>
    <row r="985" spans="4:7" ht="14.25" customHeight="1">
      <c r="D985" s="61"/>
      <c r="E985" s="62"/>
      <c r="F985" s="63"/>
      <c r="G985" s="64"/>
    </row>
    <row r="986" spans="4:7" ht="14.25" customHeight="1">
      <c r="D986" s="61"/>
      <c r="E986" s="62"/>
      <c r="F986" s="63"/>
      <c r="G986" s="64"/>
    </row>
    <row r="987" spans="4:7" ht="14.25" customHeight="1">
      <c r="D987" s="61"/>
      <c r="E987" s="62"/>
      <c r="F987" s="63"/>
      <c r="G987" s="64"/>
    </row>
    <row r="988" spans="4:7" ht="14.25" customHeight="1">
      <c r="D988" s="61"/>
      <c r="E988" s="62"/>
      <c r="F988" s="63"/>
      <c r="G988" s="64"/>
    </row>
    <row r="989" spans="4:7" ht="14.25" customHeight="1">
      <c r="D989" s="61"/>
      <c r="E989" s="62"/>
      <c r="F989" s="63"/>
      <c r="G989" s="64"/>
    </row>
    <row r="990" spans="4:7" ht="14.25" customHeight="1">
      <c r="D990" s="61"/>
      <c r="E990" s="62"/>
      <c r="F990" s="63"/>
      <c r="G990" s="64"/>
    </row>
    <row r="991" spans="4:7" ht="14.25" customHeight="1">
      <c r="D991" s="61"/>
      <c r="E991" s="62"/>
      <c r="F991" s="63"/>
      <c r="G991" s="64"/>
    </row>
    <row r="992" spans="4:7" ht="14.25" customHeight="1">
      <c r="D992" s="61"/>
      <c r="E992" s="62"/>
      <c r="F992" s="63"/>
      <c r="G992" s="64"/>
    </row>
    <row r="993" spans="4:7" ht="14.25" customHeight="1">
      <c r="D993" s="61"/>
      <c r="E993" s="62"/>
      <c r="F993" s="63"/>
      <c r="G993" s="64"/>
    </row>
    <row r="994" spans="4:7" ht="14.25" customHeight="1">
      <c r="D994" s="61"/>
      <c r="E994" s="62"/>
      <c r="F994" s="63"/>
      <c r="G994" s="64"/>
    </row>
    <row r="995" spans="4:7" ht="14.25" customHeight="1">
      <c r="D995" s="61"/>
      <c r="E995" s="62"/>
      <c r="F995" s="63"/>
      <c r="G995" s="64"/>
    </row>
    <row r="996" spans="4:7" ht="14.25" customHeight="1">
      <c r="D996" s="61"/>
      <c r="E996" s="62"/>
      <c r="F996" s="63"/>
      <c r="G996" s="64"/>
    </row>
    <row r="997" spans="4:7" ht="14.25" customHeight="1">
      <c r="D997" s="61"/>
      <c r="E997" s="62"/>
      <c r="F997" s="63"/>
      <c r="G997" s="64"/>
    </row>
    <row r="998" spans="4:7" ht="14.25" customHeight="1">
      <c r="D998" s="61"/>
      <c r="E998" s="62"/>
      <c r="F998" s="63"/>
      <c r="G998" s="64"/>
    </row>
    <row r="999" spans="4:7" ht="14.25" customHeight="1">
      <c r="D999" s="61"/>
      <c r="E999" s="62"/>
      <c r="F999" s="63"/>
      <c r="G999" s="64"/>
    </row>
    <row r="1000" spans="4:7" ht="14.25" customHeight="1">
      <c r="D1000" s="61"/>
      <c r="E1000" s="62"/>
      <c r="F1000" s="63"/>
      <c r="G1000" s="64"/>
    </row>
    <row r="1001" spans="4:7" ht="14.25" customHeight="1">
      <c r="D1001" s="61"/>
      <c r="E1001" s="62"/>
      <c r="F1001" s="63"/>
      <c r="G1001" s="64"/>
    </row>
    <row r="1002" spans="4:7" ht="14.25" customHeight="1">
      <c r="D1002" s="61"/>
      <c r="E1002" s="62"/>
      <c r="F1002" s="63"/>
      <c r="G1002" s="64"/>
    </row>
    <row r="1003" spans="4:7" ht="14.25" customHeight="1">
      <c r="D1003" s="61"/>
      <c r="E1003" s="62"/>
      <c r="F1003" s="63"/>
      <c r="G1003" s="64"/>
    </row>
    <row r="1004" spans="4:7" ht="14.25" customHeight="1">
      <c r="D1004" s="61"/>
      <c r="E1004" s="62"/>
      <c r="F1004" s="63"/>
      <c r="G1004" s="64"/>
    </row>
    <row r="1005" spans="4:7" ht="14.25" customHeight="1">
      <c r="D1005" s="61"/>
      <c r="E1005" s="62"/>
      <c r="F1005" s="63"/>
      <c r="G1005" s="64"/>
    </row>
    <row r="1006" spans="4:7" ht="14.25" customHeight="1">
      <c r="D1006" s="61"/>
      <c r="E1006" s="62"/>
      <c r="F1006" s="63"/>
      <c r="G1006" s="64"/>
    </row>
    <row r="1007" spans="4:7" ht="14.25" customHeight="1">
      <c r="D1007" s="61"/>
      <c r="E1007" s="62"/>
      <c r="F1007" s="63"/>
      <c r="G1007" s="64"/>
    </row>
    <row r="1008" spans="4:7" ht="14.25" customHeight="1">
      <c r="D1008" s="61"/>
      <c r="E1008" s="62"/>
      <c r="F1008" s="63"/>
      <c r="G1008" s="64"/>
    </row>
    <row r="1009" spans="4:7" ht="14.25" customHeight="1">
      <c r="D1009" s="61"/>
      <c r="E1009" s="62"/>
      <c r="F1009" s="63"/>
      <c r="G1009" s="64"/>
    </row>
    <row r="1010" spans="4:7" ht="14.25" customHeight="1"/>
    <row r="1011" spans="4:7" ht="14.25" customHeight="1"/>
  </sheetData>
  <mergeCells count="16">
    <mergeCell ref="A1:B3"/>
    <mergeCell ref="D1:F1"/>
    <mergeCell ref="G1:J1"/>
    <mergeCell ref="K1:N1"/>
    <mergeCell ref="O1:R1"/>
    <mergeCell ref="D4:R4"/>
    <mergeCell ref="A5:A12"/>
    <mergeCell ref="L42:O42"/>
    <mergeCell ref="K54:N54"/>
    <mergeCell ref="A13:O13"/>
    <mergeCell ref="P13:R13"/>
    <mergeCell ref="A14:A21"/>
    <mergeCell ref="A22:R22"/>
    <mergeCell ref="A23:A31"/>
    <mergeCell ref="D42:G42"/>
    <mergeCell ref="H42:K42"/>
  </mergeCell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10"/>
  <sheetViews>
    <sheetView workbookViewId="0">
      <selection activeCell="V10" sqref="V10"/>
    </sheetView>
  </sheetViews>
  <sheetFormatPr defaultColWidth="14.42578125" defaultRowHeight="15" customHeight="1"/>
  <cols>
    <col min="1" max="2" width="10.7109375" customWidth="1"/>
    <col min="3" max="3" width="55.28515625" customWidth="1"/>
    <col min="4" max="15" width="9.42578125" customWidth="1"/>
    <col min="16" max="16" width="10.28515625" customWidth="1"/>
    <col min="17" max="18" width="9.42578125" customWidth="1"/>
  </cols>
  <sheetData>
    <row r="1" spans="1:18" ht="14.25" customHeight="1">
      <c r="A1" s="242" t="s">
        <v>84</v>
      </c>
      <c r="B1" s="226"/>
      <c r="C1" s="1" t="s">
        <v>0</v>
      </c>
      <c r="D1" s="231">
        <v>2022</v>
      </c>
      <c r="E1" s="222"/>
      <c r="F1" s="223"/>
      <c r="G1" s="231">
        <v>2023</v>
      </c>
      <c r="H1" s="222"/>
      <c r="I1" s="222"/>
      <c r="J1" s="223"/>
      <c r="K1" s="231">
        <v>2024</v>
      </c>
      <c r="L1" s="222"/>
      <c r="M1" s="222"/>
      <c r="N1" s="223"/>
      <c r="O1" s="236">
        <v>2025</v>
      </c>
      <c r="P1" s="222"/>
      <c r="Q1" s="222"/>
      <c r="R1" s="223"/>
    </row>
    <row r="2" spans="1:18" ht="14.25" customHeight="1">
      <c r="A2" s="227"/>
      <c r="B2" s="228"/>
      <c r="C2" s="1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2" t="s">
        <v>2</v>
      </c>
      <c r="I2" s="3" t="s">
        <v>3</v>
      </c>
      <c r="J2" s="4" t="s">
        <v>4</v>
      </c>
      <c r="K2" s="5" t="s">
        <v>5</v>
      </c>
      <c r="L2" s="2" t="s">
        <v>2</v>
      </c>
      <c r="M2" s="3" t="s">
        <v>3</v>
      </c>
      <c r="N2" s="4" t="s">
        <v>4</v>
      </c>
      <c r="O2" s="5" t="s">
        <v>5</v>
      </c>
      <c r="P2" s="2" t="s">
        <v>2</v>
      </c>
      <c r="Q2" s="3" t="s">
        <v>3</v>
      </c>
      <c r="R2" s="4" t="s">
        <v>4</v>
      </c>
    </row>
    <row r="3" spans="1:18" ht="14.25" customHeight="1">
      <c r="A3" s="229"/>
      <c r="B3" s="230"/>
      <c r="C3" s="6" t="s">
        <v>6</v>
      </c>
      <c r="D3" s="114" t="s">
        <v>71</v>
      </c>
      <c r="E3" s="115" t="s">
        <v>71</v>
      </c>
      <c r="F3" s="78">
        <v>44852</v>
      </c>
      <c r="G3" s="68">
        <v>44973</v>
      </c>
      <c r="H3" s="144">
        <v>45093</v>
      </c>
      <c r="I3" s="75">
        <v>45189</v>
      </c>
      <c r="J3" s="70">
        <v>45243</v>
      </c>
      <c r="K3" s="68">
        <v>45310</v>
      </c>
      <c r="L3" s="114" t="s">
        <v>71</v>
      </c>
      <c r="M3" s="145">
        <v>45560</v>
      </c>
      <c r="N3" s="70">
        <v>45622</v>
      </c>
      <c r="O3" s="116">
        <v>45719</v>
      </c>
      <c r="P3" s="74">
        <v>45818</v>
      </c>
      <c r="Q3" s="145">
        <v>45841</v>
      </c>
      <c r="R3" s="78">
        <v>45925</v>
      </c>
    </row>
    <row r="4" spans="1:18" ht="14.25" customHeight="1">
      <c r="A4" s="14" t="s">
        <v>7</v>
      </c>
      <c r="B4" s="14" t="s">
        <v>8</v>
      </c>
      <c r="C4" s="15" t="s">
        <v>52</v>
      </c>
      <c r="D4" s="239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</row>
    <row r="5" spans="1:18" ht="23.25" customHeight="1">
      <c r="A5" s="233" t="s">
        <v>10</v>
      </c>
      <c r="B5" s="16" t="s">
        <v>11</v>
      </c>
      <c r="C5" s="16" t="s">
        <v>12</v>
      </c>
      <c r="D5" s="17"/>
      <c r="E5" s="18"/>
      <c r="F5" s="19">
        <v>0</v>
      </c>
      <c r="G5" s="84">
        <v>0</v>
      </c>
      <c r="H5" s="17">
        <v>0</v>
      </c>
      <c r="I5" s="18">
        <v>0</v>
      </c>
      <c r="J5" s="19">
        <v>0</v>
      </c>
      <c r="K5" s="84">
        <v>0</v>
      </c>
      <c r="L5" s="21"/>
      <c r="M5" s="18">
        <v>0</v>
      </c>
      <c r="N5" s="23"/>
      <c r="O5" s="84">
        <v>0</v>
      </c>
      <c r="P5" s="17">
        <v>0</v>
      </c>
      <c r="Q5" s="18">
        <v>0</v>
      </c>
      <c r="R5" s="146">
        <v>0</v>
      </c>
    </row>
    <row r="6" spans="1:18" ht="22.5" customHeight="1">
      <c r="A6" s="219"/>
      <c r="B6" s="24" t="s">
        <v>13</v>
      </c>
      <c r="C6" s="24" t="s">
        <v>14</v>
      </c>
      <c r="D6" s="25"/>
      <c r="E6" s="26"/>
      <c r="F6" s="27">
        <v>0</v>
      </c>
      <c r="G6" s="86">
        <v>0</v>
      </c>
      <c r="H6" s="25">
        <v>0</v>
      </c>
      <c r="I6" s="26">
        <v>0</v>
      </c>
      <c r="J6" s="27">
        <v>0</v>
      </c>
      <c r="K6" s="86">
        <v>0</v>
      </c>
      <c r="L6" s="29"/>
      <c r="M6" s="26">
        <v>0</v>
      </c>
      <c r="N6" s="31"/>
      <c r="O6" s="86">
        <v>0</v>
      </c>
      <c r="P6" s="25">
        <v>1</v>
      </c>
      <c r="Q6" s="26">
        <v>1</v>
      </c>
      <c r="R6" s="146">
        <v>0</v>
      </c>
    </row>
    <row r="7" spans="1:18" ht="22.5" customHeight="1">
      <c r="A7" s="219"/>
      <c r="B7" s="16" t="s">
        <v>15</v>
      </c>
      <c r="C7" s="16" t="s">
        <v>16</v>
      </c>
      <c r="D7" s="17"/>
      <c r="E7" s="18"/>
      <c r="F7" s="19">
        <v>4</v>
      </c>
      <c r="G7" s="84">
        <v>6</v>
      </c>
      <c r="H7" s="17">
        <v>6</v>
      </c>
      <c r="I7" s="18">
        <v>15</v>
      </c>
      <c r="J7" s="19">
        <v>0</v>
      </c>
      <c r="K7" s="84">
        <v>0</v>
      </c>
      <c r="L7" s="21"/>
      <c r="M7" s="18">
        <v>4</v>
      </c>
      <c r="N7" s="19">
        <v>5</v>
      </c>
      <c r="O7" s="84">
        <v>1</v>
      </c>
      <c r="P7" s="17">
        <v>0</v>
      </c>
      <c r="Q7" s="18">
        <v>81</v>
      </c>
      <c r="R7" s="19">
        <v>1</v>
      </c>
    </row>
    <row r="8" spans="1:18" ht="22.5" customHeight="1">
      <c r="A8" s="219"/>
      <c r="B8" s="24" t="s">
        <v>17</v>
      </c>
      <c r="C8" s="24" t="s">
        <v>18</v>
      </c>
      <c r="D8" s="25"/>
      <c r="E8" s="26"/>
      <c r="F8" s="27">
        <v>5</v>
      </c>
      <c r="G8" s="86">
        <v>0</v>
      </c>
      <c r="H8" s="25">
        <v>4</v>
      </c>
      <c r="I8" s="26">
        <v>7</v>
      </c>
      <c r="J8" s="27">
        <v>1</v>
      </c>
      <c r="K8" s="86">
        <v>0</v>
      </c>
      <c r="L8" s="29"/>
      <c r="M8" s="26">
        <v>1</v>
      </c>
      <c r="N8" s="27">
        <v>1</v>
      </c>
      <c r="O8" s="86">
        <v>1</v>
      </c>
      <c r="P8" s="25">
        <v>0</v>
      </c>
      <c r="Q8" s="26">
        <v>37</v>
      </c>
      <c r="R8" s="19">
        <v>4</v>
      </c>
    </row>
    <row r="9" spans="1:18" ht="22.5" customHeight="1">
      <c r="A9" s="219"/>
      <c r="B9" s="16" t="s">
        <v>19</v>
      </c>
      <c r="C9" s="16" t="s">
        <v>20</v>
      </c>
      <c r="D9" s="17"/>
      <c r="E9" s="18"/>
      <c r="F9" s="19">
        <v>4</v>
      </c>
      <c r="G9" s="84">
        <v>7</v>
      </c>
      <c r="H9" s="17">
        <v>7</v>
      </c>
      <c r="I9" s="18">
        <v>5</v>
      </c>
      <c r="J9" s="19">
        <v>5</v>
      </c>
      <c r="K9" s="84">
        <v>16</v>
      </c>
      <c r="L9" s="21"/>
      <c r="M9" s="18">
        <v>6</v>
      </c>
      <c r="N9" s="123">
        <v>9</v>
      </c>
      <c r="O9" s="84">
        <v>5</v>
      </c>
      <c r="P9" s="17">
        <v>6</v>
      </c>
      <c r="Q9" s="18">
        <v>6</v>
      </c>
      <c r="R9" s="19">
        <v>4</v>
      </c>
    </row>
    <row r="10" spans="1:18" ht="23.25" customHeight="1">
      <c r="A10" s="219"/>
      <c r="B10" s="24" t="s">
        <v>21</v>
      </c>
      <c r="C10" s="24" t="s">
        <v>22</v>
      </c>
      <c r="D10" s="25"/>
      <c r="E10" s="26"/>
      <c r="F10" s="27">
        <v>21</v>
      </c>
      <c r="G10" s="86">
        <v>7</v>
      </c>
      <c r="H10" s="25">
        <v>7</v>
      </c>
      <c r="I10" s="26">
        <v>34</v>
      </c>
      <c r="J10" s="27">
        <v>28</v>
      </c>
      <c r="K10" s="86">
        <v>77</v>
      </c>
      <c r="L10" s="29"/>
      <c r="M10" s="26">
        <v>62</v>
      </c>
      <c r="N10" s="27">
        <v>54</v>
      </c>
      <c r="O10" s="86">
        <v>15</v>
      </c>
      <c r="P10" s="25">
        <v>13</v>
      </c>
      <c r="Q10" s="26">
        <v>31</v>
      </c>
      <c r="R10" s="19">
        <v>11</v>
      </c>
    </row>
    <row r="11" spans="1:18" ht="24" customHeight="1">
      <c r="A11" s="219"/>
      <c r="B11" s="16" t="s">
        <v>23</v>
      </c>
      <c r="C11" s="16" t="s">
        <v>24</v>
      </c>
      <c r="D11" s="17"/>
      <c r="E11" s="18"/>
      <c r="F11" s="19">
        <v>0</v>
      </c>
      <c r="G11" s="84">
        <v>0</v>
      </c>
      <c r="H11" s="17">
        <v>0</v>
      </c>
      <c r="I11" s="18">
        <v>26</v>
      </c>
      <c r="J11" s="19">
        <v>2</v>
      </c>
      <c r="K11" s="84">
        <v>0</v>
      </c>
      <c r="L11" s="21"/>
      <c r="M11" s="18">
        <v>3</v>
      </c>
      <c r="N11" s="23"/>
      <c r="O11" s="84">
        <v>0</v>
      </c>
      <c r="P11" s="17">
        <v>1</v>
      </c>
      <c r="Q11" s="18">
        <v>6</v>
      </c>
      <c r="R11" s="19">
        <v>0</v>
      </c>
    </row>
    <row r="12" spans="1:18" ht="24.75" customHeight="1">
      <c r="A12" s="220"/>
      <c r="B12" s="32" t="s">
        <v>25</v>
      </c>
      <c r="C12" s="32" t="s">
        <v>26</v>
      </c>
      <c r="D12" s="25"/>
      <c r="E12" s="26"/>
      <c r="F12" s="27">
        <v>0</v>
      </c>
      <c r="G12" s="86">
        <v>0</v>
      </c>
      <c r="H12" s="25">
        <v>0</v>
      </c>
      <c r="I12" s="26">
        <v>6</v>
      </c>
      <c r="J12" s="27">
        <v>1</v>
      </c>
      <c r="K12" s="86">
        <v>0</v>
      </c>
      <c r="L12" s="29"/>
      <c r="M12" s="26">
        <v>0</v>
      </c>
      <c r="N12" s="27">
        <v>4</v>
      </c>
      <c r="O12" s="86">
        <v>0</v>
      </c>
      <c r="P12" s="25">
        <v>4</v>
      </c>
      <c r="Q12" s="26">
        <v>1</v>
      </c>
      <c r="R12" s="19">
        <v>0</v>
      </c>
    </row>
    <row r="13" spans="1:18" ht="6" customHeight="1">
      <c r="A13" s="221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3"/>
      <c r="P13" s="121"/>
      <c r="Q13" s="121"/>
      <c r="R13" s="121"/>
    </row>
    <row r="14" spans="1:18" ht="24.75" customHeight="1">
      <c r="A14" s="218" t="s">
        <v>27</v>
      </c>
      <c r="B14" s="16" t="s">
        <v>11</v>
      </c>
      <c r="C14" s="16" t="s">
        <v>12</v>
      </c>
      <c r="D14" s="17"/>
      <c r="E14" s="18"/>
      <c r="F14" s="123">
        <v>0</v>
      </c>
      <c r="G14" s="124">
        <v>0</v>
      </c>
      <c r="H14" s="17">
        <v>0</v>
      </c>
      <c r="I14" s="18">
        <v>0</v>
      </c>
      <c r="J14" s="123">
        <v>0</v>
      </c>
      <c r="K14" s="124">
        <v>0</v>
      </c>
      <c r="L14" s="21"/>
      <c r="M14" s="18">
        <v>0</v>
      </c>
      <c r="N14" s="123">
        <v>0</v>
      </c>
      <c r="O14" s="124">
        <v>0</v>
      </c>
      <c r="P14" s="17">
        <v>0</v>
      </c>
      <c r="Q14" s="18">
        <v>0</v>
      </c>
      <c r="R14" s="125">
        <v>0</v>
      </c>
    </row>
    <row r="15" spans="1:18" ht="25.5" customHeight="1">
      <c r="A15" s="219"/>
      <c r="B15" s="24" t="s">
        <v>28</v>
      </c>
      <c r="C15" s="24" t="s">
        <v>29</v>
      </c>
      <c r="D15" s="25"/>
      <c r="E15" s="26"/>
      <c r="F15" s="125">
        <v>58</v>
      </c>
      <c r="G15" s="126">
        <v>5</v>
      </c>
      <c r="H15" s="25">
        <v>7</v>
      </c>
      <c r="I15" s="26">
        <v>10</v>
      </c>
      <c r="J15" s="125">
        <v>101</v>
      </c>
      <c r="K15" s="126">
        <v>104</v>
      </c>
      <c r="L15" s="29"/>
      <c r="M15" s="26">
        <v>68</v>
      </c>
      <c r="N15" s="125">
        <v>90</v>
      </c>
      <c r="O15" s="126">
        <v>6</v>
      </c>
      <c r="P15" s="25">
        <v>53</v>
      </c>
      <c r="Q15" s="26">
        <v>153</v>
      </c>
      <c r="R15" s="125">
        <v>14</v>
      </c>
    </row>
    <row r="16" spans="1:18" ht="23.25" customHeight="1">
      <c r="A16" s="219"/>
      <c r="B16" s="16" t="s">
        <v>15</v>
      </c>
      <c r="C16" s="16" t="s">
        <v>16</v>
      </c>
      <c r="D16" s="17"/>
      <c r="E16" s="127"/>
      <c r="F16" s="123">
        <v>3</v>
      </c>
      <c r="G16" s="124">
        <v>2</v>
      </c>
      <c r="H16" s="17">
        <v>2</v>
      </c>
      <c r="I16" s="18">
        <v>3</v>
      </c>
      <c r="J16" s="123">
        <v>0</v>
      </c>
      <c r="K16" s="124">
        <v>0</v>
      </c>
      <c r="L16" s="21"/>
      <c r="M16" s="18">
        <v>6</v>
      </c>
      <c r="N16" s="123">
        <v>0</v>
      </c>
      <c r="O16" s="124">
        <v>0</v>
      </c>
      <c r="P16" s="17">
        <v>0</v>
      </c>
      <c r="Q16" s="18">
        <v>0</v>
      </c>
      <c r="R16" s="125">
        <v>0</v>
      </c>
    </row>
    <row r="17" spans="1:18" ht="25.5" customHeight="1">
      <c r="A17" s="219"/>
      <c r="B17" s="24" t="s">
        <v>17</v>
      </c>
      <c r="C17" s="24" t="s">
        <v>18</v>
      </c>
      <c r="D17" s="25"/>
      <c r="E17" s="26"/>
      <c r="F17" s="125">
        <v>5</v>
      </c>
      <c r="G17" s="126">
        <v>0</v>
      </c>
      <c r="H17" s="25">
        <v>2</v>
      </c>
      <c r="I17" s="26">
        <v>2</v>
      </c>
      <c r="J17" s="125">
        <v>1</v>
      </c>
      <c r="K17" s="126">
        <v>0</v>
      </c>
      <c r="L17" s="29"/>
      <c r="M17" s="26">
        <v>1</v>
      </c>
      <c r="N17" s="125">
        <v>0</v>
      </c>
      <c r="O17" s="126">
        <v>0</v>
      </c>
      <c r="P17" s="25">
        <v>1</v>
      </c>
      <c r="Q17" s="26">
        <v>2</v>
      </c>
      <c r="R17" s="125">
        <v>0</v>
      </c>
    </row>
    <row r="18" spans="1:18" ht="22.5" customHeight="1">
      <c r="A18" s="219"/>
      <c r="B18" s="16" t="s">
        <v>19</v>
      </c>
      <c r="C18" s="16" t="s">
        <v>20</v>
      </c>
      <c r="D18" s="17"/>
      <c r="E18" s="127"/>
      <c r="F18" s="123">
        <v>10</v>
      </c>
      <c r="G18" s="124">
        <v>2</v>
      </c>
      <c r="H18" s="17">
        <v>6</v>
      </c>
      <c r="I18" s="18">
        <v>6</v>
      </c>
      <c r="J18" s="123">
        <v>3</v>
      </c>
      <c r="K18" s="124">
        <v>53</v>
      </c>
      <c r="L18" s="21"/>
      <c r="M18" s="18">
        <v>15</v>
      </c>
      <c r="N18" s="23">
        <v>6</v>
      </c>
      <c r="O18" s="124">
        <v>3</v>
      </c>
      <c r="P18" s="17">
        <v>14</v>
      </c>
      <c r="Q18" s="18">
        <v>387</v>
      </c>
      <c r="R18" s="125">
        <v>30</v>
      </c>
    </row>
    <row r="19" spans="1:18" ht="24" customHeight="1">
      <c r="A19" s="219"/>
      <c r="B19" s="24" t="s">
        <v>21</v>
      </c>
      <c r="C19" s="24" t="s">
        <v>22</v>
      </c>
      <c r="D19" s="25"/>
      <c r="E19" s="128"/>
      <c r="F19" s="125">
        <v>289</v>
      </c>
      <c r="G19" s="126">
        <v>35</v>
      </c>
      <c r="H19" s="25">
        <v>12</v>
      </c>
      <c r="I19" s="26">
        <v>51</v>
      </c>
      <c r="J19" s="125">
        <v>26</v>
      </c>
      <c r="K19" s="126">
        <v>114</v>
      </c>
      <c r="L19" s="29"/>
      <c r="M19" s="26">
        <v>352</v>
      </c>
      <c r="N19" s="41">
        <f>86+131</f>
        <v>217</v>
      </c>
      <c r="O19" s="126">
        <v>23</v>
      </c>
      <c r="P19" s="25">
        <v>127</v>
      </c>
      <c r="Q19" s="26">
        <v>37</v>
      </c>
      <c r="R19" s="125">
        <v>49</v>
      </c>
    </row>
    <row r="20" spans="1:18" ht="25.5" customHeight="1">
      <c r="A20" s="219"/>
      <c r="B20" s="16" t="s">
        <v>23</v>
      </c>
      <c r="C20" s="16" t="s">
        <v>24</v>
      </c>
      <c r="D20" s="17"/>
      <c r="E20" s="18"/>
      <c r="F20" s="123">
        <v>0</v>
      </c>
      <c r="G20" s="124">
        <v>0</v>
      </c>
      <c r="H20" s="17">
        <v>0</v>
      </c>
      <c r="I20" s="18">
        <v>3</v>
      </c>
      <c r="J20" s="123">
        <v>1</v>
      </c>
      <c r="K20" s="124">
        <v>0</v>
      </c>
      <c r="L20" s="21"/>
      <c r="M20" s="18">
        <v>0</v>
      </c>
      <c r="N20" s="123">
        <v>0</v>
      </c>
      <c r="O20" s="124">
        <v>0</v>
      </c>
      <c r="P20" s="17">
        <v>0</v>
      </c>
      <c r="Q20" s="18">
        <v>2</v>
      </c>
      <c r="R20" s="125">
        <v>1</v>
      </c>
    </row>
    <row r="21" spans="1:18" ht="25.5" customHeight="1">
      <c r="A21" s="220"/>
      <c r="B21" s="32" t="s">
        <v>25</v>
      </c>
      <c r="C21" s="32" t="s">
        <v>26</v>
      </c>
      <c r="D21" s="25"/>
      <c r="E21" s="26"/>
      <c r="F21" s="125">
        <v>6</v>
      </c>
      <c r="G21" s="126">
        <v>1</v>
      </c>
      <c r="H21" s="25">
        <v>0</v>
      </c>
      <c r="I21" s="26">
        <v>3</v>
      </c>
      <c r="J21" s="125">
        <v>6</v>
      </c>
      <c r="K21" s="126">
        <v>0</v>
      </c>
      <c r="L21" s="29"/>
      <c r="M21" s="26">
        <v>10</v>
      </c>
      <c r="N21" s="125">
        <v>7</v>
      </c>
      <c r="O21" s="126">
        <v>2</v>
      </c>
      <c r="P21" s="25">
        <v>28</v>
      </c>
      <c r="Q21" s="26">
        <v>21</v>
      </c>
      <c r="R21" s="125">
        <v>2</v>
      </c>
    </row>
    <row r="22" spans="1:18" ht="6" customHeight="1">
      <c r="A22" s="121"/>
      <c r="B22" s="121"/>
      <c r="C22" s="121"/>
      <c r="D22" s="221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3"/>
    </row>
    <row r="23" spans="1:18" ht="22.5" customHeight="1">
      <c r="A23" s="224" t="s">
        <v>30</v>
      </c>
      <c r="B23" s="38" t="s">
        <v>11</v>
      </c>
      <c r="C23" s="38" t="s">
        <v>12</v>
      </c>
      <c r="D23" s="21">
        <f t="shared" ref="D23:R23" si="0">SUM(D5+D14)</f>
        <v>0</v>
      </c>
      <c r="E23" s="22">
        <f t="shared" si="0"/>
        <v>0</v>
      </c>
      <c r="F23" s="39">
        <f t="shared" si="0"/>
        <v>0</v>
      </c>
      <c r="G23" s="40">
        <f t="shared" si="0"/>
        <v>0</v>
      </c>
      <c r="H23" s="21">
        <f t="shared" si="0"/>
        <v>0</v>
      </c>
      <c r="I23" s="22">
        <f t="shared" si="0"/>
        <v>0</v>
      </c>
      <c r="J23" s="39">
        <f t="shared" si="0"/>
        <v>0</v>
      </c>
      <c r="K23" s="40">
        <f t="shared" si="0"/>
        <v>0</v>
      </c>
      <c r="L23" s="21">
        <f t="shared" si="0"/>
        <v>0</v>
      </c>
      <c r="M23" s="22">
        <f t="shared" si="0"/>
        <v>0</v>
      </c>
      <c r="N23" s="39">
        <f t="shared" si="0"/>
        <v>0</v>
      </c>
      <c r="O23" s="40">
        <f t="shared" si="0"/>
        <v>0</v>
      </c>
      <c r="P23" s="21">
        <f t="shared" si="0"/>
        <v>0</v>
      </c>
      <c r="Q23" s="22">
        <f t="shared" si="0"/>
        <v>0</v>
      </c>
      <c r="R23" s="48">
        <f t="shared" si="0"/>
        <v>0</v>
      </c>
    </row>
    <row r="24" spans="1:18" ht="22.5" customHeight="1">
      <c r="A24" s="219"/>
      <c r="B24" s="24" t="s">
        <v>13</v>
      </c>
      <c r="C24" s="24" t="s">
        <v>14</v>
      </c>
      <c r="D24" s="29">
        <f t="shared" ref="D24:R24" si="1">SUM(D6)</f>
        <v>0</v>
      </c>
      <c r="E24" s="30">
        <f t="shared" si="1"/>
        <v>0</v>
      </c>
      <c r="F24" s="41">
        <f t="shared" si="1"/>
        <v>0</v>
      </c>
      <c r="G24" s="42">
        <f t="shared" si="1"/>
        <v>0</v>
      </c>
      <c r="H24" s="29">
        <f t="shared" si="1"/>
        <v>0</v>
      </c>
      <c r="I24" s="30">
        <f t="shared" si="1"/>
        <v>0</v>
      </c>
      <c r="J24" s="41">
        <f t="shared" si="1"/>
        <v>0</v>
      </c>
      <c r="K24" s="42">
        <f t="shared" si="1"/>
        <v>0</v>
      </c>
      <c r="L24" s="29">
        <f t="shared" si="1"/>
        <v>0</v>
      </c>
      <c r="M24" s="30">
        <f t="shared" si="1"/>
        <v>0</v>
      </c>
      <c r="N24" s="41">
        <f t="shared" si="1"/>
        <v>0</v>
      </c>
      <c r="O24" s="42">
        <f t="shared" si="1"/>
        <v>0</v>
      </c>
      <c r="P24" s="29">
        <f t="shared" si="1"/>
        <v>1</v>
      </c>
      <c r="Q24" s="30">
        <f t="shared" si="1"/>
        <v>1</v>
      </c>
      <c r="R24" s="48">
        <f t="shared" si="1"/>
        <v>0</v>
      </c>
    </row>
    <row r="25" spans="1:18" ht="25.5" customHeight="1">
      <c r="A25" s="219"/>
      <c r="B25" s="38" t="s">
        <v>28</v>
      </c>
      <c r="C25" s="38" t="s">
        <v>29</v>
      </c>
      <c r="D25" s="17">
        <f t="shared" ref="D25:R25" si="2">SUM(D15)</f>
        <v>0</v>
      </c>
      <c r="E25" s="22">
        <f t="shared" si="2"/>
        <v>0</v>
      </c>
      <c r="F25" s="39">
        <f t="shared" si="2"/>
        <v>58</v>
      </c>
      <c r="G25" s="40">
        <f t="shared" si="2"/>
        <v>5</v>
      </c>
      <c r="H25" s="39">
        <f t="shared" si="2"/>
        <v>7</v>
      </c>
      <c r="I25" s="40">
        <f t="shared" si="2"/>
        <v>10</v>
      </c>
      <c r="J25" s="39">
        <f t="shared" si="2"/>
        <v>101</v>
      </c>
      <c r="K25" s="40">
        <f t="shared" si="2"/>
        <v>104</v>
      </c>
      <c r="L25" s="39">
        <f t="shared" si="2"/>
        <v>0</v>
      </c>
      <c r="M25" s="40">
        <f t="shared" si="2"/>
        <v>68</v>
      </c>
      <c r="N25" s="39">
        <f t="shared" si="2"/>
        <v>90</v>
      </c>
      <c r="O25" s="40">
        <f t="shared" si="2"/>
        <v>6</v>
      </c>
      <c r="P25" s="39">
        <f t="shared" si="2"/>
        <v>53</v>
      </c>
      <c r="Q25" s="40">
        <f t="shared" si="2"/>
        <v>153</v>
      </c>
      <c r="R25" s="48">
        <f t="shared" si="2"/>
        <v>14</v>
      </c>
    </row>
    <row r="26" spans="1:18" ht="24.75" customHeight="1">
      <c r="A26" s="219"/>
      <c r="B26" s="24" t="s">
        <v>15</v>
      </c>
      <c r="C26" s="24" t="s">
        <v>16</v>
      </c>
      <c r="D26" s="29">
        <f t="shared" ref="D26:R26" si="3">SUM(D7+D16)</f>
        <v>0</v>
      </c>
      <c r="E26" s="30">
        <f t="shared" si="3"/>
        <v>0</v>
      </c>
      <c r="F26" s="41">
        <f t="shared" si="3"/>
        <v>7</v>
      </c>
      <c r="G26" s="42">
        <f t="shared" si="3"/>
        <v>8</v>
      </c>
      <c r="H26" s="29">
        <f t="shared" si="3"/>
        <v>8</v>
      </c>
      <c r="I26" s="30">
        <f t="shared" si="3"/>
        <v>18</v>
      </c>
      <c r="J26" s="41">
        <f t="shared" si="3"/>
        <v>0</v>
      </c>
      <c r="K26" s="42">
        <f t="shared" si="3"/>
        <v>0</v>
      </c>
      <c r="L26" s="29">
        <f t="shared" si="3"/>
        <v>0</v>
      </c>
      <c r="M26" s="30">
        <f t="shared" si="3"/>
        <v>10</v>
      </c>
      <c r="N26" s="41">
        <f t="shared" si="3"/>
        <v>5</v>
      </c>
      <c r="O26" s="42">
        <f t="shared" si="3"/>
        <v>1</v>
      </c>
      <c r="P26" s="29">
        <f t="shared" si="3"/>
        <v>0</v>
      </c>
      <c r="Q26" s="30">
        <f t="shared" si="3"/>
        <v>81</v>
      </c>
      <c r="R26" s="48">
        <f t="shared" si="3"/>
        <v>1</v>
      </c>
    </row>
    <row r="27" spans="1:18" ht="23.25" customHeight="1">
      <c r="A27" s="219"/>
      <c r="B27" s="38" t="s">
        <v>17</v>
      </c>
      <c r="C27" s="38" t="s">
        <v>18</v>
      </c>
      <c r="D27" s="21">
        <f t="shared" ref="D27:R27" si="4">SUM(D8+D17)</f>
        <v>0</v>
      </c>
      <c r="E27" s="22">
        <f t="shared" si="4"/>
        <v>0</v>
      </c>
      <c r="F27" s="39">
        <f t="shared" si="4"/>
        <v>10</v>
      </c>
      <c r="G27" s="40">
        <f t="shared" si="4"/>
        <v>0</v>
      </c>
      <c r="H27" s="21">
        <f t="shared" si="4"/>
        <v>6</v>
      </c>
      <c r="I27" s="22">
        <f t="shared" si="4"/>
        <v>9</v>
      </c>
      <c r="J27" s="39">
        <f t="shared" si="4"/>
        <v>2</v>
      </c>
      <c r="K27" s="40">
        <f t="shared" si="4"/>
        <v>0</v>
      </c>
      <c r="L27" s="21">
        <f t="shared" si="4"/>
        <v>0</v>
      </c>
      <c r="M27" s="22">
        <f t="shared" si="4"/>
        <v>2</v>
      </c>
      <c r="N27" s="39">
        <f t="shared" si="4"/>
        <v>1</v>
      </c>
      <c r="O27" s="40">
        <f t="shared" si="4"/>
        <v>1</v>
      </c>
      <c r="P27" s="21">
        <f t="shared" si="4"/>
        <v>1</v>
      </c>
      <c r="Q27" s="22">
        <f t="shared" si="4"/>
        <v>39</v>
      </c>
      <c r="R27" s="48">
        <f t="shared" si="4"/>
        <v>4</v>
      </c>
    </row>
    <row r="28" spans="1:18" ht="22.5" customHeight="1">
      <c r="A28" s="219"/>
      <c r="B28" s="24" t="s">
        <v>19</v>
      </c>
      <c r="C28" s="24" t="s">
        <v>20</v>
      </c>
      <c r="D28" s="29">
        <f t="shared" ref="D28:R28" si="5">SUM(D9+D18)</f>
        <v>0</v>
      </c>
      <c r="E28" s="30">
        <f t="shared" si="5"/>
        <v>0</v>
      </c>
      <c r="F28" s="41">
        <f t="shared" si="5"/>
        <v>14</v>
      </c>
      <c r="G28" s="42">
        <f t="shared" si="5"/>
        <v>9</v>
      </c>
      <c r="H28" s="29">
        <f t="shared" si="5"/>
        <v>13</v>
      </c>
      <c r="I28" s="30">
        <f t="shared" si="5"/>
        <v>11</v>
      </c>
      <c r="J28" s="41">
        <f t="shared" si="5"/>
        <v>8</v>
      </c>
      <c r="K28" s="42">
        <f t="shared" si="5"/>
        <v>69</v>
      </c>
      <c r="L28" s="29">
        <f t="shared" si="5"/>
        <v>0</v>
      </c>
      <c r="M28" s="30">
        <f t="shared" si="5"/>
        <v>21</v>
      </c>
      <c r="N28" s="41">
        <f t="shared" si="5"/>
        <v>15</v>
      </c>
      <c r="O28" s="42">
        <f t="shared" si="5"/>
        <v>8</v>
      </c>
      <c r="P28" s="29">
        <f t="shared" si="5"/>
        <v>20</v>
      </c>
      <c r="Q28" s="30">
        <f t="shared" si="5"/>
        <v>393</v>
      </c>
      <c r="R28" s="48">
        <f t="shared" si="5"/>
        <v>34</v>
      </c>
    </row>
    <row r="29" spans="1:18" ht="24.75" customHeight="1">
      <c r="A29" s="219"/>
      <c r="B29" s="38" t="s">
        <v>21</v>
      </c>
      <c r="C29" s="38" t="s">
        <v>22</v>
      </c>
      <c r="D29" s="21">
        <f t="shared" ref="D29:R29" si="6">SUM(D10+D19)</f>
        <v>0</v>
      </c>
      <c r="E29" s="22">
        <f t="shared" si="6"/>
        <v>0</v>
      </c>
      <c r="F29" s="39">
        <f t="shared" si="6"/>
        <v>310</v>
      </c>
      <c r="G29" s="40">
        <f t="shared" si="6"/>
        <v>42</v>
      </c>
      <c r="H29" s="21">
        <f t="shared" si="6"/>
        <v>19</v>
      </c>
      <c r="I29" s="22">
        <f t="shared" si="6"/>
        <v>85</v>
      </c>
      <c r="J29" s="39">
        <f t="shared" si="6"/>
        <v>54</v>
      </c>
      <c r="K29" s="40">
        <f t="shared" si="6"/>
        <v>191</v>
      </c>
      <c r="L29" s="21">
        <f t="shared" si="6"/>
        <v>0</v>
      </c>
      <c r="M29" s="22">
        <f t="shared" si="6"/>
        <v>414</v>
      </c>
      <c r="N29" s="39">
        <f t="shared" si="6"/>
        <v>271</v>
      </c>
      <c r="O29" s="40">
        <f t="shared" si="6"/>
        <v>38</v>
      </c>
      <c r="P29" s="21">
        <f t="shared" si="6"/>
        <v>140</v>
      </c>
      <c r="Q29" s="22">
        <f t="shared" si="6"/>
        <v>68</v>
      </c>
      <c r="R29" s="48">
        <f t="shared" si="6"/>
        <v>60</v>
      </c>
    </row>
    <row r="30" spans="1:18" ht="24.75" customHeight="1">
      <c r="A30" s="219"/>
      <c r="B30" s="24" t="s">
        <v>23</v>
      </c>
      <c r="C30" s="24" t="s">
        <v>24</v>
      </c>
      <c r="D30" s="29">
        <f t="shared" ref="D30:R30" si="7">SUM(D11+D20)</f>
        <v>0</v>
      </c>
      <c r="E30" s="30">
        <f t="shared" si="7"/>
        <v>0</v>
      </c>
      <c r="F30" s="41">
        <f t="shared" si="7"/>
        <v>0</v>
      </c>
      <c r="G30" s="42">
        <f t="shared" si="7"/>
        <v>0</v>
      </c>
      <c r="H30" s="29">
        <f t="shared" si="7"/>
        <v>0</v>
      </c>
      <c r="I30" s="30">
        <f t="shared" si="7"/>
        <v>29</v>
      </c>
      <c r="J30" s="41">
        <f t="shared" si="7"/>
        <v>3</v>
      </c>
      <c r="K30" s="42">
        <f t="shared" si="7"/>
        <v>0</v>
      </c>
      <c r="L30" s="29">
        <f t="shared" si="7"/>
        <v>0</v>
      </c>
      <c r="M30" s="30">
        <f t="shared" si="7"/>
        <v>3</v>
      </c>
      <c r="N30" s="41">
        <f t="shared" si="7"/>
        <v>0</v>
      </c>
      <c r="O30" s="42">
        <f t="shared" si="7"/>
        <v>0</v>
      </c>
      <c r="P30" s="29">
        <f t="shared" si="7"/>
        <v>1</v>
      </c>
      <c r="Q30" s="30">
        <f t="shared" si="7"/>
        <v>8</v>
      </c>
      <c r="R30" s="48">
        <f t="shared" si="7"/>
        <v>1</v>
      </c>
    </row>
    <row r="31" spans="1:18" ht="25.5" customHeight="1">
      <c r="A31" s="220"/>
      <c r="B31" s="43" t="s">
        <v>25</v>
      </c>
      <c r="C31" s="43" t="s">
        <v>26</v>
      </c>
      <c r="D31" s="21">
        <f t="shared" ref="D31:R31" si="8">SUM(D12+D21)</f>
        <v>0</v>
      </c>
      <c r="E31" s="22">
        <f t="shared" si="8"/>
        <v>0</v>
      </c>
      <c r="F31" s="39">
        <f t="shared" si="8"/>
        <v>6</v>
      </c>
      <c r="G31" s="40">
        <f t="shared" si="8"/>
        <v>1</v>
      </c>
      <c r="H31" s="21">
        <f t="shared" si="8"/>
        <v>0</v>
      </c>
      <c r="I31" s="22">
        <f t="shared" si="8"/>
        <v>9</v>
      </c>
      <c r="J31" s="39">
        <f t="shared" si="8"/>
        <v>7</v>
      </c>
      <c r="K31" s="40">
        <f t="shared" si="8"/>
        <v>0</v>
      </c>
      <c r="L31" s="21">
        <f t="shared" si="8"/>
        <v>0</v>
      </c>
      <c r="M31" s="22">
        <f t="shared" si="8"/>
        <v>10</v>
      </c>
      <c r="N31" s="39">
        <f t="shared" si="8"/>
        <v>11</v>
      </c>
      <c r="O31" s="40">
        <f t="shared" si="8"/>
        <v>2</v>
      </c>
      <c r="P31" s="21">
        <f t="shared" si="8"/>
        <v>32</v>
      </c>
      <c r="Q31" s="22">
        <f t="shared" si="8"/>
        <v>22</v>
      </c>
      <c r="R31" s="48">
        <f t="shared" si="8"/>
        <v>2</v>
      </c>
    </row>
    <row r="32" spans="1:18" ht="21.75" customHeight="1">
      <c r="A32" s="129"/>
      <c r="B32" s="129"/>
      <c r="C32" s="45" t="s">
        <v>30</v>
      </c>
      <c r="D32" s="46">
        <f t="shared" ref="D32:R32" si="9">SUM(D23:D31)</f>
        <v>0</v>
      </c>
      <c r="E32" s="47">
        <f t="shared" si="9"/>
        <v>0</v>
      </c>
      <c r="F32" s="48">
        <f t="shared" si="9"/>
        <v>405</v>
      </c>
      <c r="G32" s="49">
        <f t="shared" si="9"/>
        <v>65</v>
      </c>
      <c r="H32" s="46">
        <f t="shared" si="9"/>
        <v>53</v>
      </c>
      <c r="I32" s="47">
        <f t="shared" si="9"/>
        <v>171</v>
      </c>
      <c r="J32" s="48">
        <f t="shared" si="9"/>
        <v>175</v>
      </c>
      <c r="K32" s="49">
        <f t="shared" si="9"/>
        <v>364</v>
      </c>
      <c r="L32" s="46">
        <f t="shared" si="9"/>
        <v>0</v>
      </c>
      <c r="M32" s="47">
        <f t="shared" si="9"/>
        <v>528</v>
      </c>
      <c r="N32" s="48">
        <f t="shared" si="9"/>
        <v>393</v>
      </c>
      <c r="O32" s="49">
        <f t="shared" si="9"/>
        <v>56</v>
      </c>
      <c r="P32" s="46">
        <f t="shared" si="9"/>
        <v>248</v>
      </c>
      <c r="Q32" s="47">
        <f t="shared" si="9"/>
        <v>765</v>
      </c>
      <c r="R32" s="48">
        <f t="shared" si="9"/>
        <v>116</v>
      </c>
    </row>
    <row r="33" spans="1:18" ht="24.75" customHeight="1">
      <c r="A33" s="130"/>
      <c r="B33" s="130"/>
      <c r="C33" s="45" t="s">
        <v>31</v>
      </c>
      <c r="D33" s="131" t="s">
        <v>71</v>
      </c>
      <c r="E33" s="132" t="s">
        <v>71</v>
      </c>
      <c r="F33" s="53">
        <f t="shared" ref="F33:R33" si="10">F32*40</f>
        <v>16200</v>
      </c>
      <c r="G33" s="54">
        <f t="shared" si="10"/>
        <v>2600</v>
      </c>
      <c r="H33" s="51">
        <f t="shared" si="10"/>
        <v>2120</v>
      </c>
      <c r="I33" s="52">
        <f t="shared" si="10"/>
        <v>6840</v>
      </c>
      <c r="J33" s="53">
        <f t="shared" si="10"/>
        <v>7000</v>
      </c>
      <c r="K33" s="54">
        <f t="shared" si="10"/>
        <v>14560</v>
      </c>
      <c r="L33" s="51">
        <f t="shared" si="10"/>
        <v>0</v>
      </c>
      <c r="M33" s="52">
        <f t="shared" si="10"/>
        <v>21120</v>
      </c>
      <c r="N33" s="53">
        <f t="shared" si="10"/>
        <v>15720</v>
      </c>
      <c r="O33" s="54">
        <f t="shared" si="10"/>
        <v>2240</v>
      </c>
      <c r="P33" s="46">
        <f t="shared" si="10"/>
        <v>9920</v>
      </c>
      <c r="Q33" s="52">
        <f t="shared" si="10"/>
        <v>30600</v>
      </c>
      <c r="R33" s="48">
        <f t="shared" si="10"/>
        <v>4640</v>
      </c>
    </row>
    <row r="34" spans="1:18" ht="56.25" customHeight="1">
      <c r="A34" s="50"/>
      <c r="C34" s="98" t="s">
        <v>53</v>
      </c>
      <c r="D34" s="99"/>
      <c r="E34" s="99"/>
      <c r="F34" s="133" t="s">
        <v>85</v>
      </c>
      <c r="G34" s="100"/>
      <c r="H34" s="100"/>
      <c r="I34" s="100"/>
      <c r="J34" s="100"/>
      <c r="K34" s="100"/>
      <c r="L34" s="100"/>
      <c r="M34" s="100"/>
      <c r="N34" s="100"/>
      <c r="O34" s="100"/>
      <c r="P34" s="56"/>
      <c r="Q34" s="56"/>
      <c r="R34" s="147"/>
    </row>
    <row r="35" spans="1:18" ht="15" customHeight="1">
      <c r="D35" s="5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147"/>
    </row>
    <row r="36" spans="1:18" ht="15" customHeight="1">
      <c r="B36" s="57" t="s">
        <v>32</v>
      </c>
      <c r="C36" s="58"/>
      <c r="D36" s="55"/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147"/>
    </row>
    <row r="37" spans="1:18" ht="18.75" customHeight="1">
      <c r="B37" s="59" t="s">
        <v>33</v>
      </c>
      <c r="C37" s="135" t="s">
        <v>86</v>
      </c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147"/>
    </row>
    <row r="38" spans="1:18" ht="17.25" customHeight="1">
      <c r="B38" s="59" t="s">
        <v>34</v>
      </c>
      <c r="C38" s="135" t="s">
        <v>87</v>
      </c>
      <c r="D38" s="55"/>
      <c r="E38" s="55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147"/>
    </row>
    <row r="39" spans="1:18" ht="15" customHeight="1">
      <c r="A39" s="50"/>
      <c r="B39" s="59" t="s">
        <v>35</v>
      </c>
      <c r="C39" s="135" t="s">
        <v>88</v>
      </c>
      <c r="D39" s="55"/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147"/>
    </row>
    <row r="40" spans="1:18" ht="15" customHeight="1">
      <c r="A40" s="50"/>
      <c r="B40" s="59" t="s">
        <v>36</v>
      </c>
      <c r="C40" s="135" t="s">
        <v>89</v>
      </c>
      <c r="D40" s="55"/>
      <c r="E40" s="55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147"/>
    </row>
    <row r="41" spans="1:18" ht="15" customHeight="1">
      <c r="A41" s="50"/>
      <c r="B41" s="50"/>
      <c r="C41" s="50"/>
      <c r="D41" s="55"/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147"/>
    </row>
    <row r="42" spans="1:18" ht="15" customHeight="1">
      <c r="A42" s="50"/>
      <c r="B42" s="50"/>
      <c r="C42" s="50"/>
      <c r="D42" s="237">
        <v>2022</v>
      </c>
      <c r="E42" s="222"/>
      <c r="F42" s="222"/>
      <c r="G42" s="223"/>
      <c r="H42" s="234">
        <v>2023</v>
      </c>
      <c r="I42" s="222"/>
      <c r="J42" s="222"/>
      <c r="K42" s="223"/>
      <c r="L42" s="234">
        <v>2024</v>
      </c>
      <c r="M42" s="222"/>
      <c r="N42" s="222"/>
      <c r="O42" s="223"/>
      <c r="P42" s="102"/>
      <c r="Q42" s="102"/>
      <c r="R42" s="102"/>
    </row>
    <row r="43" spans="1:18" ht="23.25" customHeight="1">
      <c r="C43" s="50"/>
      <c r="D43" s="103" t="s">
        <v>58</v>
      </c>
      <c r="E43" s="104" t="s">
        <v>59</v>
      </c>
      <c r="F43" s="105" t="s">
        <v>60</v>
      </c>
      <c r="G43" s="106" t="s">
        <v>61</v>
      </c>
      <c r="H43" s="107" t="s">
        <v>62</v>
      </c>
      <c r="I43" s="104" t="s">
        <v>63</v>
      </c>
      <c r="J43" s="105" t="s">
        <v>64</v>
      </c>
      <c r="K43" s="106" t="s">
        <v>65</v>
      </c>
      <c r="L43" s="107" t="s">
        <v>66</v>
      </c>
      <c r="M43" s="104" t="s">
        <v>67</v>
      </c>
      <c r="N43" s="105" t="s">
        <v>68</v>
      </c>
      <c r="O43" s="106" t="s">
        <v>69</v>
      </c>
      <c r="P43" s="108"/>
      <c r="Q43" s="108"/>
      <c r="R43" s="108"/>
    </row>
    <row r="44" spans="1:18" ht="14.25" customHeight="1">
      <c r="C44" s="38" t="s">
        <v>11</v>
      </c>
      <c r="D44" s="109">
        <f t="shared" ref="D44:O44" si="11">D23*40</f>
        <v>0</v>
      </c>
      <c r="E44" s="109">
        <f t="shared" si="11"/>
        <v>0</v>
      </c>
      <c r="F44" s="109">
        <f t="shared" si="11"/>
        <v>0</v>
      </c>
      <c r="G44" s="109">
        <f t="shared" si="11"/>
        <v>0</v>
      </c>
      <c r="H44" s="109">
        <f t="shared" si="11"/>
        <v>0</v>
      </c>
      <c r="I44" s="109">
        <f t="shared" si="11"/>
        <v>0</v>
      </c>
      <c r="J44" s="109">
        <f t="shared" si="11"/>
        <v>0</v>
      </c>
      <c r="K44" s="109">
        <f t="shared" si="11"/>
        <v>0</v>
      </c>
      <c r="L44" s="109">
        <f t="shared" si="11"/>
        <v>0</v>
      </c>
      <c r="M44" s="109">
        <f t="shared" si="11"/>
        <v>0</v>
      </c>
      <c r="N44" s="109">
        <f t="shared" si="11"/>
        <v>0</v>
      </c>
      <c r="O44" s="109">
        <f t="shared" si="11"/>
        <v>0</v>
      </c>
      <c r="P44" s="56"/>
      <c r="Q44" s="56"/>
      <c r="R44" s="147"/>
    </row>
    <row r="45" spans="1:18" ht="14.25" customHeight="1">
      <c r="C45" s="24" t="s">
        <v>13</v>
      </c>
      <c r="D45" s="136">
        <f t="shared" ref="D45:O45" si="12">D24*40</f>
        <v>0</v>
      </c>
      <c r="E45" s="136">
        <f t="shared" si="12"/>
        <v>0</v>
      </c>
      <c r="F45" s="136">
        <f t="shared" si="12"/>
        <v>0</v>
      </c>
      <c r="G45" s="136">
        <f t="shared" si="12"/>
        <v>0</v>
      </c>
      <c r="H45" s="136">
        <f t="shared" si="12"/>
        <v>0</v>
      </c>
      <c r="I45" s="136">
        <f t="shared" si="12"/>
        <v>0</v>
      </c>
      <c r="J45" s="136">
        <f t="shared" si="12"/>
        <v>0</v>
      </c>
      <c r="K45" s="136">
        <f t="shared" si="12"/>
        <v>0</v>
      </c>
      <c r="L45" s="136">
        <f t="shared" si="12"/>
        <v>0</v>
      </c>
      <c r="M45" s="136">
        <f t="shared" si="12"/>
        <v>0</v>
      </c>
      <c r="N45" s="136">
        <f t="shared" si="12"/>
        <v>0</v>
      </c>
      <c r="O45" s="136">
        <f t="shared" si="12"/>
        <v>0</v>
      </c>
      <c r="P45" s="56"/>
      <c r="Q45" s="56"/>
      <c r="R45" s="147"/>
    </row>
    <row r="46" spans="1:18" ht="14.25" customHeight="1">
      <c r="C46" s="38" t="s">
        <v>28</v>
      </c>
      <c r="D46" s="109">
        <f t="shared" ref="D46:O46" si="13">D25*40</f>
        <v>0</v>
      </c>
      <c r="E46" s="109">
        <f t="shared" si="13"/>
        <v>0</v>
      </c>
      <c r="F46" s="109">
        <f t="shared" si="13"/>
        <v>2320</v>
      </c>
      <c r="G46" s="109">
        <f t="shared" si="13"/>
        <v>200</v>
      </c>
      <c r="H46" s="109">
        <f t="shared" si="13"/>
        <v>280</v>
      </c>
      <c r="I46" s="109">
        <f t="shared" si="13"/>
        <v>400</v>
      </c>
      <c r="J46" s="109">
        <f t="shared" si="13"/>
        <v>4040</v>
      </c>
      <c r="K46" s="109">
        <f t="shared" si="13"/>
        <v>4160</v>
      </c>
      <c r="L46" s="109">
        <f t="shared" si="13"/>
        <v>0</v>
      </c>
      <c r="M46" s="109">
        <f t="shared" si="13"/>
        <v>2720</v>
      </c>
      <c r="N46" s="109">
        <f t="shared" si="13"/>
        <v>3600</v>
      </c>
      <c r="O46" s="109">
        <f t="shared" si="13"/>
        <v>240</v>
      </c>
      <c r="P46" s="56"/>
      <c r="Q46" s="56"/>
      <c r="R46" s="147"/>
    </row>
    <row r="47" spans="1:18" ht="14.25" customHeight="1">
      <c r="C47" s="24" t="s">
        <v>15</v>
      </c>
      <c r="D47" s="136">
        <f t="shared" ref="D47:O47" si="14">D26*40</f>
        <v>0</v>
      </c>
      <c r="E47" s="136">
        <f t="shared" si="14"/>
        <v>0</v>
      </c>
      <c r="F47" s="136">
        <f t="shared" si="14"/>
        <v>280</v>
      </c>
      <c r="G47" s="136">
        <f t="shared" si="14"/>
        <v>320</v>
      </c>
      <c r="H47" s="136">
        <f t="shared" si="14"/>
        <v>320</v>
      </c>
      <c r="I47" s="136">
        <f t="shared" si="14"/>
        <v>720</v>
      </c>
      <c r="J47" s="136">
        <f t="shared" si="14"/>
        <v>0</v>
      </c>
      <c r="K47" s="136">
        <f t="shared" si="14"/>
        <v>0</v>
      </c>
      <c r="L47" s="136">
        <f t="shared" si="14"/>
        <v>0</v>
      </c>
      <c r="M47" s="136">
        <f t="shared" si="14"/>
        <v>400</v>
      </c>
      <c r="N47" s="136">
        <f t="shared" si="14"/>
        <v>200</v>
      </c>
      <c r="O47" s="136">
        <f t="shared" si="14"/>
        <v>40</v>
      </c>
      <c r="P47" s="56"/>
      <c r="Q47" s="56"/>
      <c r="R47" s="147"/>
    </row>
    <row r="48" spans="1:18" ht="14.25" customHeight="1">
      <c r="C48" s="38" t="s">
        <v>17</v>
      </c>
      <c r="D48" s="109">
        <f t="shared" ref="D48:O48" si="15">D27*40</f>
        <v>0</v>
      </c>
      <c r="E48" s="109">
        <f t="shared" si="15"/>
        <v>0</v>
      </c>
      <c r="F48" s="109">
        <f t="shared" si="15"/>
        <v>400</v>
      </c>
      <c r="G48" s="109">
        <f t="shared" si="15"/>
        <v>0</v>
      </c>
      <c r="H48" s="109">
        <f t="shared" si="15"/>
        <v>240</v>
      </c>
      <c r="I48" s="109">
        <f t="shared" si="15"/>
        <v>360</v>
      </c>
      <c r="J48" s="109">
        <f t="shared" si="15"/>
        <v>80</v>
      </c>
      <c r="K48" s="109">
        <f t="shared" si="15"/>
        <v>0</v>
      </c>
      <c r="L48" s="109">
        <f t="shared" si="15"/>
        <v>0</v>
      </c>
      <c r="M48" s="109">
        <f t="shared" si="15"/>
        <v>80</v>
      </c>
      <c r="N48" s="109">
        <f t="shared" si="15"/>
        <v>40</v>
      </c>
      <c r="O48" s="109">
        <f t="shared" si="15"/>
        <v>40</v>
      </c>
      <c r="P48" s="56"/>
      <c r="Q48" s="56"/>
      <c r="R48" s="147"/>
    </row>
    <row r="49" spans="3:18" ht="14.25" customHeight="1">
      <c r="C49" s="24" t="s">
        <v>19</v>
      </c>
      <c r="D49" s="136">
        <f t="shared" ref="D49:O49" si="16">D28*40</f>
        <v>0</v>
      </c>
      <c r="E49" s="136">
        <f t="shared" si="16"/>
        <v>0</v>
      </c>
      <c r="F49" s="136">
        <f t="shared" si="16"/>
        <v>560</v>
      </c>
      <c r="G49" s="136">
        <f t="shared" si="16"/>
        <v>360</v>
      </c>
      <c r="H49" s="136">
        <f t="shared" si="16"/>
        <v>520</v>
      </c>
      <c r="I49" s="136">
        <f t="shared" si="16"/>
        <v>440</v>
      </c>
      <c r="J49" s="136">
        <f t="shared" si="16"/>
        <v>320</v>
      </c>
      <c r="K49" s="136">
        <f t="shared" si="16"/>
        <v>2760</v>
      </c>
      <c r="L49" s="136">
        <f t="shared" si="16"/>
        <v>0</v>
      </c>
      <c r="M49" s="136">
        <f t="shared" si="16"/>
        <v>840</v>
      </c>
      <c r="N49" s="136">
        <f t="shared" si="16"/>
        <v>600</v>
      </c>
      <c r="O49" s="136">
        <f t="shared" si="16"/>
        <v>320</v>
      </c>
      <c r="P49" s="56"/>
      <c r="Q49" s="56"/>
      <c r="R49" s="147"/>
    </row>
    <row r="50" spans="3:18" ht="14.25" customHeight="1">
      <c r="C50" s="38" t="s">
        <v>21</v>
      </c>
      <c r="D50" s="109">
        <f t="shared" ref="D50:O50" si="17">D29*40</f>
        <v>0</v>
      </c>
      <c r="E50" s="109">
        <f t="shared" si="17"/>
        <v>0</v>
      </c>
      <c r="F50" s="109">
        <f t="shared" si="17"/>
        <v>12400</v>
      </c>
      <c r="G50" s="109">
        <f t="shared" si="17"/>
        <v>1680</v>
      </c>
      <c r="H50" s="109">
        <f t="shared" si="17"/>
        <v>760</v>
      </c>
      <c r="I50" s="109">
        <f t="shared" si="17"/>
        <v>3400</v>
      </c>
      <c r="J50" s="109">
        <f t="shared" si="17"/>
        <v>2160</v>
      </c>
      <c r="K50" s="109">
        <f t="shared" si="17"/>
        <v>7640</v>
      </c>
      <c r="L50" s="109">
        <f t="shared" si="17"/>
        <v>0</v>
      </c>
      <c r="M50" s="109">
        <f t="shared" si="17"/>
        <v>16560</v>
      </c>
      <c r="N50" s="109">
        <f t="shared" si="17"/>
        <v>10840</v>
      </c>
      <c r="O50" s="109">
        <f t="shared" si="17"/>
        <v>1520</v>
      </c>
      <c r="P50" s="56"/>
      <c r="Q50" s="56"/>
      <c r="R50" s="147"/>
    </row>
    <row r="51" spans="3:18" ht="14.25" customHeight="1">
      <c r="C51" s="24" t="s">
        <v>23</v>
      </c>
      <c r="D51" s="136">
        <f t="shared" ref="D51:O51" si="18">D30*40</f>
        <v>0</v>
      </c>
      <c r="E51" s="136">
        <f t="shared" si="18"/>
        <v>0</v>
      </c>
      <c r="F51" s="136">
        <f t="shared" si="18"/>
        <v>0</v>
      </c>
      <c r="G51" s="136">
        <f t="shared" si="18"/>
        <v>0</v>
      </c>
      <c r="H51" s="136">
        <f t="shared" si="18"/>
        <v>0</v>
      </c>
      <c r="I51" s="136">
        <f t="shared" si="18"/>
        <v>1160</v>
      </c>
      <c r="J51" s="136">
        <f t="shared" si="18"/>
        <v>120</v>
      </c>
      <c r="K51" s="136">
        <f t="shared" si="18"/>
        <v>0</v>
      </c>
      <c r="L51" s="136">
        <f t="shared" si="18"/>
        <v>0</v>
      </c>
      <c r="M51" s="136">
        <f t="shared" si="18"/>
        <v>120</v>
      </c>
      <c r="N51" s="136">
        <f t="shared" si="18"/>
        <v>0</v>
      </c>
      <c r="O51" s="136">
        <f t="shared" si="18"/>
        <v>0</v>
      </c>
      <c r="P51" s="56"/>
      <c r="Q51" s="56"/>
      <c r="R51" s="147"/>
    </row>
    <row r="52" spans="3:18" ht="14.25" customHeight="1">
      <c r="C52" s="43" t="s">
        <v>25</v>
      </c>
      <c r="D52" s="109">
        <f t="shared" ref="D52:O52" si="19">D31*40</f>
        <v>0</v>
      </c>
      <c r="E52" s="109">
        <f t="shared" si="19"/>
        <v>0</v>
      </c>
      <c r="F52" s="109">
        <f t="shared" si="19"/>
        <v>240</v>
      </c>
      <c r="G52" s="109">
        <f t="shared" si="19"/>
        <v>40</v>
      </c>
      <c r="H52" s="109">
        <f t="shared" si="19"/>
        <v>0</v>
      </c>
      <c r="I52" s="109">
        <f t="shared" si="19"/>
        <v>360</v>
      </c>
      <c r="J52" s="109">
        <f t="shared" si="19"/>
        <v>280</v>
      </c>
      <c r="K52" s="109">
        <f t="shared" si="19"/>
        <v>0</v>
      </c>
      <c r="L52" s="109">
        <f t="shared" si="19"/>
        <v>0</v>
      </c>
      <c r="M52" s="109">
        <f t="shared" si="19"/>
        <v>400</v>
      </c>
      <c r="N52" s="109">
        <f t="shared" si="19"/>
        <v>440</v>
      </c>
      <c r="O52" s="109">
        <f t="shared" si="19"/>
        <v>80</v>
      </c>
      <c r="P52" s="56"/>
      <c r="Q52" s="56"/>
      <c r="R52" s="147"/>
    </row>
    <row r="53" spans="3:18" ht="14.25" customHeight="1">
      <c r="P53" s="56"/>
      <c r="Q53" s="56"/>
      <c r="R53" s="147"/>
    </row>
    <row r="54" spans="3:18" ht="14.25" customHeight="1">
      <c r="C54" s="67" t="s">
        <v>90</v>
      </c>
      <c r="D54" s="56"/>
      <c r="E54" s="56"/>
      <c r="F54" s="56"/>
      <c r="G54" s="56"/>
      <c r="H54" s="56"/>
      <c r="I54" s="56"/>
      <c r="J54" s="56"/>
      <c r="K54" s="56">
        <f>SUM(K46:N46)</f>
        <v>10480</v>
      </c>
      <c r="L54" s="56"/>
      <c r="M54" s="56"/>
      <c r="N54" s="56"/>
      <c r="O54" s="56"/>
      <c r="P54" s="56"/>
      <c r="Q54" s="56"/>
      <c r="R54" s="147"/>
    </row>
    <row r="55" spans="3:18" ht="14.25" customHeight="1"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147"/>
    </row>
    <row r="56" spans="3:18" ht="14.25" customHeight="1"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147"/>
    </row>
    <row r="57" spans="3:18" ht="14.25" customHeight="1"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147"/>
    </row>
    <row r="58" spans="3:18" ht="14.25" customHeight="1"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147"/>
    </row>
    <row r="59" spans="3:18" ht="14.25" customHeight="1"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147"/>
    </row>
    <row r="60" spans="3:18" ht="14.25" customHeight="1"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147"/>
    </row>
    <row r="61" spans="3:18" ht="14.25" customHeight="1"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147"/>
    </row>
    <row r="62" spans="3:18" ht="14.25" customHeight="1"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147"/>
    </row>
    <row r="63" spans="3:18" ht="14.25" customHeight="1"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147"/>
    </row>
    <row r="64" spans="3:18" ht="14.25" customHeight="1"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147"/>
    </row>
    <row r="65" spans="4:18" ht="14.25" customHeight="1"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147"/>
    </row>
    <row r="66" spans="4:18" ht="14.25" customHeight="1"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147"/>
    </row>
    <row r="67" spans="4:18" ht="14.25" customHeight="1"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147"/>
    </row>
    <row r="68" spans="4:18" ht="14.25" customHeight="1"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147"/>
    </row>
    <row r="69" spans="4:18" ht="14.25" customHeight="1"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147"/>
    </row>
    <row r="70" spans="4:18" ht="14.25" customHeight="1"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147"/>
    </row>
    <row r="71" spans="4:18" ht="14.25" customHeight="1"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147"/>
    </row>
    <row r="72" spans="4:18" ht="14.25" customHeight="1"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147"/>
    </row>
    <row r="73" spans="4:18" ht="14.25" customHeight="1"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147"/>
    </row>
    <row r="74" spans="4:18" ht="14.25" customHeight="1"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147"/>
    </row>
    <row r="75" spans="4:18" ht="14.25" customHeight="1"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147"/>
    </row>
    <row r="76" spans="4:18" ht="14.25" customHeight="1"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147"/>
    </row>
    <row r="77" spans="4:18" ht="14.25" customHeight="1"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147"/>
    </row>
    <row r="78" spans="4:18" ht="14.25" customHeight="1"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147"/>
    </row>
    <row r="79" spans="4:18" ht="14.25" customHeight="1"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147"/>
    </row>
    <row r="80" spans="4:18" ht="14.25" customHeight="1"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147"/>
    </row>
    <row r="81" spans="4:18" ht="14.25" customHeight="1"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147"/>
    </row>
    <row r="82" spans="4:18" ht="14.25" customHeight="1"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147"/>
    </row>
    <row r="83" spans="4:18" ht="14.25" customHeight="1"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147"/>
    </row>
    <row r="84" spans="4:18" ht="14.25" customHeight="1"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147"/>
    </row>
    <row r="85" spans="4:18" ht="14.25" customHeight="1"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147"/>
    </row>
    <row r="86" spans="4:18" ht="14.25" customHeight="1"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147"/>
    </row>
    <row r="87" spans="4:18" ht="14.25" customHeight="1"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147"/>
    </row>
    <row r="88" spans="4:18" ht="14.25" customHeight="1"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147"/>
    </row>
    <row r="89" spans="4:18" ht="14.25" customHeight="1"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147"/>
    </row>
    <row r="90" spans="4:18" ht="14.25" customHeight="1"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147"/>
    </row>
    <row r="91" spans="4:18" ht="14.25" customHeight="1"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147"/>
    </row>
    <row r="92" spans="4:18" ht="14.25" customHeight="1"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147"/>
    </row>
    <row r="93" spans="4:18" ht="14.25" customHeight="1"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147"/>
    </row>
    <row r="94" spans="4:18" ht="14.25" customHeight="1"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147"/>
    </row>
    <row r="95" spans="4:18" ht="14.25" customHeight="1"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147"/>
    </row>
    <row r="96" spans="4:18" ht="14.25" customHeight="1"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147"/>
    </row>
    <row r="97" spans="4:18" ht="14.25" customHeight="1"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147"/>
    </row>
    <row r="98" spans="4:18" ht="14.25" customHeight="1"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147"/>
    </row>
    <row r="99" spans="4:18" ht="14.25" customHeight="1"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147"/>
    </row>
    <row r="100" spans="4:18" ht="14.25" customHeight="1"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147"/>
    </row>
    <row r="101" spans="4:18" ht="14.25" customHeight="1"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147"/>
    </row>
    <row r="102" spans="4:18" ht="14.25" customHeight="1"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147"/>
    </row>
    <row r="103" spans="4:18" ht="14.25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147"/>
    </row>
    <row r="104" spans="4:18" ht="14.25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147"/>
    </row>
    <row r="105" spans="4:18" ht="14.25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147"/>
    </row>
    <row r="106" spans="4:18" ht="14.25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147"/>
    </row>
    <row r="107" spans="4:18" ht="14.25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147"/>
    </row>
    <row r="108" spans="4:18" ht="14.25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147"/>
    </row>
    <row r="109" spans="4:18" ht="14.25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147"/>
    </row>
    <row r="110" spans="4:18" ht="14.25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147"/>
    </row>
    <row r="111" spans="4:18" ht="14.25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147"/>
    </row>
    <row r="112" spans="4:18" ht="14.25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147"/>
    </row>
    <row r="113" spans="4:18" ht="14.25" customHeight="1">
      <c r="D113" s="61"/>
      <c r="E113" s="62"/>
      <c r="F113" s="63"/>
      <c r="G113" s="64"/>
      <c r="R113" s="148"/>
    </row>
    <row r="114" spans="4:18" ht="14.25" customHeight="1">
      <c r="D114" s="61"/>
      <c r="E114" s="62"/>
      <c r="F114" s="63"/>
      <c r="G114" s="64"/>
      <c r="R114" s="148"/>
    </row>
    <row r="115" spans="4:18" ht="14.25" customHeight="1">
      <c r="D115" s="61"/>
      <c r="E115" s="62"/>
      <c r="F115" s="63"/>
      <c r="G115" s="64"/>
      <c r="R115" s="148"/>
    </row>
    <row r="116" spans="4:18" ht="14.25" customHeight="1">
      <c r="D116" s="61"/>
      <c r="E116" s="62"/>
      <c r="F116" s="63"/>
      <c r="G116" s="64"/>
      <c r="R116" s="148"/>
    </row>
    <row r="117" spans="4:18" ht="14.25" customHeight="1">
      <c r="D117" s="61"/>
      <c r="E117" s="62"/>
      <c r="F117" s="63"/>
      <c r="G117" s="64"/>
      <c r="R117" s="148"/>
    </row>
    <row r="118" spans="4:18" ht="14.25" customHeight="1">
      <c r="D118" s="61"/>
      <c r="E118" s="62"/>
      <c r="F118" s="63"/>
      <c r="G118" s="64"/>
      <c r="R118" s="148"/>
    </row>
    <row r="119" spans="4:18" ht="14.25" customHeight="1">
      <c r="D119" s="61"/>
      <c r="E119" s="62"/>
      <c r="F119" s="63"/>
      <c r="G119" s="64"/>
      <c r="R119" s="148"/>
    </row>
    <row r="120" spans="4:18" ht="14.25" customHeight="1">
      <c r="D120" s="61"/>
      <c r="E120" s="62"/>
      <c r="F120" s="63"/>
      <c r="G120" s="64"/>
      <c r="R120" s="148"/>
    </row>
    <row r="121" spans="4:18" ht="14.25" customHeight="1">
      <c r="D121" s="61"/>
      <c r="E121" s="62"/>
      <c r="F121" s="63"/>
      <c r="G121" s="64"/>
      <c r="R121" s="148"/>
    </row>
    <row r="122" spans="4:18" ht="14.25" customHeight="1">
      <c r="D122" s="61"/>
      <c r="E122" s="62"/>
      <c r="F122" s="63"/>
      <c r="G122" s="64"/>
      <c r="R122" s="148"/>
    </row>
    <row r="123" spans="4:18" ht="14.25" customHeight="1">
      <c r="D123" s="61"/>
      <c r="E123" s="62"/>
      <c r="F123" s="63"/>
      <c r="G123" s="64"/>
      <c r="R123" s="148"/>
    </row>
    <row r="124" spans="4:18" ht="14.25" customHeight="1">
      <c r="D124" s="61"/>
      <c r="E124" s="62"/>
      <c r="F124" s="63"/>
      <c r="G124" s="64"/>
      <c r="R124" s="148"/>
    </row>
    <row r="125" spans="4:18" ht="14.25" customHeight="1">
      <c r="D125" s="61"/>
      <c r="E125" s="62"/>
      <c r="F125" s="63"/>
      <c r="G125" s="64"/>
      <c r="R125" s="148"/>
    </row>
    <row r="126" spans="4:18" ht="14.25" customHeight="1">
      <c r="D126" s="61"/>
      <c r="E126" s="62"/>
      <c r="F126" s="63"/>
      <c r="G126" s="64"/>
      <c r="R126" s="148"/>
    </row>
    <row r="127" spans="4:18" ht="14.25" customHeight="1">
      <c r="D127" s="61"/>
      <c r="E127" s="62"/>
      <c r="F127" s="63"/>
      <c r="G127" s="64"/>
      <c r="R127" s="148"/>
    </row>
    <row r="128" spans="4:18" ht="14.25" customHeight="1">
      <c r="D128" s="61"/>
      <c r="E128" s="62"/>
      <c r="F128" s="63"/>
      <c r="G128" s="64"/>
      <c r="R128" s="148"/>
    </row>
    <row r="129" spans="4:18" ht="14.25" customHeight="1">
      <c r="D129" s="61"/>
      <c r="E129" s="62"/>
      <c r="F129" s="63"/>
      <c r="G129" s="64"/>
      <c r="R129" s="148"/>
    </row>
    <row r="130" spans="4:18" ht="14.25" customHeight="1">
      <c r="D130" s="61"/>
      <c r="E130" s="62"/>
      <c r="F130" s="63"/>
      <c r="G130" s="64"/>
      <c r="R130" s="148"/>
    </row>
    <row r="131" spans="4:18" ht="14.25" customHeight="1">
      <c r="D131" s="61"/>
      <c r="E131" s="62"/>
      <c r="F131" s="63"/>
      <c r="G131" s="64"/>
      <c r="R131" s="148"/>
    </row>
    <row r="132" spans="4:18" ht="14.25" customHeight="1">
      <c r="D132" s="61"/>
      <c r="E132" s="62"/>
      <c r="F132" s="63"/>
      <c r="G132" s="64"/>
      <c r="R132" s="148"/>
    </row>
    <row r="133" spans="4:18" ht="14.25" customHeight="1">
      <c r="D133" s="61"/>
      <c r="E133" s="62"/>
      <c r="F133" s="63"/>
      <c r="G133" s="64"/>
      <c r="R133" s="148"/>
    </row>
    <row r="134" spans="4:18" ht="14.25" customHeight="1">
      <c r="D134" s="61"/>
      <c r="E134" s="62"/>
      <c r="F134" s="63"/>
      <c r="G134" s="64"/>
      <c r="R134" s="148"/>
    </row>
    <row r="135" spans="4:18" ht="14.25" customHeight="1">
      <c r="D135" s="61"/>
      <c r="E135" s="62"/>
      <c r="F135" s="63"/>
      <c r="G135" s="64"/>
      <c r="R135" s="148"/>
    </row>
    <row r="136" spans="4:18" ht="14.25" customHeight="1">
      <c r="D136" s="61"/>
      <c r="E136" s="62"/>
      <c r="F136" s="63"/>
      <c r="G136" s="64"/>
      <c r="R136" s="148"/>
    </row>
    <row r="137" spans="4:18" ht="14.25" customHeight="1">
      <c r="D137" s="61"/>
      <c r="E137" s="62"/>
      <c r="F137" s="63"/>
      <c r="G137" s="64"/>
      <c r="R137" s="148"/>
    </row>
    <row r="138" spans="4:18" ht="14.25" customHeight="1">
      <c r="D138" s="61"/>
      <c r="E138" s="62"/>
      <c r="F138" s="63"/>
      <c r="G138" s="64"/>
      <c r="R138" s="148"/>
    </row>
    <row r="139" spans="4:18" ht="14.25" customHeight="1">
      <c r="D139" s="61"/>
      <c r="E139" s="62"/>
      <c r="F139" s="63"/>
      <c r="G139" s="64"/>
      <c r="R139" s="148"/>
    </row>
    <row r="140" spans="4:18" ht="14.25" customHeight="1">
      <c r="D140" s="61"/>
      <c r="E140" s="62"/>
      <c r="F140" s="63"/>
      <c r="G140" s="64"/>
      <c r="R140" s="148"/>
    </row>
    <row r="141" spans="4:18" ht="14.25" customHeight="1">
      <c r="D141" s="61"/>
      <c r="E141" s="62"/>
      <c r="F141" s="63"/>
      <c r="G141" s="64"/>
      <c r="R141" s="148"/>
    </row>
    <row r="142" spans="4:18" ht="14.25" customHeight="1">
      <c r="D142" s="61"/>
      <c r="E142" s="62"/>
      <c r="F142" s="63"/>
      <c r="G142" s="64"/>
      <c r="R142" s="148"/>
    </row>
    <row r="143" spans="4:18" ht="14.25" customHeight="1">
      <c r="D143" s="61"/>
      <c r="E143" s="62"/>
      <c r="F143" s="63"/>
      <c r="G143" s="64"/>
      <c r="R143" s="148"/>
    </row>
    <row r="144" spans="4:18" ht="14.25" customHeight="1">
      <c r="D144" s="61"/>
      <c r="E144" s="62"/>
      <c r="F144" s="63"/>
      <c r="G144" s="64"/>
      <c r="R144" s="148"/>
    </row>
    <row r="145" spans="4:18" ht="14.25" customHeight="1">
      <c r="D145" s="61"/>
      <c r="E145" s="62"/>
      <c r="F145" s="63"/>
      <c r="G145" s="64"/>
      <c r="R145" s="148"/>
    </row>
    <row r="146" spans="4:18" ht="14.25" customHeight="1">
      <c r="D146" s="61"/>
      <c r="E146" s="62"/>
      <c r="F146" s="63"/>
      <c r="G146" s="64"/>
      <c r="R146" s="148"/>
    </row>
    <row r="147" spans="4:18" ht="14.25" customHeight="1">
      <c r="D147" s="61"/>
      <c r="E147" s="62"/>
      <c r="F147" s="63"/>
      <c r="G147" s="64"/>
      <c r="R147" s="148"/>
    </row>
    <row r="148" spans="4:18" ht="14.25" customHeight="1">
      <c r="D148" s="61"/>
      <c r="E148" s="62"/>
      <c r="F148" s="63"/>
      <c r="G148" s="64"/>
      <c r="R148" s="148"/>
    </row>
    <row r="149" spans="4:18" ht="14.25" customHeight="1">
      <c r="D149" s="61"/>
      <c r="E149" s="62"/>
      <c r="F149" s="63"/>
      <c r="G149" s="64"/>
      <c r="R149" s="148"/>
    </row>
    <row r="150" spans="4:18" ht="14.25" customHeight="1">
      <c r="D150" s="61"/>
      <c r="E150" s="62"/>
      <c r="F150" s="63"/>
      <c r="G150" s="64"/>
      <c r="R150" s="148"/>
    </row>
    <row r="151" spans="4:18" ht="14.25" customHeight="1">
      <c r="D151" s="61"/>
      <c r="E151" s="62"/>
      <c r="F151" s="63"/>
      <c r="G151" s="64"/>
      <c r="R151" s="148"/>
    </row>
    <row r="152" spans="4:18" ht="14.25" customHeight="1">
      <c r="D152" s="61"/>
      <c r="E152" s="62"/>
      <c r="F152" s="63"/>
      <c r="G152" s="64"/>
      <c r="R152" s="148"/>
    </row>
    <row r="153" spans="4:18" ht="14.25" customHeight="1">
      <c r="D153" s="61"/>
      <c r="E153" s="62"/>
      <c r="F153" s="63"/>
      <c r="G153" s="64"/>
      <c r="R153" s="148"/>
    </row>
    <row r="154" spans="4:18" ht="14.25" customHeight="1">
      <c r="D154" s="61"/>
      <c r="E154" s="62"/>
      <c r="F154" s="63"/>
      <c r="G154" s="64"/>
      <c r="R154" s="148"/>
    </row>
    <row r="155" spans="4:18" ht="14.25" customHeight="1">
      <c r="D155" s="61"/>
      <c r="E155" s="62"/>
      <c r="F155" s="63"/>
      <c r="G155" s="64"/>
      <c r="R155" s="148"/>
    </row>
    <row r="156" spans="4:18" ht="14.25" customHeight="1">
      <c r="D156" s="61"/>
      <c r="E156" s="62"/>
      <c r="F156" s="63"/>
      <c r="G156" s="64"/>
      <c r="R156" s="148"/>
    </row>
    <row r="157" spans="4:18" ht="14.25" customHeight="1">
      <c r="D157" s="61"/>
      <c r="E157" s="62"/>
      <c r="F157" s="63"/>
      <c r="G157" s="64"/>
      <c r="R157" s="148"/>
    </row>
    <row r="158" spans="4:18" ht="14.25" customHeight="1">
      <c r="D158" s="61"/>
      <c r="E158" s="62"/>
      <c r="F158" s="63"/>
      <c r="G158" s="64"/>
      <c r="R158" s="148"/>
    </row>
    <row r="159" spans="4:18" ht="14.25" customHeight="1">
      <c r="D159" s="61"/>
      <c r="E159" s="62"/>
      <c r="F159" s="63"/>
      <c r="G159" s="64"/>
      <c r="R159" s="148"/>
    </row>
    <row r="160" spans="4:18" ht="14.25" customHeight="1">
      <c r="D160" s="61"/>
      <c r="E160" s="62"/>
      <c r="F160" s="63"/>
      <c r="G160" s="64"/>
      <c r="R160" s="148"/>
    </row>
    <row r="161" spans="4:18" ht="14.25" customHeight="1">
      <c r="D161" s="61"/>
      <c r="E161" s="62"/>
      <c r="F161" s="63"/>
      <c r="G161" s="64"/>
      <c r="R161" s="148"/>
    </row>
    <row r="162" spans="4:18" ht="14.25" customHeight="1">
      <c r="D162" s="61"/>
      <c r="E162" s="62"/>
      <c r="F162" s="63"/>
      <c r="G162" s="64"/>
      <c r="R162" s="148"/>
    </row>
    <row r="163" spans="4:18" ht="14.25" customHeight="1">
      <c r="D163" s="61"/>
      <c r="E163" s="62"/>
      <c r="F163" s="63"/>
      <c r="G163" s="64"/>
      <c r="R163" s="148"/>
    </row>
    <row r="164" spans="4:18" ht="14.25" customHeight="1">
      <c r="D164" s="61"/>
      <c r="E164" s="62"/>
      <c r="F164" s="63"/>
      <c r="G164" s="64"/>
      <c r="R164" s="148"/>
    </row>
    <row r="165" spans="4:18" ht="14.25" customHeight="1">
      <c r="D165" s="61"/>
      <c r="E165" s="62"/>
      <c r="F165" s="63"/>
      <c r="G165" s="64"/>
      <c r="R165" s="148"/>
    </row>
    <row r="166" spans="4:18" ht="14.25" customHeight="1">
      <c r="D166" s="61"/>
      <c r="E166" s="62"/>
      <c r="F166" s="63"/>
      <c r="G166" s="64"/>
      <c r="R166" s="148"/>
    </row>
    <row r="167" spans="4:18" ht="14.25" customHeight="1">
      <c r="D167" s="61"/>
      <c r="E167" s="62"/>
      <c r="F167" s="63"/>
      <c r="G167" s="64"/>
      <c r="R167" s="148"/>
    </row>
    <row r="168" spans="4:18" ht="14.25" customHeight="1">
      <c r="D168" s="61"/>
      <c r="E168" s="62"/>
      <c r="F168" s="63"/>
      <c r="G168" s="64"/>
      <c r="R168" s="148"/>
    </row>
    <row r="169" spans="4:18" ht="14.25" customHeight="1">
      <c r="D169" s="61"/>
      <c r="E169" s="62"/>
      <c r="F169" s="63"/>
      <c r="G169" s="64"/>
      <c r="R169" s="148"/>
    </row>
    <row r="170" spans="4:18" ht="14.25" customHeight="1">
      <c r="D170" s="61"/>
      <c r="E170" s="62"/>
      <c r="F170" s="63"/>
      <c r="G170" s="64"/>
      <c r="R170" s="148"/>
    </row>
    <row r="171" spans="4:18" ht="14.25" customHeight="1">
      <c r="D171" s="61"/>
      <c r="E171" s="62"/>
      <c r="F171" s="63"/>
      <c r="G171" s="64"/>
      <c r="R171" s="148"/>
    </row>
    <row r="172" spans="4:18" ht="14.25" customHeight="1">
      <c r="D172" s="61"/>
      <c r="E172" s="62"/>
      <c r="F172" s="63"/>
      <c r="G172" s="64"/>
      <c r="R172" s="148"/>
    </row>
    <row r="173" spans="4:18" ht="14.25" customHeight="1">
      <c r="D173" s="61"/>
      <c r="E173" s="62"/>
      <c r="F173" s="63"/>
      <c r="G173" s="64"/>
      <c r="R173" s="148"/>
    </row>
    <row r="174" spans="4:18" ht="14.25" customHeight="1">
      <c r="D174" s="61"/>
      <c r="E174" s="62"/>
      <c r="F174" s="63"/>
      <c r="G174" s="64"/>
      <c r="R174" s="148"/>
    </row>
    <row r="175" spans="4:18" ht="14.25" customHeight="1">
      <c r="D175" s="61"/>
      <c r="E175" s="62"/>
      <c r="F175" s="63"/>
      <c r="G175" s="64"/>
      <c r="R175" s="148"/>
    </row>
    <row r="176" spans="4:18" ht="14.25" customHeight="1">
      <c r="D176" s="61"/>
      <c r="E176" s="62"/>
      <c r="F176" s="63"/>
      <c r="G176" s="64"/>
      <c r="R176" s="148"/>
    </row>
    <row r="177" spans="4:18" ht="14.25" customHeight="1">
      <c r="D177" s="61"/>
      <c r="E177" s="62"/>
      <c r="F177" s="63"/>
      <c r="G177" s="64"/>
      <c r="R177" s="148"/>
    </row>
    <row r="178" spans="4:18" ht="14.25" customHeight="1">
      <c r="D178" s="61"/>
      <c r="E178" s="62"/>
      <c r="F178" s="63"/>
      <c r="G178" s="64"/>
      <c r="R178" s="148"/>
    </row>
    <row r="179" spans="4:18" ht="14.25" customHeight="1">
      <c r="D179" s="61"/>
      <c r="E179" s="62"/>
      <c r="F179" s="63"/>
      <c r="G179" s="64"/>
      <c r="R179" s="148"/>
    </row>
    <row r="180" spans="4:18" ht="14.25" customHeight="1">
      <c r="D180" s="61"/>
      <c r="E180" s="62"/>
      <c r="F180" s="63"/>
      <c r="G180" s="64"/>
      <c r="R180" s="148"/>
    </row>
    <row r="181" spans="4:18" ht="14.25" customHeight="1">
      <c r="D181" s="61"/>
      <c r="E181" s="62"/>
      <c r="F181" s="63"/>
      <c r="G181" s="64"/>
      <c r="R181" s="148"/>
    </row>
    <row r="182" spans="4:18" ht="14.25" customHeight="1">
      <c r="D182" s="61"/>
      <c r="E182" s="62"/>
      <c r="F182" s="63"/>
      <c r="G182" s="64"/>
      <c r="R182" s="148"/>
    </row>
    <row r="183" spans="4:18" ht="14.25" customHeight="1">
      <c r="D183" s="61"/>
      <c r="E183" s="62"/>
      <c r="F183" s="63"/>
      <c r="G183" s="64"/>
      <c r="R183" s="148"/>
    </row>
    <row r="184" spans="4:18" ht="14.25" customHeight="1">
      <c r="D184" s="61"/>
      <c r="E184" s="62"/>
      <c r="F184" s="63"/>
      <c r="G184" s="64"/>
      <c r="R184" s="148"/>
    </row>
    <row r="185" spans="4:18" ht="14.25" customHeight="1">
      <c r="D185" s="61"/>
      <c r="E185" s="62"/>
      <c r="F185" s="63"/>
      <c r="G185" s="64"/>
      <c r="R185" s="148"/>
    </row>
    <row r="186" spans="4:18" ht="14.25" customHeight="1">
      <c r="D186" s="61"/>
      <c r="E186" s="62"/>
      <c r="F186" s="63"/>
      <c r="G186" s="64"/>
      <c r="R186" s="148"/>
    </row>
    <row r="187" spans="4:18" ht="14.25" customHeight="1">
      <c r="D187" s="61"/>
      <c r="E187" s="62"/>
      <c r="F187" s="63"/>
      <c r="G187" s="64"/>
      <c r="R187" s="148"/>
    </row>
    <row r="188" spans="4:18" ht="14.25" customHeight="1">
      <c r="D188" s="61"/>
      <c r="E188" s="62"/>
      <c r="F188" s="63"/>
      <c r="G188" s="64"/>
      <c r="R188" s="148"/>
    </row>
    <row r="189" spans="4:18" ht="14.25" customHeight="1">
      <c r="D189" s="61"/>
      <c r="E189" s="62"/>
      <c r="F189" s="63"/>
      <c r="G189" s="64"/>
      <c r="R189" s="148"/>
    </row>
    <row r="190" spans="4:18" ht="14.25" customHeight="1">
      <c r="D190" s="61"/>
      <c r="E190" s="62"/>
      <c r="F190" s="63"/>
      <c r="G190" s="64"/>
      <c r="R190" s="148"/>
    </row>
    <row r="191" spans="4:18" ht="14.25" customHeight="1">
      <c r="D191" s="61"/>
      <c r="E191" s="62"/>
      <c r="F191" s="63"/>
      <c r="G191" s="64"/>
      <c r="R191" s="148"/>
    </row>
    <row r="192" spans="4:18" ht="14.25" customHeight="1">
      <c r="D192" s="61"/>
      <c r="E192" s="62"/>
      <c r="F192" s="63"/>
      <c r="G192" s="64"/>
      <c r="R192" s="148"/>
    </row>
    <row r="193" spans="4:18" ht="14.25" customHeight="1">
      <c r="D193" s="61"/>
      <c r="E193" s="62"/>
      <c r="F193" s="63"/>
      <c r="G193" s="64"/>
      <c r="R193" s="148"/>
    </row>
    <row r="194" spans="4:18" ht="14.25" customHeight="1">
      <c r="D194" s="61"/>
      <c r="E194" s="62"/>
      <c r="F194" s="63"/>
      <c r="G194" s="64"/>
      <c r="R194" s="148"/>
    </row>
    <row r="195" spans="4:18" ht="14.25" customHeight="1">
      <c r="D195" s="61"/>
      <c r="E195" s="62"/>
      <c r="F195" s="63"/>
      <c r="G195" s="64"/>
      <c r="R195" s="148"/>
    </row>
    <row r="196" spans="4:18" ht="14.25" customHeight="1">
      <c r="D196" s="61"/>
      <c r="E196" s="62"/>
      <c r="F196" s="63"/>
      <c r="G196" s="64"/>
      <c r="R196" s="148"/>
    </row>
    <row r="197" spans="4:18" ht="14.25" customHeight="1">
      <c r="D197" s="61"/>
      <c r="E197" s="62"/>
      <c r="F197" s="63"/>
      <c r="G197" s="64"/>
      <c r="R197" s="148"/>
    </row>
    <row r="198" spans="4:18" ht="14.25" customHeight="1">
      <c r="D198" s="61"/>
      <c r="E198" s="62"/>
      <c r="F198" s="63"/>
      <c r="G198" s="64"/>
      <c r="R198" s="148"/>
    </row>
    <row r="199" spans="4:18" ht="14.25" customHeight="1">
      <c r="D199" s="61"/>
      <c r="E199" s="62"/>
      <c r="F199" s="63"/>
      <c r="G199" s="64"/>
      <c r="R199" s="148"/>
    </row>
    <row r="200" spans="4:18" ht="14.25" customHeight="1">
      <c r="D200" s="61"/>
      <c r="E200" s="62"/>
      <c r="F200" s="63"/>
      <c r="G200" s="64"/>
      <c r="R200" s="148"/>
    </row>
    <row r="201" spans="4:18" ht="14.25" customHeight="1">
      <c r="D201" s="61"/>
      <c r="E201" s="62"/>
      <c r="F201" s="63"/>
      <c r="G201" s="64"/>
      <c r="R201" s="148"/>
    </row>
    <row r="202" spans="4:18" ht="14.25" customHeight="1">
      <c r="D202" s="61"/>
      <c r="E202" s="62"/>
      <c r="F202" s="63"/>
      <c r="G202" s="64"/>
      <c r="R202" s="148"/>
    </row>
    <row r="203" spans="4:18" ht="14.25" customHeight="1">
      <c r="D203" s="61"/>
      <c r="E203" s="62"/>
      <c r="F203" s="63"/>
      <c r="G203" s="64"/>
      <c r="R203" s="148"/>
    </row>
    <row r="204" spans="4:18" ht="14.25" customHeight="1">
      <c r="D204" s="61"/>
      <c r="E204" s="62"/>
      <c r="F204" s="63"/>
      <c r="G204" s="64"/>
      <c r="R204" s="148"/>
    </row>
    <row r="205" spans="4:18" ht="14.25" customHeight="1">
      <c r="D205" s="61"/>
      <c r="E205" s="62"/>
      <c r="F205" s="63"/>
      <c r="G205" s="64"/>
      <c r="R205" s="148"/>
    </row>
    <row r="206" spans="4:18" ht="14.25" customHeight="1">
      <c r="D206" s="61"/>
      <c r="E206" s="62"/>
      <c r="F206" s="63"/>
      <c r="G206" s="64"/>
      <c r="R206" s="148"/>
    </row>
    <row r="207" spans="4:18" ht="14.25" customHeight="1">
      <c r="D207" s="61"/>
      <c r="E207" s="62"/>
      <c r="F207" s="63"/>
      <c r="G207" s="64"/>
      <c r="R207" s="148"/>
    </row>
    <row r="208" spans="4:18" ht="14.25" customHeight="1">
      <c r="D208" s="61"/>
      <c r="E208" s="62"/>
      <c r="F208" s="63"/>
      <c r="G208" s="64"/>
      <c r="R208" s="148"/>
    </row>
    <row r="209" spans="4:18" ht="14.25" customHeight="1">
      <c r="D209" s="61"/>
      <c r="E209" s="62"/>
      <c r="F209" s="63"/>
      <c r="G209" s="64"/>
      <c r="R209" s="148"/>
    </row>
    <row r="210" spans="4:18" ht="14.25" customHeight="1">
      <c r="D210" s="61"/>
      <c r="E210" s="62"/>
      <c r="F210" s="63"/>
      <c r="G210" s="64"/>
      <c r="R210" s="148"/>
    </row>
    <row r="211" spans="4:18" ht="14.25" customHeight="1">
      <c r="D211" s="61"/>
      <c r="E211" s="62"/>
      <c r="F211" s="63"/>
      <c r="G211" s="64"/>
      <c r="R211" s="148"/>
    </row>
    <row r="212" spans="4:18" ht="14.25" customHeight="1">
      <c r="D212" s="61"/>
      <c r="E212" s="62"/>
      <c r="F212" s="63"/>
      <c r="G212" s="64"/>
      <c r="R212" s="148"/>
    </row>
    <row r="213" spans="4:18" ht="14.25" customHeight="1">
      <c r="D213" s="61"/>
      <c r="E213" s="62"/>
      <c r="F213" s="63"/>
      <c r="G213" s="64"/>
      <c r="R213" s="148"/>
    </row>
    <row r="214" spans="4:18" ht="14.25" customHeight="1">
      <c r="D214" s="61"/>
      <c r="E214" s="62"/>
      <c r="F214" s="63"/>
      <c r="G214" s="64"/>
      <c r="R214" s="148"/>
    </row>
    <row r="215" spans="4:18" ht="14.25" customHeight="1">
      <c r="D215" s="61"/>
      <c r="E215" s="62"/>
      <c r="F215" s="63"/>
      <c r="G215" s="64"/>
      <c r="R215" s="148"/>
    </row>
    <row r="216" spans="4:18" ht="14.25" customHeight="1">
      <c r="D216" s="61"/>
      <c r="E216" s="62"/>
      <c r="F216" s="63"/>
      <c r="G216" s="64"/>
      <c r="R216" s="148"/>
    </row>
    <row r="217" spans="4:18" ht="14.25" customHeight="1">
      <c r="D217" s="61"/>
      <c r="E217" s="62"/>
      <c r="F217" s="63"/>
      <c r="G217" s="64"/>
      <c r="R217" s="148"/>
    </row>
    <row r="218" spans="4:18" ht="14.25" customHeight="1">
      <c r="D218" s="61"/>
      <c r="E218" s="62"/>
      <c r="F218" s="63"/>
      <c r="G218" s="64"/>
      <c r="R218" s="148"/>
    </row>
    <row r="219" spans="4:18" ht="14.25" customHeight="1">
      <c r="D219" s="61"/>
      <c r="E219" s="62"/>
      <c r="F219" s="63"/>
      <c r="G219" s="64"/>
      <c r="R219" s="148"/>
    </row>
    <row r="220" spans="4:18" ht="14.25" customHeight="1">
      <c r="D220" s="61"/>
      <c r="E220" s="62"/>
      <c r="F220" s="63"/>
      <c r="G220" s="64"/>
      <c r="R220" s="148"/>
    </row>
    <row r="221" spans="4:18" ht="14.25" customHeight="1">
      <c r="D221" s="61"/>
      <c r="E221" s="62"/>
      <c r="F221" s="63"/>
      <c r="G221" s="64"/>
      <c r="R221" s="148"/>
    </row>
    <row r="222" spans="4:18" ht="14.25" customHeight="1">
      <c r="D222" s="61"/>
      <c r="E222" s="62"/>
      <c r="F222" s="63"/>
      <c r="G222" s="64"/>
      <c r="R222" s="148"/>
    </row>
    <row r="223" spans="4:18" ht="14.25" customHeight="1">
      <c r="D223" s="61"/>
      <c r="E223" s="62"/>
      <c r="F223" s="63"/>
      <c r="G223" s="64"/>
      <c r="R223" s="148"/>
    </row>
    <row r="224" spans="4:18" ht="14.25" customHeight="1">
      <c r="D224" s="61"/>
      <c r="E224" s="62"/>
      <c r="F224" s="63"/>
      <c r="G224" s="64"/>
      <c r="R224" s="148"/>
    </row>
    <row r="225" spans="4:18" ht="14.25" customHeight="1">
      <c r="D225" s="61"/>
      <c r="E225" s="62"/>
      <c r="F225" s="63"/>
      <c r="G225" s="64"/>
      <c r="R225" s="148"/>
    </row>
    <row r="226" spans="4:18" ht="14.25" customHeight="1">
      <c r="D226" s="61"/>
      <c r="E226" s="62"/>
      <c r="F226" s="63"/>
      <c r="G226" s="64"/>
      <c r="R226" s="148"/>
    </row>
    <row r="227" spans="4:18" ht="14.25" customHeight="1">
      <c r="D227" s="61"/>
      <c r="E227" s="62"/>
      <c r="F227" s="63"/>
      <c r="G227" s="64"/>
      <c r="R227" s="148"/>
    </row>
    <row r="228" spans="4:18" ht="14.25" customHeight="1">
      <c r="D228" s="61"/>
      <c r="E228" s="62"/>
      <c r="F228" s="63"/>
      <c r="G228" s="64"/>
      <c r="R228" s="148"/>
    </row>
    <row r="229" spans="4:18" ht="14.25" customHeight="1">
      <c r="D229" s="61"/>
      <c r="E229" s="62"/>
      <c r="F229" s="63"/>
      <c r="G229" s="64"/>
      <c r="R229" s="148"/>
    </row>
    <row r="230" spans="4:18" ht="14.25" customHeight="1">
      <c r="D230" s="61"/>
      <c r="E230" s="62"/>
      <c r="F230" s="63"/>
      <c r="G230" s="64"/>
      <c r="R230" s="148"/>
    </row>
    <row r="231" spans="4:18" ht="14.25" customHeight="1">
      <c r="D231" s="61"/>
      <c r="E231" s="62"/>
      <c r="F231" s="63"/>
      <c r="G231" s="64"/>
      <c r="R231" s="148"/>
    </row>
    <row r="232" spans="4:18" ht="14.25" customHeight="1">
      <c r="D232" s="61"/>
      <c r="E232" s="62"/>
      <c r="F232" s="63"/>
      <c r="G232" s="64"/>
      <c r="R232" s="148"/>
    </row>
    <row r="233" spans="4:18" ht="14.25" customHeight="1">
      <c r="D233" s="61"/>
      <c r="E233" s="62"/>
      <c r="F233" s="63"/>
      <c r="G233" s="64"/>
      <c r="R233" s="148"/>
    </row>
    <row r="234" spans="4:18" ht="14.25" customHeight="1">
      <c r="D234" s="61"/>
      <c r="E234" s="62"/>
      <c r="F234" s="63"/>
      <c r="G234" s="64"/>
      <c r="R234" s="148"/>
    </row>
    <row r="235" spans="4:18" ht="14.25" customHeight="1">
      <c r="D235" s="61"/>
      <c r="E235" s="62"/>
      <c r="F235" s="63"/>
      <c r="G235" s="64"/>
      <c r="R235" s="148"/>
    </row>
    <row r="236" spans="4:18" ht="14.25" customHeight="1">
      <c r="D236" s="61"/>
      <c r="E236" s="62"/>
      <c r="F236" s="63"/>
      <c r="G236" s="64"/>
      <c r="R236" s="148"/>
    </row>
    <row r="237" spans="4:18" ht="14.25" customHeight="1">
      <c r="D237" s="61"/>
      <c r="E237" s="62"/>
      <c r="F237" s="63"/>
      <c r="G237" s="64"/>
      <c r="R237" s="148"/>
    </row>
    <row r="238" spans="4:18" ht="14.25" customHeight="1">
      <c r="D238" s="61"/>
      <c r="E238" s="62"/>
      <c r="F238" s="63"/>
      <c r="G238" s="64"/>
      <c r="R238" s="148"/>
    </row>
    <row r="239" spans="4:18" ht="14.25" customHeight="1">
      <c r="D239" s="61"/>
      <c r="E239" s="62"/>
      <c r="F239" s="63"/>
      <c r="G239" s="64"/>
      <c r="R239" s="148"/>
    </row>
    <row r="240" spans="4:18" ht="14.25" customHeight="1">
      <c r="D240" s="61"/>
      <c r="E240" s="62"/>
      <c r="F240" s="63"/>
      <c r="G240" s="64"/>
      <c r="R240" s="148"/>
    </row>
    <row r="241" spans="4:18" ht="14.25" customHeight="1">
      <c r="D241" s="61"/>
      <c r="E241" s="62"/>
      <c r="F241" s="63"/>
      <c r="G241" s="64"/>
      <c r="R241" s="148"/>
    </row>
    <row r="242" spans="4:18" ht="14.25" customHeight="1">
      <c r="D242" s="61"/>
      <c r="E242" s="62"/>
      <c r="F242" s="63"/>
      <c r="G242" s="64"/>
      <c r="R242" s="148"/>
    </row>
    <row r="243" spans="4:18" ht="14.25" customHeight="1">
      <c r="D243" s="61"/>
      <c r="E243" s="62"/>
      <c r="F243" s="63"/>
      <c r="G243" s="64"/>
      <c r="R243" s="148"/>
    </row>
    <row r="244" spans="4:18" ht="14.25" customHeight="1">
      <c r="D244" s="61"/>
      <c r="E244" s="62"/>
      <c r="F244" s="63"/>
      <c r="G244" s="64"/>
      <c r="R244" s="148"/>
    </row>
    <row r="245" spans="4:18" ht="14.25" customHeight="1">
      <c r="D245" s="61"/>
      <c r="E245" s="62"/>
      <c r="F245" s="63"/>
      <c r="G245" s="64"/>
      <c r="R245" s="148"/>
    </row>
    <row r="246" spans="4:18" ht="14.25" customHeight="1">
      <c r="D246" s="61"/>
      <c r="E246" s="62"/>
      <c r="F246" s="63"/>
      <c r="G246" s="64"/>
      <c r="R246" s="148"/>
    </row>
    <row r="247" spans="4:18" ht="14.25" customHeight="1">
      <c r="D247" s="61"/>
      <c r="E247" s="62"/>
      <c r="F247" s="63"/>
      <c r="G247" s="64"/>
      <c r="R247" s="148"/>
    </row>
    <row r="248" spans="4:18" ht="14.25" customHeight="1">
      <c r="D248" s="61"/>
      <c r="E248" s="62"/>
      <c r="F248" s="63"/>
      <c r="G248" s="64"/>
      <c r="R248" s="148"/>
    </row>
    <row r="249" spans="4:18" ht="14.25" customHeight="1">
      <c r="D249" s="61"/>
      <c r="E249" s="62"/>
      <c r="F249" s="63"/>
      <c r="G249" s="64"/>
      <c r="R249" s="148"/>
    </row>
    <row r="250" spans="4:18" ht="14.25" customHeight="1">
      <c r="D250" s="61"/>
      <c r="E250" s="62"/>
      <c r="F250" s="63"/>
      <c r="G250" s="64"/>
      <c r="R250" s="148"/>
    </row>
    <row r="251" spans="4:18" ht="14.25" customHeight="1">
      <c r="D251" s="61"/>
      <c r="E251" s="62"/>
      <c r="F251" s="63"/>
      <c r="G251" s="64"/>
      <c r="R251" s="148"/>
    </row>
    <row r="252" spans="4:18" ht="14.25" customHeight="1">
      <c r="D252" s="61"/>
      <c r="E252" s="62"/>
      <c r="F252" s="63"/>
      <c r="G252" s="64"/>
      <c r="R252" s="148"/>
    </row>
    <row r="253" spans="4:18" ht="14.25" customHeight="1">
      <c r="D253" s="61"/>
      <c r="E253" s="62"/>
      <c r="F253" s="63"/>
      <c r="G253" s="64"/>
      <c r="R253" s="148"/>
    </row>
    <row r="254" spans="4:18" ht="14.25" customHeight="1">
      <c r="D254" s="61"/>
      <c r="E254" s="62"/>
      <c r="F254" s="63"/>
      <c r="G254" s="64"/>
      <c r="R254" s="148"/>
    </row>
    <row r="255" spans="4:18" ht="14.25" customHeight="1">
      <c r="D255" s="61"/>
      <c r="E255" s="62"/>
      <c r="F255" s="63"/>
      <c r="G255" s="64"/>
      <c r="R255" s="148"/>
    </row>
    <row r="256" spans="4:18" ht="14.25" customHeight="1">
      <c r="D256" s="61"/>
      <c r="E256" s="62"/>
      <c r="F256" s="63"/>
      <c r="G256" s="64"/>
      <c r="R256" s="148"/>
    </row>
    <row r="257" spans="4:18" ht="14.25" customHeight="1">
      <c r="D257" s="61"/>
      <c r="E257" s="62"/>
      <c r="F257" s="63"/>
      <c r="G257" s="64"/>
      <c r="R257" s="148"/>
    </row>
    <row r="258" spans="4:18" ht="14.25" customHeight="1">
      <c r="D258" s="61"/>
      <c r="E258" s="62"/>
      <c r="F258" s="63"/>
      <c r="G258" s="64"/>
      <c r="R258" s="148"/>
    </row>
    <row r="259" spans="4:18" ht="14.25" customHeight="1">
      <c r="D259" s="61"/>
      <c r="E259" s="62"/>
      <c r="F259" s="63"/>
      <c r="G259" s="64"/>
      <c r="R259" s="148"/>
    </row>
    <row r="260" spans="4:18" ht="14.25" customHeight="1">
      <c r="D260" s="61"/>
      <c r="E260" s="62"/>
      <c r="F260" s="63"/>
      <c r="G260" s="64"/>
      <c r="R260" s="148"/>
    </row>
    <row r="261" spans="4:18" ht="14.25" customHeight="1">
      <c r="D261" s="61"/>
      <c r="E261" s="62"/>
      <c r="F261" s="63"/>
      <c r="G261" s="64"/>
      <c r="R261" s="148"/>
    </row>
    <row r="262" spans="4:18" ht="14.25" customHeight="1">
      <c r="D262" s="61"/>
      <c r="E262" s="62"/>
      <c r="F262" s="63"/>
      <c r="G262" s="64"/>
      <c r="R262" s="148"/>
    </row>
    <row r="263" spans="4:18" ht="14.25" customHeight="1">
      <c r="D263" s="61"/>
      <c r="E263" s="62"/>
      <c r="F263" s="63"/>
      <c r="G263" s="64"/>
      <c r="R263" s="148"/>
    </row>
    <row r="264" spans="4:18" ht="14.25" customHeight="1">
      <c r="D264" s="61"/>
      <c r="E264" s="62"/>
      <c r="F264" s="63"/>
      <c r="G264" s="64"/>
      <c r="R264" s="148"/>
    </row>
    <row r="265" spans="4:18" ht="14.25" customHeight="1">
      <c r="D265" s="61"/>
      <c r="E265" s="62"/>
      <c r="F265" s="63"/>
      <c r="G265" s="64"/>
      <c r="R265" s="148"/>
    </row>
    <row r="266" spans="4:18" ht="14.25" customHeight="1">
      <c r="D266" s="61"/>
      <c r="E266" s="62"/>
      <c r="F266" s="63"/>
      <c r="G266" s="64"/>
      <c r="R266" s="148"/>
    </row>
    <row r="267" spans="4:18" ht="14.25" customHeight="1">
      <c r="D267" s="61"/>
      <c r="E267" s="62"/>
      <c r="F267" s="63"/>
      <c r="G267" s="64"/>
      <c r="R267" s="148"/>
    </row>
    <row r="268" spans="4:18" ht="14.25" customHeight="1">
      <c r="D268" s="61"/>
      <c r="E268" s="62"/>
      <c r="F268" s="63"/>
      <c r="G268" s="64"/>
      <c r="R268" s="148"/>
    </row>
    <row r="269" spans="4:18" ht="14.25" customHeight="1">
      <c r="D269" s="61"/>
      <c r="E269" s="62"/>
      <c r="F269" s="63"/>
      <c r="G269" s="64"/>
      <c r="R269" s="148"/>
    </row>
    <row r="270" spans="4:18" ht="14.25" customHeight="1">
      <c r="D270" s="61"/>
      <c r="E270" s="62"/>
      <c r="F270" s="63"/>
      <c r="G270" s="64"/>
      <c r="R270" s="148"/>
    </row>
    <row r="271" spans="4:18" ht="14.25" customHeight="1">
      <c r="D271" s="61"/>
      <c r="E271" s="62"/>
      <c r="F271" s="63"/>
      <c r="G271" s="64"/>
      <c r="R271" s="148"/>
    </row>
    <row r="272" spans="4:18" ht="14.25" customHeight="1">
      <c r="D272" s="61"/>
      <c r="E272" s="62"/>
      <c r="F272" s="63"/>
      <c r="G272" s="64"/>
      <c r="R272" s="148"/>
    </row>
    <row r="273" spans="4:18" ht="14.25" customHeight="1">
      <c r="D273" s="61"/>
      <c r="E273" s="62"/>
      <c r="F273" s="63"/>
      <c r="G273" s="64"/>
      <c r="R273" s="148"/>
    </row>
    <row r="274" spans="4:18" ht="14.25" customHeight="1">
      <c r="D274" s="61"/>
      <c r="E274" s="62"/>
      <c r="F274" s="63"/>
      <c r="G274" s="64"/>
      <c r="R274" s="148"/>
    </row>
    <row r="275" spans="4:18" ht="14.25" customHeight="1">
      <c r="D275" s="61"/>
      <c r="E275" s="62"/>
      <c r="F275" s="63"/>
      <c r="G275" s="64"/>
      <c r="R275" s="148"/>
    </row>
    <row r="276" spans="4:18" ht="14.25" customHeight="1">
      <c r="D276" s="61"/>
      <c r="E276" s="62"/>
      <c r="F276" s="63"/>
      <c r="G276" s="64"/>
      <c r="R276" s="148"/>
    </row>
    <row r="277" spans="4:18" ht="14.25" customHeight="1">
      <c r="D277" s="61"/>
      <c r="E277" s="62"/>
      <c r="F277" s="63"/>
      <c r="G277" s="64"/>
      <c r="R277" s="148"/>
    </row>
    <row r="278" spans="4:18" ht="14.25" customHeight="1">
      <c r="D278" s="61"/>
      <c r="E278" s="62"/>
      <c r="F278" s="63"/>
      <c r="G278" s="64"/>
      <c r="R278" s="148"/>
    </row>
    <row r="279" spans="4:18" ht="14.25" customHeight="1">
      <c r="D279" s="61"/>
      <c r="E279" s="62"/>
      <c r="F279" s="63"/>
      <c r="G279" s="64"/>
      <c r="R279" s="148"/>
    </row>
    <row r="280" spans="4:18" ht="14.25" customHeight="1">
      <c r="D280" s="61"/>
      <c r="E280" s="62"/>
      <c r="F280" s="63"/>
      <c r="G280" s="64"/>
      <c r="R280" s="148"/>
    </row>
    <row r="281" spans="4:18" ht="14.25" customHeight="1">
      <c r="D281" s="61"/>
      <c r="E281" s="62"/>
      <c r="F281" s="63"/>
      <c r="G281" s="64"/>
      <c r="R281" s="148"/>
    </row>
    <row r="282" spans="4:18" ht="14.25" customHeight="1">
      <c r="D282" s="61"/>
      <c r="E282" s="62"/>
      <c r="F282" s="63"/>
      <c r="G282" s="64"/>
      <c r="R282" s="148"/>
    </row>
    <row r="283" spans="4:18" ht="14.25" customHeight="1">
      <c r="D283" s="61"/>
      <c r="E283" s="62"/>
      <c r="F283" s="63"/>
      <c r="G283" s="64"/>
      <c r="R283" s="148"/>
    </row>
    <row r="284" spans="4:18" ht="14.25" customHeight="1">
      <c r="D284" s="61"/>
      <c r="E284" s="62"/>
      <c r="F284" s="63"/>
      <c r="G284" s="64"/>
      <c r="R284" s="148"/>
    </row>
    <row r="285" spans="4:18" ht="14.25" customHeight="1">
      <c r="D285" s="61"/>
      <c r="E285" s="62"/>
      <c r="F285" s="63"/>
      <c r="G285" s="64"/>
      <c r="R285" s="148"/>
    </row>
    <row r="286" spans="4:18" ht="14.25" customHeight="1">
      <c r="D286" s="61"/>
      <c r="E286" s="62"/>
      <c r="F286" s="63"/>
      <c r="G286" s="64"/>
      <c r="R286" s="148"/>
    </row>
    <row r="287" spans="4:18" ht="14.25" customHeight="1">
      <c r="D287" s="61"/>
      <c r="E287" s="62"/>
      <c r="F287" s="63"/>
      <c r="G287" s="64"/>
      <c r="R287" s="148"/>
    </row>
    <row r="288" spans="4:18" ht="14.25" customHeight="1">
      <c r="D288" s="61"/>
      <c r="E288" s="62"/>
      <c r="F288" s="63"/>
      <c r="G288" s="64"/>
      <c r="R288" s="148"/>
    </row>
    <row r="289" spans="4:18" ht="14.25" customHeight="1">
      <c r="D289" s="61"/>
      <c r="E289" s="62"/>
      <c r="F289" s="63"/>
      <c r="G289" s="64"/>
      <c r="R289" s="148"/>
    </row>
    <row r="290" spans="4:18" ht="14.25" customHeight="1">
      <c r="D290" s="61"/>
      <c r="E290" s="62"/>
      <c r="F290" s="63"/>
      <c r="G290" s="64"/>
      <c r="R290" s="148"/>
    </row>
    <row r="291" spans="4:18" ht="14.25" customHeight="1">
      <c r="D291" s="61"/>
      <c r="E291" s="62"/>
      <c r="F291" s="63"/>
      <c r="G291" s="64"/>
      <c r="R291" s="148"/>
    </row>
    <row r="292" spans="4:18" ht="14.25" customHeight="1">
      <c r="D292" s="61"/>
      <c r="E292" s="62"/>
      <c r="F292" s="63"/>
      <c r="G292" s="64"/>
      <c r="R292" s="148"/>
    </row>
    <row r="293" spans="4:18" ht="14.25" customHeight="1">
      <c r="D293" s="61"/>
      <c r="E293" s="62"/>
      <c r="F293" s="63"/>
      <c r="G293" s="64"/>
      <c r="R293" s="148"/>
    </row>
    <row r="294" spans="4:18" ht="14.25" customHeight="1">
      <c r="D294" s="61"/>
      <c r="E294" s="62"/>
      <c r="F294" s="63"/>
      <c r="G294" s="64"/>
      <c r="R294" s="148"/>
    </row>
    <row r="295" spans="4:18" ht="14.25" customHeight="1">
      <c r="D295" s="61"/>
      <c r="E295" s="62"/>
      <c r="F295" s="63"/>
      <c r="G295" s="64"/>
      <c r="R295" s="148"/>
    </row>
    <row r="296" spans="4:18" ht="14.25" customHeight="1">
      <c r="D296" s="61"/>
      <c r="E296" s="62"/>
      <c r="F296" s="63"/>
      <c r="G296" s="64"/>
      <c r="R296" s="148"/>
    </row>
    <row r="297" spans="4:18" ht="14.25" customHeight="1">
      <c r="D297" s="61"/>
      <c r="E297" s="62"/>
      <c r="F297" s="63"/>
      <c r="G297" s="64"/>
      <c r="R297" s="148"/>
    </row>
    <row r="298" spans="4:18" ht="14.25" customHeight="1">
      <c r="D298" s="61"/>
      <c r="E298" s="62"/>
      <c r="F298" s="63"/>
      <c r="G298" s="64"/>
      <c r="R298" s="148"/>
    </row>
    <row r="299" spans="4:18" ht="14.25" customHeight="1">
      <c r="D299" s="61"/>
      <c r="E299" s="62"/>
      <c r="F299" s="63"/>
      <c r="G299" s="64"/>
      <c r="R299" s="148"/>
    </row>
    <row r="300" spans="4:18" ht="14.25" customHeight="1">
      <c r="D300" s="61"/>
      <c r="E300" s="62"/>
      <c r="F300" s="63"/>
      <c r="G300" s="64"/>
      <c r="R300" s="148"/>
    </row>
    <row r="301" spans="4:18" ht="14.25" customHeight="1">
      <c r="D301" s="61"/>
      <c r="E301" s="62"/>
      <c r="F301" s="63"/>
      <c r="G301" s="64"/>
      <c r="R301" s="148"/>
    </row>
    <row r="302" spans="4:18" ht="14.25" customHeight="1">
      <c r="D302" s="61"/>
      <c r="E302" s="62"/>
      <c r="F302" s="63"/>
      <c r="G302" s="64"/>
      <c r="R302" s="148"/>
    </row>
    <row r="303" spans="4:18" ht="14.25" customHeight="1">
      <c r="D303" s="61"/>
      <c r="E303" s="62"/>
      <c r="F303" s="63"/>
      <c r="G303" s="64"/>
      <c r="R303" s="148"/>
    </row>
    <row r="304" spans="4:18" ht="14.25" customHeight="1">
      <c r="D304" s="61"/>
      <c r="E304" s="62"/>
      <c r="F304" s="63"/>
      <c r="G304" s="64"/>
      <c r="R304" s="148"/>
    </row>
    <row r="305" spans="4:18" ht="14.25" customHeight="1">
      <c r="D305" s="61"/>
      <c r="E305" s="62"/>
      <c r="F305" s="63"/>
      <c r="G305" s="64"/>
      <c r="R305" s="148"/>
    </row>
    <row r="306" spans="4:18" ht="14.25" customHeight="1">
      <c r="D306" s="61"/>
      <c r="E306" s="62"/>
      <c r="F306" s="63"/>
      <c r="G306" s="64"/>
      <c r="R306" s="148"/>
    </row>
    <row r="307" spans="4:18" ht="14.25" customHeight="1">
      <c r="D307" s="61"/>
      <c r="E307" s="62"/>
      <c r="F307" s="63"/>
      <c r="G307" s="64"/>
      <c r="R307" s="148"/>
    </row>
    <row r="308" spans="4:18" ht="14.25" customHeight="1">
      <c r="D308" s="61"/>
      <c r="E308" s="62"/>
      <c r="F308" s="63"/>
      <c r="G308" s="64"/>
      <c r="R308" s="148"/>
    </row>
    <row r="309" spans="4:18" ht="14.25" customHeight="1">
      <c r="D309" s="61"/>
      <c r="E309" s="62"/>
      <c r="F309" s="63"/>
      <c r="G309" s="64"/>
      <c r="R309" s="148"/>
    </row>
    <row r="310" spans="4:18" ht="14.25" customHeight="1">
      <c r="D310" s="61"/>
      <c r="E310" s="62"/>
      <c r="F310" s="63"/>
      <c r="G310" s="64"/>
      <c r="R310" s="148"/>
    </row>
    <row r="311" spans="4:18" ht="14.25" customHeight="1">
      <c r="D311" s="61"/>
      <c r="E311" s="62"/>
      <c r="F311" s="63"/>
      <c r="G311" s="64"/>
      <c r="R311" s="148"/>
    </row>
    <row r="312" spans="4:18" ht="14.25" customHeight="1">
      <c r="D312" s="61"/>
      <c r="E312" s="62"/>
      <c r="F312" s="63"/>
      <c r="G312" s="64"/>
      <c r="R312" s="148"/>
    </row>
    <row r="313" spans="4:18" ht="14.25" customHeight="1">
      <c r="D313" s="61"/>
      <c r="E313" s="62"/>
      <c r="F313" s="63"/>
      <c r="G313" s="64"/>
      <c r="R313" s="148"/>
    </row>
    <row r="314" spans="4:18" ht="14.25" customHeight="1">
      <c r="D314" s="61"/>
      <c r="E314" s="62"/>
      <c r="F314" s="63"/>
      <c r="G314" s="64"/>
      <c r="R314" s="148"/>
    </row>
    <row r="315" spans="4:18" ht="14.25" customHeight="1">
      <c r="D315" s="61"/>
      <c r="E315" s="62"/>
      <c r="F315" s="63"/>
      <c r="G315" s="64"/>
      <c r="R315" s="148"/>
    </row>
    <row r="316" spans="4:18" ht="14.25" customHeight="1">
      <c r="D316" s="61"/>
      <c r="E316" s="62"/>
      <c r="F316" s="63"/>
      <c r="G316" s="64"/>
      <c r="R316" s="148"/>
    </row>
    <row r="317" spans="4:18" ht="14.25" customHeight="1">
      <c r="D317" s="61"/>
      <c r="E317" s="62"/>
      <c r="F317" s="63"/>
      <c r="G317" s="64"/>
      <c r="R317" s="148"/>
    </row>
    <row r="318" spans="4:18" ht="14.25" customHeight="1">
      <c r="D318" s="61"/>
      <c r="E318" s="62"/>
      <c r="F318" s="63"/>
      <c r="G318" s="64"/>
      <c r="R318" s="148"/>
    </row>
    <row r="319" spans="4:18" ht="14.25" customHeight="1">
      <c r="D319" s="61"/>
      <c r="E319" s="62"/>
      <c r="F319" s="63"/>
      <c r="G319" s="64"/>
      <c r="R319" s="148"/>
    </row>
    <row r="320" spans="4:18" ht="14.25" customHeight="1">
      <c r="D320" s="61"/>
      <c r="E320" s="62"/>
      <c r="F320" s="63"/>
      <c r="G320" s="64"/>
      <c r="R320" s="148"/>
    </row>
    <row r="321" spans="4:18" ht="14.25" customHeight="1">
      <c r="D321" s="61"/>
      <c r="E321" s="62"/>
      <c r="F321" s="63"/>
      <c r="G321" s="64"/>
      <c r="R321" s="148"/>
    </row>
    <row r="322" spans="4:18" ht="14.25" customHeight="1">
      <c r="D322" s="61"/>
      <c r="E322" s="62"/>
      <c r="F322" s="63"/>
      <c r="G322" s="64"/>
      <c r="R322" s="148"/>
    </row>
    <row r="323" spans="4:18" ht="14.25" customHeight="1">
      <c r="D323" s="61"/>
      <c r="E323" s="62"/>
      <c r="F323" s="63"/>
      <c r="G323" s="64"/>
      <c r="R323" s="148"/>
    </row>
    <row r="324" spans="4:18" ht="14.25" customHeight="1">
      <c r="D324" s="61"/>
      <c r="E324" s="62"/>
      <c r="F324" s="63"/>
      <c r="G324" s="64"/>
      <c r="R324" s="148"/>
    </row>
    <row r="325" spans="4:18" ht="14.25" customHeight="1">
      <c r="D325" s="61"/>
      <c r="E325" s="62"/>
      <c r="F325" s="63"/>
      <c r="G325" s="64"/>
      <c r="R325" s="148"/>
    </row>
    <row r="326" spans="4:18" ht="14.25" customHeight="1">
      <c r="D326" s="61"/>
      <c r="E326" s="62"/>
      <c r="F326" s="63"/>
      <c r="G326" s="64"/>
      <c r="R326" s="148"/>
    </row>
    <row r="327" spans="4:18" ht="14.25" customHeight="1">
      <c r="D327" s="61"/>
      <c r="E327" s="62"/>
      <c r="F327" s="63"/>
      <c r="G327" s="64"/>
      <c r="R327" s="148"/>
    </row>
    <row r="328" spans="4:18" ht="14.25" customHeight="1">
      <c r="D328" s="61"/>
      <c r="E328" s="62"/>
      <c r="F328" s="63"/>
      <c r="G328" s="64"/>
      <c r="R328" s="148"/>
    </row>
    <row r="329" spans="4:18" ht="14.25" customHeight="1">
      <c r="D329" s="61"/>
      <c r="E329" s="62"/>
      <c r="F329" s="63"/>
      <c r="G329" s="64"/>
      <c r="R329" s="148"/>
    </row>
    <row r="330" spans="4:18" ht="14.25" customHeight="1">
      <c r="D330" s="61"/>
      <c r="E330" s="62"/>
      <c r="F330" s="63"/>
      <c r="G330" s="64"/>
      <c r="R330" s="148"/>
    </row>
    <row r="331" spans="4:18" ht="14.25" customHeight="1">
      <c r="D331" s="61"/>
      <c r="E331" s="62"/>
      <c r="F331" s="63"/>
      <c r="G331" s="64"/>
      <c r="R331" s="148"/>
    </row>
    <row r="332" spans="4:18" ht="14.25" customHeight="1">
      <c r="D332" s="61"/>
      <c r="E332" s="62"/>
      <c r="F332" s="63"/>
      <c r="G332" s="64"/>
      <c r="R332" s="148"/>
    </row>
    <row r="333" spans="4:18" ht="14.25" customHeight="1">
      <c r="D333" s="61"/>
      <c r="E333" s="62"/>
      <c r="F333" s="63"/>
      <c r="G333" s="64"/>
      <c r="R333" s="148"/>
    </row>
    <row r="334" spans="4:18" ht="14.25" customHeight="1">
      <c r="D334" s="61"/>
      <c r="E334" s="62"/>
      <c r="F334" s="63"/>
      <c r="G334" s="64"/>
      <c r="R334" s="148"/>
    </row>
    <row r="335" spans="4:18" ht="14.25" customHeight="1">
      <c r="D335" s="61"/>
      <c r="E335" s="62"/>
      <c r="F335" s="63"/>
      <c r="G335" s="64"/>
      <c r="R335" s="148"/>
    </row>
    <row r="336" spans="4:18" ht="14.25" customHeight="1">
      <c r="D336" s="61"/>
      <c r="E336" s="62"/>
      <c r="F336" s="63"/>
      <c r="G336" s="64"/>
      <c r="R336" s="148"/>
    </row>
    <row r="337" spans="4:18" ht="14.25" customHeight="1">
      <c r="D337" s="61"/>
      <c r="E337" s="62"/>
      <c r="F337" s="63"/>
      <c r="G337" s="64"/>
      <c r="R337" s="148"/>
    </row>
    <row r="338" spans="4:18" ht="14.25" customHeight="1">
      <c r="D338" s="61"/>
      <c r="E338" s="62"/>
      <c r="F338" s="63"/>
      <c r="G338" s="64"/>
      <c r="R338" s="148"/>
    </row>
    <row r="339" spans="4:18" ht="14.25" customHeight="1">
      <c r="D339" s="61"/>
      <c r="E339" s="62"/>
      <c r="F339" s="63"/>
      <c r="G339" s="64"/>
      <c r="R339" s="148"/>
    </row>
    <row r="340" spans="4:18" ht="14.25" customHeight="1">
      <c r="D340" s="61"/>
      <c r="E340" s="62"/>
      <c r="F340" s="63"/>
      <c r="G340" s="64"/>
      <c r="R340" s="148"/>
    </row>
    <row r="341" spans="4:18" ht="14.25" customHeight="1">
      <c r="D341" s="61"/>
      <c r="E341" s="62"/>
      <c r="F341" s="63"/>
      <c r="G341" s="64"/>
      <c r="R341" s="148"/>
    </row>
    <row r="342" spans="4:18" ht="14.25" customHeight="1">
      <c r="D342" s="61"/>
      <c r="E342" s="62"/>
      <c r="F342" s="63"/>
      <c r="G342" s="64"/>
      <c r="R342" s="148"/>
    </row>
    <row r="343" spans="4:18" ht="14.25" customHeight="1">
      <c r="D343" s="61"/>
      <c r="E343" s="62"/>
      <c r="F343" s="63"/>
      <c r="G343" s="64"/>
      <c r="R343" s="148"/>
    </row>
    <row r="344" spans="4:18" ht="14.25" customHeight="1">
      <c r="D344" s="61"/>
      <c r="E344" s="62"/>
      <c r="F344" s="63"/>
      <c r="G344" s="64"/>
      <c r="R344" s="148"/>
    </row>
    <row r="345" spans="4:18" ht="14.25" customHeight="1">
      <c r="D345" s="61"/>
      <c r="E345" s="62"/>
      <c r="F345" s="63"/>
      <c r="G345" s="64"/>
      <c r="R345" s="148"/>
    </row>
    <row r="346" spans="4:18" ht="14.25" customHeight="1">
      <c r="D346" s="61"/>
      <c r="E346" s="62"/>
      <c r="F346" s="63"/>
      <c r="G346" s="64"/>
      <c r="R346" s="148"/>
    </row>
    <row r="347" spans="4:18" ht="14.25" customHeight="1">
      <c r="D347" s="61"/>
      <c r="E347" s="62"/>
      <c r="F347" s="63"/>
      <c r="G347" s="64"/>
      <c r="R347" s="148"/>
    </row>
    <row r="348" spans="4:18" ht="14.25" customHeight="1">
      <c r="D348" s="61"/>
      <c r="E348" s="62"/>
      <c r="F348" s="63"/>
      <c r="G348" s="64"/>
      <c r="R348" s="148"/>
    </row>
    <row r="349" spans="4:18" ht="14.25" customHeight="1">
      <c r="D349" s="61"/>
      <c r="E349" s="62"/>
      <c r="F349" s="63"/>
      <c r="G349" s="64"/>
      <c r="R349" s="148"/>
    </row>
    <row r="350" spans="4:18" ht="14.25" customHeight="1">
      <c r="D350" s="61"/>
      <c r="E350" s="62"/>
      <c r="F350" s="63"/>
      <c r="G350" s="64"/>
      <c r="R350" s="148"/>
    </row>
    <row r="351" spans="4:18" ht="14.25" customHeight="1">
      <c r="D351" s="61"/>
      <c r="E351" s="62"/>
      <c r="F351" s="63"/>
      <c r="G351" s="64"/>
      <c r="R351" s="148"/>
    </row>
    <row r="352" spans="4:18" ht="14.25" customHeight="1">
      <c r="D352" s="61"/>
      <c r="E352" s="62"/>
      <c r="F352" s="63"/>
      <c r="G352" s="64"/>
      <c r="R352" s="148"/>
    </row>
    <row r="353" spans="4:18" ht="14.25" customHeight="1">
      <c r="D353" s="61"/>
      <c r="E353" s="62"/>
      <c r="F353" s="63"/>
      <c r="G353" s="64"/>
      <c r="R353" s="148"/>
    </row>
    <row r="354" spans="4:18" ht="14.25" customHeight="1">
      <c r="D354" s="61"/>
      <c r="E354" s="62"/>
      <c r="F354" s="63"/>
      <c r="G354" s="64"/>
      <c r="R354" s="148"/>
    </row>
    <row r="355" spans="4:18" ht="14.25" customHeight="1">
      <c r="D355" s="61"/>
      <c r="E355" s="62"/>
      <c r="F355" s="63"/>
      <c r="G355" s="64"/>
      <c r="R355" s="148"/>
    </row>
    <row r="356" spans="4:18" ht="14.25" customHeight="1">
      <c r="D356" s="61"/>
      <c r="E356" s="62"/>
      <c r="F356" s="63"/>
      <c r="G356" s="64"/>
      <c r="R356" s="148"/>
    </row>
    <row r="357" spans="4:18" ht="14.25" customHeight="1">
      <c r="D357" s="61"/>
      <c r="E357" s="62"/>
      <c r="F357" s="63"/>
      <c r="G357" s="64"/>
      <c r="R357" s="148"/>
    </row>
    <row r="358" spans="4:18" ht="14.25" customHeight="1">
      <c r="D358" s="61"/>
      <c r="E358" s="62"/>
      <c r="F358" s="63"/>
      <c r="G358" s="64"/>
      <c r="R358" s="148"/>
    </row>
    <row r="359" spans="4:18" ht="14.25" customHeight="1">
      <c r="D359" s="61"/>
      <c r="E359" s="62"/>
      <c r="F359" s="63"/>
      <c r="G359" s="64"/>
      <c r="R359" s="148"/>
    </row>
    <row r="360" spans="4:18" ht="14.25" customHeight="1">
      <c r="D360" s="61"/>
      <c r="E360" s="62"/>
      <c r="F360" s="63"/>
      <c r="G360" s="64"/>
      <c r="R360" s="148"/>
    </row>
    <row r="361" spans="4:18" ht="14.25" customHeight="1">
      <c r="D361" s="61"/>
      <c r="E361" s="62"/>
      <c r="F361" s="63"/>
      <c r="G361" s="64"/>
      <c r="R361" s="148"/>
    </row>
    <row r="362" spans="4:18" ht="14.25" customHeight="1">
      <c r="D362" s="61"/>
      <c r="E362" s="62"/>
      <c r="F362" s="63"/>
      <c r="G362" s="64"/>
      <c r="R362" s="148"/>
    </row>
    <row r="363" spans="4:18" ht="14.25" customHeight="1">
      <c r="D363" s="61"/>
      <c r="E363" s="62"/>
      <c r="F363" s="63"/>
      <c r="G363" s="64"/>
      <c r="R363" s="148"/>
    </row>
    <row r="364" spans="4:18" ht="14.25" customHeight="1">
      <c r="D364" s="61"/>
      <c r="E364" s="62"/>
      <c r="F364" s="63"/>
      <c r="G364" s="64"/>
      <c r="R364" s="148"/>
    </row>
    <row r="365" spans="4:18" ht="14.25" customHeight="1">
      <c r="D365" s="61"/>
      <c r="E365" s="62"/>
      <c r="F365" s="63"/>
      <c r="G365" s="64"/>
      <c r="R365" s="148"/>
    </row>
    <row r="366" spans="4:18" ht="14.25" customHeight="1">
      <c r="D366" s="61"/>
      <c r="E366" s="62"/>
      <c r="F366" s="63"/>
      <c r="G366" s="64"/>
      <c r="R366" s="148"/>
    </row>
    <row r="367" spans="4:18" ht="14.25" customHeight="1">
      <c r="D367" s="61"/>
      <c r="E367" s="62"/>
      <c r="F367" s="63"/>
      <c r="G367" s="64"/>
      <c r="R367" s="148"/>
    </row>
    <row r="368" spans="4:18" ht="14.25" customHeight="1">
      <c r="D368" s="61"/>
      <c r="E368" s="62"/>
      <c r="F368" s="63"/>
      <c r="G368" s="64"/>
      <c r="R368" s="148"/>
    </row>
    <row r="369" spans="4:18" ht="14.25" customHeight="1">
      <c r="D369" s="61"/>
      <c r="E369" s="62"/>
      <c r="F369" s="63"/>
      <c r="G369" s="64"/>
      <c r="R369" s="148"/>
    </row>
    <row r="370" spans="4:18" ht="14.25" customHeight="1">
      <c r="D370" s="61"/>
      <c r="E370" s="62"/>
      <c r="F370" s="63"/>
      <c r="G370" s="64"/>
      <c r="R370" s="148"/>
    </row>
    <row r="371" spans="4:18" ht="14.25" customHeight="1">
      <c r="D371" s="61"/>
      <c r="E371" s="62"/>
      <c r="F371" s="63"/>
      <c r="G371" s="64"/>
      <c r="R371" s="148"/>
    </row>
    <row r="372" spans="4:18" ht="14.25" customHeight="1">
      <c r="D372" s="61"/>
      <c r="E372" s="62"/>
      <c r="F372" s="63"/>
      <c r="G372" s="64"/>
      <c r="R372" s="148"/>
    </row>
    <row r="373" spans="4:18" ht="14.25" customHeight="1">
      <c r="D373" s="61"/>
      <c r="E373" s="62"/>
      <c r="F373" s="63"/>
      <c r="G373" s="64"/>
      <c r="R373" s="148"/>
    </row>
    <row r="374" spans="4:18" ht="14.25" customHeight="1">
      <c r="D374" s="61"/>
      <c r="E374" s="62"/>
      <c r="F374" s="63"/>
      <c r="G374" s="64"/>
      <c r="R374" s="148"/>
    </row>
    <row r="375" spans="4:18" ht="14.25" customHeight="1">
      <c r="D375" s="61"/>
      <c r="E375" s="62"/>
      <c r="F375" s="63"/>
      <c r="G375" s="64"/>
      <c r="R375" s="148"/>
    </row>
    <row r="376" spans="4:18" ht="14.25" customHeight="1">
      <c r="D376" s="61"/>
      <c r="E376" s="62"/>
      <c r="F376" s="63"/>
      <c r="G376" s="64"/>
      <c r="R376" s="148"/>
    </row>
    <row r="377" spans="4:18" ht="14.25" customHeight="1">
      <c r="D377" s="61"/>
      <c r="E377" s="62"/>
      <c r="F377" s="63"/>
      <c r="G377" s="64"/>
      <c r="R377" s="148"/>
    </row>
    <row r="378" spans="4:18" ht="14.25" customHeight="1">
      <c r="D378" s="61"/>
      <c r="E378" s="62"/>
      <c r="F378" s="63"/>
      <c r="G378" s="64"/>
      <c r="R378" s="148"/>
    </row>
    <row r="379" spans="4:18" ht="14.25" customHeight="1">
      <c r="D379" s="61"/>
      <c r="E379" s="62"/>
      <c r="F379" s="63"/>
      <c r="G379" s="64"/>
      <c r="R379" s="148"/>
    </row>
    <row r="380" spans="4:18" ht="14.25" customHeight="1">
      <c r="D380" s="61"/>
      <c r="E380" s="62"/>
      <c r="F380" s="63"/>
      <c r="G380" s="64"/>
      <c r="R380" s="148"/>
    </row>
    <row r="381" spans="4:18" ht="14.25" customHeight="1">
      <c r="D381" s="61"/>
      <c r="E381" s="62"/>
      <c r="F381" s="63"/>
      <c r="G381" s="64"/>
      <c r="R381" s="148"/>
    </row>
    <row r="382" spans="4:18" ht="14.25" customHeight="1">
      <c r="D382" s="61"/>
      <c r="E382" s="62"/>
      <c r="F382" s="63"/>
      <c r="G382" s="64"/>
      <c r="R382" s="148"/>
    </row>
    <row r="383" spans="4:18" ht="14.25" customHeight="1">
      <c r="D383" s="61"/>
      <c r="E383" s="62"/>
      <c r="F383" s="63"/>
      <c r="G383" s="64"/>
      <c r="R383" s="148"/>
    </row>
    <row r="384" spans="4:18" ht="14.25" customHeight="1">
      <c r="D384" s="61"/>
      <c r="E384" s="62"/>
      <c r="F384" s="63"/>
      <c r="G384" s="64"/>
      <c r="R384" s="148"/>
    </row>
    <row r="385" spans="4:18" ht="14.25" customHeight="1">
      <c r="D385" s="61"/>
      <c r="E385" s="62"/>
      <c r="F385" s="63"/>
      <c r="G385" s="64"/>
      <c r="R385" s="148"/>
    </row>
    <row r="386" spans="4:18" ht="14.25" customHeight="1">
      <c r="D386" s="61"/>
      <c r="E386" s="62"/>
      <c r="F386" s="63"/>
      <c r="G386" s="64"/>
      <c r="R386" s="148"/>
    </row>
    <row r="387" spans="4:18" ht="14.25" customHeight="1">
      <c r="D387" s="61"/>
      <c r="E387" s="62"/>
      <c r="F387" s="63"/>
      <c r="G387" s="64"/>
      <c r="R387" s="148"/>
    </row>
    <row r="388" spans="4:18" ht="14.25" customHeight="1">
      <c r="D388" s="61"/>
      <c r="E388" s="62"/>
      <c r="F388" s="63"/>
      <c r="G388" s="64"/>
      <c r="R388" s="148"/>
    </row>
    <row r="389" spans="4:18" ht="14.25" customHeight="1">
      <c r="D389" s="61"/>
      <c r="E389" s="62"/>
      <c r="F389" s="63"/>
      <c r="G389" s="64"/>
      <c r="R389" s="148"/>
    </row>
    <row r="390" spans="4:18" ht="14.25" customHeight="1">
      <c r="D390" s="61"/>
      <c r="E390" s="62"/>
      <c r="F390" s="63"/>
      <c r="G390" s="64"/>
      <c r="R390" s="148"/>
    </row>
    <row r="391" spans="4:18" ht="14.25" customHeight="1">
      <c r="D391" s="61"/>
      <c r="E391" s="62"/>
      <c r="F391" s="63"/>
      <c r="G391" s="64"/>
      <c r="R391" s="148"/>
    </row>
    <row r="392" spans="4:18" ht="14.25" customHeight="1">
      <c r="D392" s="61"/>
      <c r="E392" s="62"/>
      <c r="F392" s="63"/>
      <c r="G392" s="64"/>
      <c r="R392" s="148"/>
    </row>
    <row r="393" spans="4:18" ht="14.25" customHeight="1">
      <c r="D393" s="61"/>
      <c r="E393" s="62"/>
      <c r="F393" s="63"/>
      <c r="G393" s="64"/>
      <c r="R393" s="148"/>
    </row>
    <row r="394" spans="4:18" ht="14.25" customHeight="1">
      <c r="D394" s="61"/>
      <c r="E394" s="62"/>
      <c r="F394" s="63"/>
      <c r="G394" s="64"/>
      <c r="R394" s="148"/>
    </row>
    <row r="395" spans="4:18" ht="14.25" customHeight="1">
      <c r="D395" s="61"/>
      <c r="E395" s="62"/>
      <c r="F395" s="63"/>
      <c r="G395" s="64"/>
      <c r="R395" s="148"/>
    </row>
    <row r="396" spans="4:18" ht="14.25" customHeight="1">
      <c r="D396" s="61"/>
      <c r="E396" s="62"/>
      <c r="F396" s="63"/>
      <c r="G396" s="64"/>
      <c r="R396" s="148"/>
    </row>
    <row r="397" spans="4:18" ht="14.25" customHeight="1">
      <c r="D397" s="61"/>
      <c r="E397" s="62"/>
      <c r="F397" s="63"/>
      <c r="G397" s="64"/>
      <c r="R397" s="148"/>
    </row>
    <row r="398" spans="4:18" ht="14.25" customHeight="1">
      <c r="D398" s="61"/>
      <c r="E398" s="62"/>
      <c r="F398" s="63"/>
      <c r="G398" s="64"/>
      <c r="R398" s="148"/>
    </row>
    <row r="399" spans="4:18" ht="14.25" customHeight="1">
      <c r="D399" s="61"/>
      <c r="E399" s="62"/>
      <c r="F399" s="63"/>
      <c r="G399" s="64"/>
      <c r="R399" s="148"/>
    </row>
    <row r="400" spans="4:18" ht="14.25" customHeight="1">
      <c r="D400" s="61"/>
      <c r="E400" s="62"/>
      <c r="F400" s="63"/>
      <c r="G400" s="64"/>
      <c r="R400" s="148"/>
    </row>
    <row r="401" spans="4:18" ht="14.25" customHeight="1">
      <c r="D401" s="61"/>
      <c r="E401" s="62"/>
      <c r="F401" s="63"/>
      <c r="G401" s="64"/>
      <c r="R401" s="148"/>
    </row>
    <row r="402" spans="4:18" ht="14.25" customHeight="1">
      <c r="D402" s="61"/>
      <c r="E402" s="62"/>
      <c r="F402" s="63"/>
      <c r="G402" s="64"/>
      <c r="R402" s="148"/>
    </row>
    <row r="403" spans="4:18" ht="14.25" customHeight="1">
      <c r="D403" s="61"/>
      <c r="E403" s="62"/>
      <c r="F403" s="63"/>
      <c r="G403" s="64"/>
      <c r="R403" s="148"/>
    </row>
    <row r="404" spans="4:18" ht="14.25" customHeight="1">
      <c r="D404" s="61"/>
      <c r="E404" s="62"/>
      <c r="F404" s="63"/>
      <c r="G404" s="64"/>
      <c r="R404" s="148"/>
    </row>
    <row r="405" spans="4:18" ht="14.25" customHeight="1">
      <c r="D405" s="61"/>
      <c r="E405" s="62"/>
      <c r="F405" s="63"/>
      <c r="G405" s="64"/>
      <c r="R405" s="148"/>
    </row>
    <row r="406" spans="4:18" ht="14.25" customHeight="1">
      <c r="D406" s="61"/>
      <c r="E406" s="62"/>
      <c r="F406" s="63"/>
      <c r="G406" s="64"/>
      <c r="R406" s="148"/>
    </row>
    <row r="407" spans="4:18" ht="14.25" customHeight="1">
      <c r="D407" s="61"/>
      <c r="E407" s="62"/>
      <c r="F407" s="63"/>
      <c r="G407" s="64"/>
      <c r="R407" s="148"/>
    </row>
    <row r="408" spans="4:18" ht="14.25" customHeight="1">
      <c r="D408" s="61"/>
      <c r="E408" s="62"/>
      <c r="F408" s="63"/>
      <c r="G408" s="64"/>
      <c r="R408" s="148"/>
    </row>
    <row r="409" spans="4:18" ht="14.25" customHeight="1">
      <c r="D409" s="61"/>
      <c r="E409" s="62"/>
      <c r="F409" s="63"/>
      <c r="G409" s="64"/>
      <c r="R409" s="148"/>
    </row>
    <row r="410" spans="4:18" ht="14.25" customHeight="1">
      <c r="D410" s="61"/>
      <c r="E410" s="62"/>
      <c r="F410" s="63"/>
      <c r="G410" s="64"/>
      <c r="R410" s="148"/>
    </row>
    <row r="411" spans="4:18" ht="14.25" customHeight="1">
      <c r="D411" s="61"/>
      <c r="E411" s="62"/>
      <c r="F411" s="63"/>
      <c r="G411" s="64"/>
      <c r="R411" s="148"/>
    </row>
    <row r="412" spans="4:18" ht="14.25" customHeight="1">
      <c r="D412" s="61"/>
      <c r="E412" s="62"/>
      <c r="F412" s="63"/>
      <c r="G412" s="64"/>
      <c r="R412" s="148"/>
    </row>
    <row r="413" spans="4:18" ht="14.25" customHeight="1">
      <c r="D413" s="61"/>
      <c r="E413" s="62"/>
      <c r="F413" s="63"/>
      <c r="G413" s="64"/>
      <c r="R413" s="148"/>
    </row>
    <row r="414" spans="4:18" ht="14.25" customHeight="1">
      <c r="D414" s="61"/>
      <c r="E414" s="62"/>
      <c r="F414" s="63"/>
      <c r="G414" s="64"/>
      <c r="R414" s="148"/>
    </row>
    <row r="415" spans="4:18" ht="14.25" customHeight="1">
      <c r="D415" s="61"/>
      <c r="E415" s="62"/>
      <c r="F415" s="63"/>
      <c r="G415" s="64"/>
      <c r="R415" s="148"/>
    </row>
    <row r="416" spans="4:18" ht="14.25" customHeight="1">
      <c r="D416" s="61"/>
      <c r="E416" s="62"/>
      <c r="F416" s="63"/>
      <c r="G416" s="64"/>
      <c r="R416" s="148"/>
    </row>
    <row r="417" spans="4:18" ht="14.25" customHeight="1">
      <c r="D417" s="61"/>
      <c r="E417" s="62"/>
      <c r="F417" s="63"/>
      <c r="G417" s="64"/>
      <c r="R417" s="148"/>
    </row>
    <row r="418" spans="4:18" ht="14.25" customHeight="1">
      <c r="D418" s="61"/>
      <c r="E418" s="62"/>
      <c r="F418" s="63"/>
      <c r="G418" s="64"/>
      <c r="R418" s="148"/>
    </row>
    <row r="419" spans="4:18" ht="14.25" customHeight="1">
      <c r="D419" s="61"/>
      <c r="E419" s="62"/>
      <c r="F419" s="63"/>
      <c r="G419" s="64"/>
      <c r="R419" s="148"/>
    </row>
    <row r="420" spans="4:18" ht="14.25" customHeight="1">
      <c r="D420" s="61"/>
      <c r="E420" s="62"/>
      <c r="F420" s="63"/>
      <c r="G420" s="64"/>
      <c r="R420" s="148"/>
    </row>
    <row r="421" spans="4:18" ht="14.25" customHeight="1">
      <c r="D421" s="61"/>
      <c r="E421" s="62"/>
      <c r="F421" s="63"/>
      <c r="G421" s="64"/>
      <c r="R421" s="148"/>
    </row>
    <row r="422" spans="4:18" ht="14.25" customHeight="1">
      <c r="D422" s="61"/>
      <c r="E422" s="62"/>
      <c r="F422" s="63"/>
      <c r="G422" s="64"/>
      <c r="R422" s="148"/>
    </row>
    <row r="423" spans="4:18" ht="14.25" customHeight="1">
      <c r="D423" s="61"/>
      <c r="E423" s="62"/>
      <c r="F423" s="63"/>
      <c r="G423" s="64"/>
      <c r="R423" s="148"/>
    </row>
    <row r="424" spans="4:18" ht="14.25" customHeight="1">
      <c r="D424" s="61"/>
      <c r="E424" s="62"/>
      <c r="F424" s="63"/>
      <c r="G424" s="64"/>
      <c r="R424" s="148"/>
    </row>
    <row r="425" spans="4:18" ht="14.25" customHeight="1">
      <c r="D425" s="61"/>
      <c r="E425" s="62"/>
      <c r="F425" s="63"/>
      <c r="G425" s="64"/>
      <c r="R425" s="148"/>
    </row>
    <row r="426" spans="4:18" ht="14.25" customHeight="1">
      <c r="D426" s="61"/>
      <c r="E426" s="62"/>
      <c r="F426" s="63"/>
      <c r="G426" s="64"/>
      <c r="R426" s="148"/>
    </row>
    <row r="427" spans="4:18" ht="14.25" customHeight="1">
      <c r="D427" s="61"/>
      <c r="E427" s="62"/>
      <c r="F427" s="63"/>
      <c r="G427" s="64"/>
      <c r="R427" s="148"/>
    </row>
    <row r="428" spans="4:18" ht="14.25" customHeight="1">
      <c r="D428" s="61"/>
      <c r="E428" s="62"/>
      <c r="F428" s="63"/>
      <c r="G428" s="64"/>
      <c r="R428" s="148"/>
    </row>
    <row r="429" spans="4:18" ht="14.25" customHeight="1">
      <c r="D429" s="61"/>
      <c r="E429" s="62"/>
      <c r="F429" s="63"/>
      <c r="G429" s="64"/>
      <c r="R429" s="148"/>
    </row>
    <row r="430" spans="4:18" ht="14.25" customHeight="1">
      <c r="D430" s="61"/>
      <c r="E430" s="62"/>
      <c r="F430" s="63"/>
      <c r="G430" s="64"/>
      <c r="R430" s="148"/>
    </row>
    <row r="431" spans="4:18" ht="14.25" customHeight="1">
      <c r="D431" s="61"/>
      <c r="E431" s="62"/>
      <c r="F431" s="63"/>
      <c r="G431" s="64"/>
      <c r="R431" s="148"/>
    </row>
    <row r="432" spans="4:18" ht="14.25" customHeight="1">
      <c r="D432" s="61"/>
      <c r="E432" s="62"/>
      <c r="F432" s="63"/>
      <c r="G432" s="64"/>
      <c r="R432" s="148"/>
    </row>
    <row r="433" spans="4:18" ht="14.25" customHeight="1">
      <c r="D433" s="61"/>
      <c r="E433" s="62"/>
      <c r="F433" s="63"/>
      <c r="G433" s="64"/>
      <c r="R433" s="148"/>
    </row>
    <row r="434" spans="4:18" ht="14.25" customHeight="1">
      <c r="D434" s="61"/>
      <c r="E434" s="62"/>
      <c r="F434" s="63"/>
      <c r="G434" s="64"/>
      <c r="R434" s="148"/>
    </row>
    <row r="435" spans="4:18" ht="14.25" customHeight="1">
      <c r="D435" s="61"/>
      <c r="E435" s="62"/>
      <c r="F435" s="63"/>
      <c r="G435" s="64"/>
      <c r="R435" s="148"/>
    </row>
    <row r="436" spans="4:18" ht="14.25" customHeight="1">
      <c r="D436" s="61"/>
      <c r="E436" s="62"/>
      <c r="F436" s="63"/>
      <c r="G436" s="64"/>
      <c r="R436" s="148"/>
    </row>
    <row r="437" spans="4:18" ht="14.25" customHeight="1">
      <c r="D437" s="61"/>
      <c r="E437" s="62"/>
      <c r="F437" s="63"/>
      <c r="G437" s="64"/>
      <c r="R437" s="148"/>
    </row>
    <row r="438" spans="4:18" ht="14.25" customHeight="1">
      <c r="D438" s="61"/>
      <c r="E438" s="62"/>
      <c r="F438" s="63"/>
      <c r="G438" s="64"/>
      <c r="R438" s="148"/>
    </row>
    <row r="439" spans="4:18" ht="14.25" customHeight="1">
      <c r="D439" s="61"/>
      <c r="E439" s="62"/>
      <c r="F439" s="63"/>
      <c r="G439" s="64"/>
      <c r="R439" s="148"/>
    </row>
    <row r="440" spans="4:18" ht="14.25" customHeight="1">
      <c r="D440" s="61"/>
      <c r="E440" s="62"/>
      <c r="F440" s="63"/>
      <c r="G440" s="64"/>
      <c r="R440" s="148"/>
    </row>
    <row r="441" spans="4:18" ht="14.25" customHeight="1">
      <c r="D441" s="61"/>
      <c r="E441" s="62"/>
      <c r="F441" s="63"/>
      <c r="G441" s="64"/>
      <c r="R441" s="148"/>
    </row>
    <row r="442" spans="4:18" ht="14.25" customHeight="1">
      <c r="D442" s="61"/>
      <c r="E442" s="62"/>
      <c r="F442" s="63"/>
      <c r="G442" s="64"/>
      <c r="R442" s="148"/>
    </row>
    <row r="443" spans="4:18" ht="14.25" customHeight="1">
      <c r="D443" s="61"/>
      <c r="E443" s="62"/>
      <c r="F443" s="63"/>
      <c r="G443" s="64"/>
      <c r="R443" s="148"/>
    </row>
    <row r="444" spans="4:18" ht="14.25" customHeight="1">
      <c r="D444" s="61"/>
      <c r="E444" s="62"/>
      <c r="F444" s="63"/>
      <c r="G444" s="64"/>
      <c r="R444" s="148"/>
    </row>
    <row r="445" spans="4:18" ht="14.25" customHeight="1">
      <c r="D445" s="61"/>
      <c r="E445" s="62"/>
      <c r="F445" s="63"/>
      <c r="G445" s="64"/>
      <c r="R445" s="148"/>
    </row>
    <row r="446" spans="4:18" ht="14.25" customHeight="1">
      <c r="D446" s="61"/>
      <c r="E446" s="62"/>
      <c r="F446" s="63"/>
      <c r="G446" s="64"/>
      <c r="R446" s="148"/>
    </row>
    <row r="447" spans="4:18" ht="14.25" customHeight="1">
      <c r="D447" s="61"/>
      <c r="E447" s="62"/>
      <c r="F447" s="63"/>
      <c r="G447" s="64"/>
      <c r="R447" s="148"/>
    </row>
    <row r="448" spans="4:18" ht="14.25" customHeight="1">
      <c r="D448" s="61"/>
      <c r="E448" s="62"/>
      <c r="F448" s="63"/>
      <c r="G448" s="64"/>
      <c r="R448" s="148"/>
    </row>
    <row r="449" spans="4:18" ht="14.25" customHeight="1">
      <c r="D449" s="61"/>
      <c r="E449" s="62"/>
      <c r="F449" s="63"/>
      <c r="G449" s="64"/>
      <c r="R449" s="148"/>
    </row>
    <row r="450" spans="4:18" ht="14.25" customHeight="1">
      <c r="D450" s="61"/>
      <c r="E450" s="62"/>
      <c r="F450" s="63"/>
      <c r="G450" s="64"/>
      <c r="R450" s="148"/>
    </row>
    <row r="451" spans="4:18" ht="14.25" customHeight="1">
      <c r="D451" s="61"/>
      <c r="E451" s="62"/>
      <c r="F451" s="63"/>
      <c r="G451" s="64"/>
      <c r="R451" s="148"/>
    </row>
    <row r="452" spans="4:18" ht="14.25" customHeight="1">
      <c r="D452" s="61"/>
      <c r="E452" s="62"/>
      <c r="F452" s="63"/>
      <c r="G452" s="64"/>
      <c r="R452" s="148"/>
    </row>
    <row r="453" spans="4:18" ht="14.25" customHeight="1">
      <c r="D453" s="61"/>
      <c r="E453" s="62"/>
      <c r="F453" s="63"/>
      <c r="G453" s="64"/>
      <c r="R453" s="148"/>
    </row>
    <row r="454" spans="4:18" ht="14.25" customHeight="1">
      <c r="D454" s="61"/>
      <c r="E454" s="62"/>
      <c r="F454" s="63"/>
      <c r="G454" s="64"/>
      <c r="R454" s="148"/>
    </row>
    <row r="455" spans="4:18" ht="14.25" customHeight="1">
      <c r="D455" s="61"/>
      <c r="E455" s="62"/>
      <c r="F455" s="63"/>
      <c r="G455" s="64"/>
      <c r="R455" s="148"/>
    </row>
    <row r="456" spans="4:18" ht="14.25" customHeight="1">
      <c r="D456" s="61"/>
      <c r="E456" s="62"/>
      <c r="F456" s="63"/>
      <c r="G456" s="64"/>
      <c r="R456" s="148"/>
    </row>
    <row r="457" spans="4:18" ht="14.25" customHeight="1">
      <c r="D457" s="61"/>
      <c r="E457" s="62"/>
      <c r="F457" s="63"/>
      <c r="G457" s="64"/>
      <c r="R457" s="148"/>
    </row>
    <row r="458" spans="4:18" ht="14.25" customHeight="1">
      <c r="D458" s="61"/>
      <c r="E458" s="62"/>
      <c r="F458" s="63"/>
      <c r="G458" s="64"/>
      <c r="R458" s="148"/>
    </row>
    <row r="459" spans="4:18" ht="14.25" customHeight="1">
      <c r="D459" s="61"/>
      <c r="E459" s="62"/>
      <c r="F459" s="63"/>
      <c r="G459" s="64"/>
      <c r="R459" s="148"/>
    </row>
    <row r="460" spans="4:18" ht="14.25" customHeight="1">
      <c r="D460" s="61"/>
      <c r="E460" s="62"/>
      <c r="F460" s="63"/>
      <c r="G460" s="64"/>
      <c r="R460" s="148"/>
    </row>
    <row r="461" spans="4:18" ht="14.25" customHeight="1">
      <c r="D461" s="61"/>
      <c r="E461" s="62"/>
      <c r="F461" s="63"/>
      <c r="G461" s="64"/>
      <c r="R461" s="148"/>
    </row>
    <row r="462" spans="4:18" ht="14.25" customHeight="1">
      <c r="D462" s="61"/>
      <c r="E462" s="62"/>
      <c r="F462" s="63"/>
      <c r="G462" s="64"/>
      <c r="R462" s="148"/>
    </row>
    <row r="463" spans="4:18" ht="14.25" customHeight="1">
      <c r="D463" s="61"/>
      <c r="E463" s="62"/>
      <c r="F463" s="63"/>
      <c r="G463" s="64"/>
      <c r="R463" s="148"/>
    </row>
    <row r="464" spans="4:18" ht="14.25" customHeight="1">
      <c r="D464" s="61"/>
      <c r="E464" s="62"/>
      <c r="F464" s="63"/>
      <c r="G464" s="64"/>
      <c r="R464" s="148"/>
    </row>
    <row r="465" spans="4:18" ht="14.25" customHeight="1">
      <c r="D465" s="61"/>
      <c r="E465" s="62"/>
      <c r="F465" s="63"/>
      <c r="G465" s="64"/>
      <c r="R465" s="148"/>
    </row>
    <row r="466" spans="4:18" ht="14.25" customHeight="1">
      <c r="D466" s="61"/>
      <c r="E466" s="62"/>
      <c r="F466" s="63"/>
      <c r="G466" s="64"/>
      <c r="R466" s="148"/>
    </row>
    <row r="467" spans="4:18" ht="14.25" customHeight="1">
      <c r="D467" s="61"/>
      <c r="E467" s="62"/>
      <c r="F467" s="63"/>
      <c r="G467" s="64"/>
      <c r="R467" s="148"/>
    </row>
    <row r="468" spans="4:18" ht="14.25" customHeight="1">
      <c r="D468" s="61"/>
      <c r="E468" s="62"/>
      <c r="F468" s="63"/>
      <c r="G468" s="64"/>
      <c r="R468" s="148"/>
    </row>
    <row r="469" spans="4:18" ht="14.25" customHeight="1">
      <c r="D469" s="61"/>
      <c r="E469" s="62"/>
      <c r="F469" s="63"/>
      <c r="G469" s="64"/>
      <c r="R469" s="148"/>
    </row>
    <row r="470" spans="4:18" ht="14.25" customHeight="1">
      <c r="D470" s="61"/>
      <c r="E470" s="62"/>
      <c r="F470" s="63"/>
      <c r="G470" s="64"/>
      <c r="R470" s="148"/>
    </row>
    <row r="471" spans="4:18" ht="14.25" customHeight="1">
      <c r="D471" s="61"/>
      <c r="E471" s="62"/>
      <c r="F471" s="63"/>
      <c r="G471" s="64"/>
      <c r="R471" s="148"/>
    </row>
    <row r="472" spans="4:18" ht="14.25" customHeight="1">
      <c r="D472" s="61"/>
      <c r="E472" s="62"/>
      <c r="F472" s="63"/>
      <c r="G472" s="64"/>
      <c r="R472" s="148"/>
    </row>
    <row r="473" spans="4:18" ht="14.25" customHeight="1">
      <c r="D473" s="61"/>
      <c r="E473" s="62"/>
      <c r="F473" s="63"/>
      <c r="G473" s="64"/>
      <c r="R473" s="148"/>
    </row>
    <row r="474" spans="4:18" ht="14.25" customHeight="1">
      <c r="D474" s="61"/>
      <c r="E474" s="62"/>
      <c r="F474" s="63"/>
      <c r="G474" s="64"/>
      <c r="R474" s="148"/>
    </row>
    <row r="475" spans="4:18" ht="14.25" customHeight="1">
      <c r="D475" s="61"/>
      <c r="E475" s="62"/>
      <c r="F475" s="63"/>
      <c r="G475" s="64"/>
      <c r="R475" s="148"/>
    </row>
    <row r="476" spans="4:18" ht="14.25" customHeight="1">
      <c r="D476" s="61"/>
      <c r="E476" s="62"/>
      <c r="F476" s="63"/>
      <c r="G476" s="64"/>
      <c r="R476" s="148"/>
    </row>
    <row r="477" spans="4:18" ht="14.25" customHeight="1">
      <c r="D477" s="61"/>
      <c r="E477" s="62"/>
      <c r="F477" s="63"/>
      <c r="G477" s="64"/>
      <c r="R477" s="148"/>
    </row>
    <row r="478" spans="4:18" ht="14.25" customHeight="1">
      <c r="D478" s="61"/>
      <c r="E478" s="62"/>
      <c r="F478" s="63"/>
      <c r="G478" s="64"/>
      <c r="R478" s="148"/>
    </row>
    <row r="479" spans="4:18" ht="14.25" customHeight="1">
      <c r="D479" s="61"/>
      <c r="E479" s="62"/>
      <c r="F479" s="63"/>
      <c r="G479" s="64"/>
      <c r="R479" s="148"/>
    </row>
    <row r="480" spans="4:18" ht="14.25" customHeight="1">
      <c r="D480" s="61"/>
      <c r="E480" s="62"/>
      <c r="F480" s="63"/>
      <c r="G480" s="64"/>
      <c r="R480" s="148"/>
    </row>
    <row r="481" spans="4:18" ht="14.25" customHeight="1">
      <c r="D481" s="61"/>
      <c r="E481" s="62"/>
      <c r="F481" s="63"/>
      <c r="G481" s="64"/>
      <c r="R481" s="148"/>
    </row>
    <row r="482" spans="4:18" ht="14.25" customHeight="1">
      <c r="D482" s="61"/>
      <c r="E482" s="62"/>
      <c r="F482" s="63"/>
      <c r="G482" s="64"/>
      <c r="R482" s="148"/>
    </row>
    <row r="483" spans="4:18" ht="14.25" customHeight="1">
      <c r="D483" s="61"/>
      <c r="E483" s="62"/>
      <c r="F483" s="63"/>
      <c r="G483" s="64"/>
      <c r="R483" s="148"/>
    </row>
    <row r="484" spans="4:18" ht="14.25" customHeight="1">
      <c r="D484" s="61"/>
      <c r="E484" s="62"/>
      <c r="F484" s="63"/>
      <c r="G484" s="64"/>
      <c r="R484" s="148"/>
    </row>
    <row r="485" spans="4:18" ht="14.25" customHeight="1">
      <c r="D485" s="61"/>
      <c r="E485" s="62"/>
      <c r="F485" s="63"/>
      <c r="G485" s="64"/>
      <c r="R485" s="148"/>
    </row>
    <row r="486" spans="4:18" ht="14.25" customHeight="1">
      <c r="D486" s="61"/>
      <c r="E486" s="62"/>
      <c r="F486" s="63"/>
      <c r="G486" s="64"/>
      <c r="R486" s="148"/>
    </row>
    <row r="487" spans="4:18" ht="14.25" customHeight="1">
      <c r="D487" s="61"/>
      <c r="E487" s="62"/>
      <c r="F487" s="63"/>
      <c r="G487" s="64"/>
      <c r="R487" s="148"/>
    </row>
    <row r="488" spans="4:18" ht="14.25" customHeight="1">
      <c r="D488" s="61"/>
      <c r="E488" s="62"/>
      <c r="F488" s="63"/>
      <c r="G488" s="64"/>
      <c r="R488" s="148"/>
    </row>
    <row r="489" spans="4:18" ht="14.25" customHeight="1">
      <c r="D489" s="61"/>
      <c r="E489" s="62"/>
      <c r="F489" s="63"/>
      <c r="G489" s="64"/>
      <c r="R489" s="148"/>
    </row>
    <row r="490" spans="4:18" ht="14.25" customHeight="1">
      <c r="D490" s="61"/>
      <c r="E490" s="62"/>
      <c r="F490" s="63"/>
      <c r="G490" s="64"/>
      <c r="R490" s="148"/>
    </row>
    <row r="491" spans="4:18" ht="14.25" customHeight="1">
      <c r="D491" s="61"/>
      <c r="E491" s="62"/>
      <c r="F491" s="63"/>
      <c r="G491" s="64"/>
      <c r="R491" s="148"/>
    </row>
    <row r="492" spans="4:18" ht="14.25" customHeight="1">
      <c r="D492" s="61"/>
      <c r="E492" s="62"/>
      <c r="F492" s="63"/>
      <c r="G492" s="64"/>
      <c r="R492" s="148"/>
    </row>
    <row r="493" spans="4:18" ht="14.25" customHeight="1">
      <c r="D493" s="61"/>
      <c r="E493" s="62"/>
      <c r="F493" s="63"/>
      <c r="G493" s="64"/>
      <c r="R493" s="148"/>
    </row>
    <row r="494" spans="4:18" ht="14.25" customHeight="1">
      <c r="D494" s="61"/>
      <c r="E494" s="62"/>
      <c r="F494" s="63"/>
      <c r="G494" s="64"/>
      <c r="R494" s="148"/>
    </row>
    <row r="495" spans="4:18" ht="14.25" customHeight="1">
      <c r="D495" s="61"/>
      <c r="E495" s="62"/>
      <c r="F495" s="63"/>
      <c r="G495" s="64"/>
      <c r="R495" s="148"/>
    </row>
    <row r="496" spans="4:18" ht="14.25" customHeight="1">
      <c r="D496" s="61"/>
      <c r="E496" s="62"/>
      <c r="F496" s="63"/>
      <c r="G496" s="64"/>
      <c r="R496" s="148"/>
    </row>
    <row r="497" spans="4:18" ht="14.25" customHeight="1">
      <c r="D497" s="61"/>
      <c r="E497" s="62"/>
      <c r="F497" s="63"/>
      <c r="G497" s="64"/>
      <c r="R497" s="148"/>
    </row>
    <row r="498" spans="4:18" ht="14.25" customHeight="1">
      <c r="D498" s="61"/>
      <c r="E498" s="62"/>
      <c r="F498" s="63"/>
      <c r="G498" s="64"/>
      <c r="R498" s="148"/>
    </row>
    <row r="499" spans="4:18" ht="14.25" customHeight="1">
      <c r="D499" s="61"/>
      <c r="E499" s="62"/>
      <c r="F499" s="63"/>
      <c r="G499" s="64"/>
      <c r="R499" s="148"/>
    </row>
    <row r="500" spans="4:18" ht="14.25" customHeight="1">
      <c r="D500" s="61"/>
      <c r="E500" s="62"/>
      <c r="F500" s="63"/>
      <c r="G500" s="64"/>
      <c r="R500" s="148"/>
    </row>
    <row r="501" spans="4:18" ht="14.25" customHeight="1">
      <c r="D501" s="61"/>
      <c r="E501" s="62"/>
      <c r="F501" s="63"/>
      <c r="G501" s="64"/>
      <c r="R501" s="148"/>
    </row>
    <row r="502" spans="4:18" ht="14.25" customHeight="1">
      <c r="D502" s="61"/>
      <c r="E502" s="62"/>
      <c r="F502" s="63"/>
      <c r="G502" s="64"/>
      <c r="R502" s="148"/>
    </row>
    <row r="503" spans="4:18" ht="14.25" customHeight="1">
      <c r="D503" s="61"/>
      <c r="E503" s="62"/>
      <c r="F503" s="63"/>
      <c r="G503" s="64"/>
      <c r="R503" s="148"/>
    </row>
    <row r="504" spans="4:18" ht="14.25" customHeight="1">
      <c r="D504" s="61"/>
      <c r="E504" s="62"/>
      <c r="F504" s="63"/>
      <c r="G504" s="64"/>
      <c r="R504" s="148"/>
    </row>
    <row r="505" spans="4:18" ht="14.25" customHeight="1">
      <c r="D505" s="61"/>
      <c r="E505" s="62"/>
      <c r="F505" s="63"/>
      <c r="G505" s="64"/>
      <c r="R505" s="148"/>
    </row>
    <row r="506" spans="4:18" ht="14.25" customHeight="1">
      <c r="D506" s="61"/>
      <c r="E506" s="62"/>
      <c r="F506" s="63"/>
      <c r="G506" s="64"/>
      <c r="R506" s="148"/>
    </row>
    <row r="507" spans="4:18" ht="14.25" customHeight="1">
      <c r="D507" s="61"/>
      <c r="E507" s="62"/>
      <c r="F507" s="63"/>
      <c r="G507" s="64"/>
      <c r="R507" s="148"/>
    </row>
    <row r="508" spans="4:18" ht="14.25" customHeight="1">
      <c r="D508" s="61"/>
      <c r="E508" s="62"/>
      <c r="F508" s="63"/>
      <c r="G508" s="64"/>
      <c r="R508" s="148"/>
    </row>
    <row r="509" spans="4:18" ht="14.25" customHeight="1">
      <c r="D509" s="61"/>
      <c r="E509" s="62"/>
      <c r="F509" s="63"/>
      <c r="G509" s="64"/>
      <c r="R509" s="148"/>
    </row>
    <row r="510" spans="4:18" ht="14.25" customHeight="1">
      <c r="D510" s="61"/>
      <c r="E510" s="62"/>
      <c r="F510" s="63"/>
      <c r="G510" s="64"/>
      <c r="R510" s="148"/>
    </row>
    <row r="511" spans="4:18" ht="14.25" customHeight="1">
      <c r="D511" s="61"/>
      <c r="E511" s="62"/>
      <c r="F511" s="63"/>
      <c r="G511" s="64"/>
      <c r="R511" s="148"/>
    </row>
    <row r="512" spans="4:18" ht="14.25" customHeight="1">
      <c r="D512" s="61"/>
      <c r="E512" s="62"/>
      <c r="F512" s="63"/>
      <c r="G512" s="64"/>
      <c r="R512" s="148"/>
    </row>
    <row r="513" spans="4:18" ht="14.25" customHeight="1">
      <c r="D513" s="61"/>
      <c r="E513" s="62"/>
      <c r="F513" s="63"/>
      <c r="G513" s="64"/>
      <c r="R513" s="148"/>
    </row>
    <row r="514" spans="4:18" ht="14.25" customHeight="1">
      <c r="D514" s="61"/>
      <c r="E514" s="62"/>
      <c r="F514" s="63"/>
      <c r="G514" s="64"/>
      <c r="R514" s="148"/>
    </row>
    <row r="515" spans="4:18" ht="14.25" customHeight="1">
      <c r="D515" s="61"/>
      <c r="E515" s="62"/>
      <c r="F515" s="63"/>
      <c r="G515" s="64"/>
      <c r="R515" s="148"/>
    </row>
    <row r="516" spans="4:18" ht="14.25" customHeight="1">
      <c r="D516" s="61"/>
      <c r="E516" s="62"/>
      <c r="F516" s="63"/>
      <c r="G516" s="64"/>
      <c r="R516" s="148"/>
    </row>
    <row r="517" spans="4:18" ht="14.25" customHeight="1">
      <c r="D517" s="61"/>
      <c r="E517" s="62"/>
      <c r="F517" s="63"/>
      <c r="G517" s="64"/>
      <c r="R517" s="148"/>
    </row>
    <row r="518" spans="4:18" ht="14.25" customHeight="1">
      <c r="D518" s="61"/>
      <c r="E518" s="62"/>
      <c r="F518" s="63"/>
      <c r="G518" s="64"/>
      <c r="R518" s="148"/>
    </row>
    <row r="519" spans="4:18" ht="14.25" customHeight="1">
      <c r="D519" s="61"/>
      <c r="E519" s="62"/>
      <c r="F519" s="63"/>
      <c r="G519" s="64"/>
      <c r="R519" s="148"/>
    </row>
    <row r="520" spans="4:18" ht="14.25" customHeight="1">
      <c r="D520" s="61"/>
      <c r="E520" s="62"/>
      <c r="F520" s="63"/>
      <c r="G520" s="64"/>
      <c r="R520" s="148"/>
    </row>
    <row r="521" spans="4:18" ht="14.25" customHeight="1">
      <c r="D521" s="61"/>
      <c r="E521" s="62"/>
      <c r="F521" s="63"/>
      <c r="G521" s="64"/>
      <c r="R521" s="148"/>
    </row>
    <row r="522" spans="4:18" ht="14.25" customHeight="1">
      <c r="D522" s="61"/>
      <c r="E522" s="62"/>
      <c r="F522" s="63"/>
      <c r="G522" s="64"/>
      <c r="R522" s="148"/>
    </row>
    <row r="523" spans="4:18" ht="14.25" customHeight="1">
      <c r="D523" s="61"/>
      <c r="E523" s="62"/>
      <c r="F523" s="63"/>
      <c r="G523" s="64"/>
      <c r="R523" s="148"/>
    </row>
    <row r="524" spans="4:18" ht="14.25" customHeight="1">
      <c r="D524" s="61"/>
      <c r="E524" s="62"/>
      <c r="F524" s="63"/>
      <c r="G524" s="64"/>
      <c r="R524" s="148"/>
    </row>
    <row r="525" spans="4:18" ht="14.25" customHeight="1">
      <c r="D525" s="61"/>
      <c r="E525" s="62"/>
      <c r="F525" s="63"/>
      <c r="G525" s="64"/>
      <c r="R525" s="148"/>
    </row>
    <row r="526" spans="4:18" ht="14.25" customHeight="1">
      <c r="D526" s="61"/>
      <c r="E526" s="62"/>
      <c r="F526" s="63"/>
      <c r="G526" s="64"/>
      <c r="R526" s="148"/>
    </row>
    <row r="527" spans="4:18" ht="14.25" customHeight="1">
      <c r="D527" s="61"/>
      <c r="E527" s="62"/>
      <c r="F527" s="63"/>
      <c r="G527" s="64"/>
      <c r="R527" s="148"/>
    </row>
    <row r="528" spans="4:18" ht="14.25" customHeight="1">
      <c r="D528" s="61"/>
      <c r="E528" s="62"/>
      <c r="F528" s="63"/>
      <c r="G528" s="64"/>
      <c r="R528" s="148"/>
    </row>
    <row r="529" spans="4:18" ht="14.25" customHeight="1">
      <c r="D529" s="61"/>
      <c r="E529" s="62"/>
      <c r="F529" s="63"/>
      <c r="G529" s="64"/>
      <c r="R529" s="148"/>
    </row>
    <row r="530" spans="4:18" ht="14.25" customHeight="1">
      <c r="D530" s="61"/>
      <c r="E530" s="62"/>
      <c r="F530" s="63"/>
      <c r="G530" s="64"/>
      <c r="R530" s="148"/>
    </row>
    <row r="531" spans="4:18" ht="14.25" customHeight="1">
      <c r="D531" s="61"/>
      <c r="E531" s="62"/>
      <c r="F531" s="63"/>
      <c r="G531" s="64"/>
      <c r="R531" s="148"/>
    </row>
    <row r="532" spans="4:18" ht="14.25" customHeight="1">
      <c r="D532" s="61"/>
      <c r="E532" s="62"/>
      <c r="F532" s="63"/>
      <c r="G532" s="64"/>
      <c r="R532" s="148"/>
    </row>
    <row r="533" spans="4:18" ht="14.25" customHeight="1">
      <c r="D533" s="61"/>
      <c r="E533" s="62"/>
      <c r="F533" s="63"/>
      <c r="G533" s="64"/>
      <c r="R533" s="148"/>
    </row>
    <row r="534" spans="4:18" ht="14.25" customHeight="1">
      <c r="D534" s="61"/>
      <c r="E534" s="62"/>
      <c r="F534" s="63"/>
      <c r="G534" s="64"/>
      <c r="R534" s="148"/>
    </row>
    <row r="535" spans="4:18" ht="14.25" customHeight="1">
      <c r="D535" s="61"/>
      <c r="E535" s="62"/>
      <c r="F535" s="63"/>
      <c r="G535" s="64"/>
      <c r="R535" s="148"/>
    </row>
    <row r="536" spans="4:18" ht="14.25" customHeight="1">
      <c r="D536" s="61"/>
      <c r="E536" s="62"/>
      <c r="F536" s="63"/>
      <c r="G536" s="64"/>
      <c r="R536" s="148"/>
    </row>
    <row r="537" spans="4:18" ht="14.25" customHeight="1">
      <c r="D537" s="61"/>
      <c r="E537" s="62"/>
      <c r="F537" s="63"/>
      <c r="G537" s="64"/>
      <c r="R537" s="148"/>
    </row>
    <row r="538" spans="4:18" ht="14.25" customHeight="1">
      <c r="D538" s="61"/>
      <c r="E538" s="62"/>
      <c r="F538" s="63"/>
      <c r="G538" s="64"/>
      <c r="R538" s="148"/>
    </row>
    <row r="539" spans="4:18" ht="14.25" customHeight="1">
      <c r="D539" s="61"/>
      <c r="E539" s="62"/>
      <c r="F539" s="63"/>
      <c r="G539" s="64"/>
      <c r="R539" s="148"/>
    </row>
    <row r="540" spans="4:18" ht="14.25" customHeight="1">
      <c r="D540" s="61"/>
      <c r="E540" s="62"/>
      <c r="F540" s="63"/>
      <c r="G540" s="64"/>
      <c r="R540" s="148"/>
    </row>
    <row r="541" spans="4:18" ht="14.25" customHeight="1">
      <c r="D541" s="61"/>
      <c r="E541" s="62"/>
      <c r="F541" s="63"/>
      <c r="G541" s="64"/>
      <c r="R541" s="148"/>
    </row>
    <row r="542" spans="4:18" ht="14.25" customHeight="1">
      <c r="D542" s="61"/>
      <c r="E542" s="62"/>
      <c r="F542" s="63"/>
      <c r="G542" s="64"/>
      <c r="R542" s="148"/>
    </row>
    <row r="543" spans="4:18" ht="14.25" customHeight="1">
      <c r="D543" s="61"/>
      <c r="E543" s="62"/>
      <c r="F543" s="63"/>
      <c r="G543" s="64"/>
      <c r="R543" s="148"/>
    </row>
    <row r="544" spans="4:18" ht="14.25" customHeight="1">
      <c r="D544" s="61"/>
      <c r="E544" s="62"/>
      <c r="F544" s="63"/>
      <c r="G544" s="64"/>
      <c r="R544" s="148"/>
    </row>
    <row r="545" spans="4:18" ht="14.25" customHeight="1">
      <c r="D545" s="61"/>
      <c r="E545" s="62"/>
      <c r="F545" s="63"/>
      <c r="G545" s="64"/>
      <c r="R545" s="148"/>
    </row>
    <row r="546" spans="4:18" ht="14.25" customHeight="1">
      <c r="D546" s="61"/>
      <c r="E546" s="62"/>
      <c r="F546" s="63"/>
      <c r="G546" s="64"/>
      <c r="R546" s="148"/>
    </row>
    <row r="547" spans="4:18" ht="14.25" customHeight="1">
      <c r="D547" s="61"/>
      <c r="E547" s="62"/>
      <c r="F547" s="63"/>
      <c r="G547" s="64"/>
      <c r="R547" s="148"/>
    </row>
    <row r="548" spans="4:18" ht="14.25" customHeight="1">
      <c r="D548" s="61"/>
      <c r="E548" s="62"/>
      <c r="F548" s="63"/>
      <c r="G548" s="64"/>
      <c r="R548" s="148"/>
    </row>
    <row r="549" spans="4:18" ht="14.25" customHeight="1">
      <c r="D549" s="61"/>
      <c r="E549" s="62"/>
      <c r="F549" s="63"/>
      <c r="G549" s="64"/>
      <c r="R549" s="148"/>
    </row>
    <row r="550" spans="4:18" ht="14.25" customHeight="1">
      <c r="D550" s="61"/>
      <c r="E550" s="62"/>
      <c r="F550" s="63"/>
      <c r="G550" s="64"/>
      <c r="R550" s="148"/>
    </row>
    <row r="551" spans="4:18" ht="14.25" customHeight="1">
      <c r="D551" s="61"/>
      <c r="E551" s="62"/>
      <c r="F551" s="63"/>
      <c r="G551" s="64"/>
      <c r="R551" s="148"/>
    </row>
    <row r="552" spans="4:18" ht="14.25" customHeight="1">
      <c r="D552" s="61"/>
      <c r="E552" s="62"/>
      <c r="F552" s="63"/>
      <c r="G552" s="64"/>
      <c r="R552" s="148"/>
    </row>
    <row r="553" spans="4:18" ht="14.25" customHeight="1">
      <c r="D553" s="61"/>
      <c r="E553" s="62"/>
      <c r="F553" s="63"/>
      <c r="G553" s="64"/>
      <c r="R553" s="148"/>
    </row>
    <row r="554" spans="4:18" ht="14.25" customHeight="1">
      <c r="D554" s="61"/>
      <c r="E554" s="62"/>
      <c r="F554" s="63"/>
      <c r="G554" s="64"/>
      <c r="R554" s="148"/>
    </row>
    <row r="555" spans="4:18" ht="14.25" customHeight="1">
      <c r="D555" s="61"/>
      <c r="E555" s="62"/>
      <c r="F555" s="63"/>
      <c r="G555" s="64"/>
      <c r="R555" s="148"/>
    </row>
    <row r="556" spans="4:18" ht="14.25" customHeight="1">
      <c r="D556" s="61"/>
      <c r="E556" s="62"/>
      <c r="F556" s="63"/>
      <c r="G556" s="64"/>
      <c r="R556" s="148"/>
    </row>
    <row r="557" spans="4:18" ht="14.25" customHeight="1">
      <c r="D557" s="61"/>
      <c r="E557" s="62"/>
      <c r="F557" s="63"/>
      <c r="G557" s="64"/>
      <c r="R557" s="148"/>
    </row>
    <row r="558" spans="4:18" ht="14.25" customHeight="1">
      <c r="D558" s="61"/>
      <c r="E558" s="62"/>
      <c r="F558" s="63"/>
      <c r="G558" s="64"/>
      <c r="R558" s="148"/>
    </row>
    <row r="559" spans="4:18" ht="14.25" customHeight="1">
      <c r="D559" s="61"/>
      <c r="E559" s="62"/>
      <c r="F559" s="63"/>
      <c r="G559" s="64"/>
      <c r="R559" s="148"/>
    </row>
    <row r="560" spans="4:18" ht="14.25" customHeight="1">
      <c r="D560" s="61"/>
      <c r="E560" s="62"/>
      <c r="F560" s="63"/>
      <c r="G560" s="64"/>
      <c r="R560" s="148"/>
    </row>
    <row r="561" spans="4:18" ht="14.25" customHeight="1">
      <c r="D561" s="61"/>
      <c r="E561" s="62"/>
      <c r="F561" s="63"/>
      <c r="G561" s="64"/>
      <c r="R561" s="148"/>
    </row>
    <row r="562" spans="4:18" ht="14.25" customHeight="1">
      <c r="D562" s="61"/>
      <c r="E562" s="62"/>
      <c r="F562" s="63"/>
      <c r="G562" s="64"/>
      <c r="R562" s="148"/>
    </row>
    <row r="563" spans="4:18" ht="14.25" customHeight="1">
      <c r="D563" s="61"/>
      <c r="E563" s="62"/>
      <c r="F563" s="63"/>
      <c r="G563" s="64"/>
      <c r="R563" s="148"/>
    </row>
    <row r="564" spans="4:18" ht="14.25" customHeight="1">
      <c r="D564" s="61"/>
      <c r="E564" s="62"/>
      <c r="F564" s="63"/>
      <c r="G564" s="64"/>
      <c r="R564" s="148"/>
    </row>
    <row r="565" spans="4:18" ht="14.25" customHeight="1">
      <c r="D565" s="61"/>
      <c r="E565" s="62"/>
      <c r="F565" s="63"/>
      <c r="G565" s="64"/>
      <c r="R565" s="148"/>
    </row>
    <row r="566" spans="4:18" ht="14.25" customHeight="1">
      <c r="D566" s="61"/>
      <c r="E566" s="62"/>
      <c r="F566" s="63"/>
      <c r="G566" s="64"/>
      <c r="R566" s="148"/>
    </row>
    <row r="567" spans="4:18" ht="14.25" customHeight="1">
      <c r="D567" s="61"/>
      <c r="E567" s="62"/>
      <c r="F567" s="63"/>
      <c r="G567" s="64"/>
      <c r="R567" s="148"/>
    </row>
    <row r="568" spans="4:18" ht="14.25" customHeight="1">
      <c r="D568" s="61"/>
      <c r="E568" s="62"/>
      <c r="F568" s="63"/>
      <c r="G568" s="64"/>
      <c r="R568" s="148"/>
    </row>
    <row r="569" spans="4:18" ht="14.25" customHeight="1">
      <c r="D569" s="61"/>
      <c r="E569" s="62"/>
      <c r="F569" s="63"/>
      <c r="G569" s="64"/>
      <c r="R569" s="148"/>
    </row>
    <row r="570" spans="4:18" ht="14.25" customHeight="1">
      <c r="D570" s="61"/>
      <c r="E570" s="62"/>
      <c r="F570" s="63"/>
      <c r="G570" s="64"/>
      <c r="R570" s="148"/>
    </row>
    <row r="571" spans="4:18" ht="14.25" customHeight="1">
      <c r="D571" s="61"/>
      <c r="E571" s="62"/>
      <c r="F571" s="63"/>
      <c r="G571" s="64"/>
      <c r="R571" s="148"/>
    </row>
    <row r="572" spans="4:18" ht="14.25" customHeight="1">
      <c r="D572" s="61"/>
      <c r="E572" s="62"/>
      <c r="F572" s="63"/>
      <c r="G572" s="64"/>
      <c r="R572" s="148"/>
    </row>
    <row r="573" spans="4:18" ht="14.25" customHeight="1">
      <c r="D573" s="61"/>
      <c r="E573" s="62"/>
      <c r="F573" s="63"/>
      <c r="G573" s="64"/>
      <c r="R573" s="148"/>
    </row>
    <row r="574" spans="4:18" ht="14.25" customHeight="1">
      <c r="D574" s="61"/>
      <c r="E574" s="62"/>
      <c r="F574" s="63"/>
      <c r="G574" s="64"/>
      <c r="R574" s="148"/>
    </row>
    <row r="575" spans="4:18" ht="14.25" customHeight="1">
      <c r="D575" s="61"/>
      <c r="E575" s="62"/>
      <c r="F575" s="63"/>
      <c r="G575" s="64"/>
      <c r="R575" s="148"/>
    </row>
    <row r="576" spans="4:18" ht="14.25" customHeight="1">
      <c r="D576" s="61"/>
      <c r="E576" s="62"/>
      <c r="F576" s="63"/>
      <c r="G576" s="64"/>
      <c r="R576" s="148"/>
    </row>
    <row r="577" spans="4:18" ht="14.25" customHeight="1">
      <c r="D577" s="61"/>
      <c r="E577" s="62"/>
      <c r="F577" s="63"/>
      <c r="G577" s="64"/>
      <c r="R577" s="148"/>
    </row>
    <row r="578" spans="4:18" ht="14.25" customHeight="1">
      <c r="D578" s="61"/>
      <c r="E578" s="62"/>
      <c r="F578" s="63"/>
      <c r="G578" s="64"/>
      <c r="R578" s="148"/>
    </row>
    <row r="579" spans="4:18" ht="14.25" customHeight="1">
      <c r="D579" s="61"/>
      <c r="E579" s="62"/>
      <c r="F579" s="63"/>
      <c r="G579" s="64"/>
      <c r="R579" s="148"/>
    </row>
    <row r="580" spans="4:18" ht="14.25" customHeight="1">
      <c r="D580" s="61"/>
      <c r="E580" s="62"/>
      <c r="F580" s="63"/>
      <c r="G580" s="64"/>
      <c r="R580" s="148"/>
    </row>
    <row r="581" spans="4:18" ht="14.25" customHeight="1">
      <c r="D581" s="61"/>
      <c r="E581" s="62"/>
      <c r="F581" s="63"/>
      <c r="G581" s="64"/>
      <c r="R581" s="148"/>
    </row>
    <row r="582" spans="4:18" ht="14.25" customHeight="1">
      <c r="D582" s="61"/>
      <c r="E582" s="62"/>
      <c r="F582" s="63"/>
      <c r="G582" s="64"/>
      <c r="R582" s="148"/>
    </row>
    <row r="583" spans="4:18" ht="14.25" customHeight="1">
      <c r="D583" s="61"/>
      <c r="E583" s="62"/>
      <c r="F583" s="63"/>
      <c r="G583" s="64"/>
      <c r="R583" s="148"/>
    </row>
    <row r="584" spans="4:18" ht="14.25" customHeight="1">
      <c r="D584" s="61"/>
      <c r="E584" s="62"/>
      <c r="F584" s="63"/>
      <c r="G584" s="64"/>
      <c r="R584" s="148"/>
    </row>
    <row r="585" spans="4:18" ht="14.25" customHeight="1">
      <c r="D585" s="61"/>
      <c r="E585" s="62"/>
      <c r="F585" s="63"/>
      <c r="G585" s="64"/>
      <c r="R585" s="148"/>
    </row>
    <row r="586" spans="4:18" ht="14.25" customHeight="1">
      <c r="D586" s="61"/>
      <c r="E586" s="62"/>
      <c r="F586" s="63"/>
      <c r="G586" s="64"/>
      <c r="R586" s="148"/>
    </row>
    <row r="587" spans="4:18" ht="14.25" customHeight="1">
      <c r="D587" s="61"/>
      <c r="E587" s="62"/>
      <c r="F587" s="63"/>
      <c r="G587" s="64"/>
      <c r="R587" s="148"/>
    </row>
    <row r="588" spans="4:18" ht="14.25" customHeight="1">
      <c r="D588" s="61"/>
      <c r="E588" s="62"/>
      <c r="F588" s="63"/>
      <c r="G588" s="64"/>
      <c r="R588" s="148"/>
    </row>
    <row r="589" spans="4:18" ht="14.25" customHeight="1">
      <c r="D589" s="61"/>
      <c r="E589" s="62"/>
      <c r="F589" s="63"/>
      <c r="G589" s="64"/>
      <c r="R589" s="148"/>
    </row>
    <row r="590" spans="4:18" ht="14.25" customHeight="1">
      <c r="D590" s="61"/>
      <c r="E590" s="62"/>
      <c r="F590" s="63"/>
      <c r="G590" s="64"/>
      <c r="R590" s="148"/>
    </row>
    <row r="591" spans="4:18" ht="14.25" customHeight="1">
      <c r="D591" s="61"/>
      <c r="E591" s="62"/>
      <c r="F591" s="63"/>
      <c r="G591" s="64"/>
      <c r="R591" s="148"/>
    </row>
    <row r="592" spans="4:18" ht="14.25" customHeight="1">
      <c r="D592" s="61"/>
      <c r="E592" s="62"/>
      <c r="F592" s="63"/>
      <c r="G592" s="64"/>
      <c r="R592" s="148"/>
    </row>
    <row r="593" spans="4:18" ht="14.25" customHeight="1">
      <c r="D593" s="61"/>
      <c r="E593" s="62"/>
      <c r="F593" s="63"/>
      <c r="G593" s="64"/>
      <c r="R593" s="148"/>
    </row>
    <row r="594" spans="4:18" ht="14.25" customHeight="1">
      <c r="D594" s="61"/>
      <c r="E594" s="62"/>
      <c r="F594" s="63"/>
      <c r="G594" s="64"/>
      <c r="R594" s="148"/>
    </row>
    <row r="595" spans="4:18" ht="14.25" customHeight="1">
      <c r="D595" s="61"/>
      <c r="E595" s="62"/>
      <c r="F595" s="63"/>
      <c r="G595" s="64"/>
      <c r="R595" s="148"/>
    </row>
    <row r="596" spans="4:18" ht="14.25" customHeight="1">
      <c r="D596" s="61"/>
      <c r="E596" s="62"/>
      <c r="F596" s="63"/>
      <c r="G596" s="64"/>
      <c r="R596" s="148"/>
    </row>
    <row r="597" spans="4:18" ht="14.25" customHeight="1">
      <c r="D597" s="61"/>
      <c r="E597" s="62"/>
      <c r="F597" s="63"/>
      <c r="G597" s="64"/>
      <c r="R597" s="148"/>
    </row>
    <row r="598" spans="4:18" ht="14.25" customHeight="1">
      <c r="D598" s="61"/>
      <c r="E598" s="62"/>
      <c r="F598" s="63"/>
      <c r="G598" s="64"/>
      <c r="R598" s="148"/>
    </row>
    <row r="599" spans="4:18" ht="14.25" customHeight="1">
      <c r="D599" s="61"/>
      <c r="E599" s="62"/>
      <c r="F599" s="63"/>
      <c r="G599" s="64"/>
      <c r="R599" s="148"/>
    </row>
    <row r="600" spans="4:18" ht="14.25" customHeight="1">
      <c r="D600" s="61"/>
      <c r="E600" s="62"/>
      <c r="F600" s="63"/>
      <c r="G600" s="64"/>
      <c r="R600" s="148"/>
    </row>
    <row r="601" spans="4:18" ht="14.25" customHeight="1">
      <c r="D601" s="61"/>
      <c r="E601" s="62"/>
      <c r="F601" s="63"/>
      <c r="G601" s="64"/>
      <c r="R601" s="148"/>
    </row>
    <row r="602" spans="4:18" ht="14.25" customHeight="1">
      <c r="D602" s="61"/>
      <c r="E602" s="62"/>
      <c r="F602" s="63"/>
      <c r="G602" s="64"/>
      <c r="R602" s="148"/>
    </row>
    <row r="603" spans="4:18" ht="14.25" customHeight="1">
      <c r="D603" s="61"/>
      <c r="E603" s="62"/>
      <c r="F603" s="63"/>
      <c r="G603" s="64"/>
      <c r="R603" s="148"/>
    </row>
    <row r="604" spans="4:18" ht="14.25" customHeight="1">
      <c r="D604" s="61"/>
      <c r="E604" s="62"/>
      <c r="F604" s="63"/>
      <c r="G604" s="64"/>
      <c r="R604" s="148"/>
    </row>
    <row r="605" spans="4:18" ht="14.25" customHeight="1">
      <c r="D605" s="61"/>
      <c r="E605" s="62"/>
      <c r="F605" s="63"/>
      <c r="G605" s="64"/>
      <c r="R605" s="148"/>
    </row>
    <row r="606" spans="4:18" ht="14.25" customHeight="1">
      <c r="D606" s="61"/>
      <c r="E606" s="62"/>
      <c r="F606" s="63"/>
      <c r="G606" s="64"/>
      <c r="R606" s="148"/>
    </row>
    <row r="607" spans="4:18" ht="14.25" customHeight="1">
      <c r="D607" s="61"/>
      <c r="E607" s="62"/>
      <c r="F607" s="63"/>
      <c r="G607" s="64"/>
      <c r="R607" s="148"/>
    </row>
    <row r="608" spans="4:18" ht="14.25" customHeight="1">
      <c r="D608" s="61"/>
      <c r="E608" s="62"/>
      <c r="F608" s="63"/>
      <c r="G608" s="64"/>
      <c r="R608" s="148"/>
    </row>
    <row r="609" spans="4:18" ht="14.25" customHeight="1">
      <c r="D609" s="61"/>
      <c r="E609" s="62"/>
      <c r="F609" s="63"/>
      <c r="G609" s="64"/>
      <c r="R609" s="148"/>
    </row>
    <row r="610" spans="4:18" ht="14.25" customHeight="1">
      <c r="D610" s="61"/>
      <c r="E610" s="62"/>
      <c r="F610" s="63"/>
      <c r="G610" s="64"/>
      <c r="R610" s="148"/>
    </row>
    <row r="611" spans="4:18" ht="14.25" customHeight="1">
      <c r="D611" s="61"/>
      <c r="E611" s="62"/>
      <c r="F611" s="63"/>
      <c r="G611" s="64"/>
      <c r="R611" s="148"/>
    </row>
    <row r="612" spans="4:18" ht="14.25" customHeight="1">
      <c r="D612" s="61"/>
      <c r="E612" s="62"/>
      <c r="F612" s="63"/>
      <c r="G612" s="64"/>
      <c r="R612" s="148"/>
    </row>
    <row r="613" spans="4:18" ht="14.25" customHeight="1">
      <c r="D613" s="61"/>
      <c r="E613" s="62"/>
      <c r="F613" s="63"/>
      <c r="G613" s="64"/>
      <c r="R613" s="148"/>
    </row>
    <row r="614" spans="4:18" ht="14.25" customHeight="1">
      <c r="D614" s="61"/>
      <c r="E614" s="62"/>
      <c r="F614" s="63"/>
      <c r="G614" s="64"/>
      <c r="R614" s="148"/>
    </row>
    <row r="615" spans="4:18" ht="14.25" customHeight="1">
      <c r="D615" s="61"/>
      <c r="E615" s="62"/>
      <c r="F615" s="63"/>
      <c r="G615" s="64"/>
      <c r="R615" s="148"/>
    </row>
    <row r="616" spans="4:18" ht="14.25" customHeight="1">
      <c r="D616" s="61"/>
      <c r="E616" s="62"/>
      <c r="F616" s="63"/>
      <c r="G616" s="64"/>
      <c r="R616" s="148"/>
    </row>
    <row r="617" spans="4:18" ht="14.25" customHeight="1">
      <c r="D617" s="61"/>
      <c r="E617" s="62"/>
      <c r="F617" s="63"/>
      <c r="G617" s="64"/>
      <c r="R617" s="148"/>
    </row>
    <row r="618" spans="4:18" ht="14.25" customHeight="1">
      <c r="D618" s="61"/>
      <c r="E618" s="62"/>
      <c r="F618" s="63"/>
      <c r="G618" s="64"/>
      <c r="R618" s="148"/>
    </row>
    <row r="619" spans="4:18" ht="14.25" customHeight="1">
      <c r="D619" s="61"/>
      <c r="E619" s="62"/>
      <c r="F619" s="63"/>
      <c r="G619" s="64"/>
      <c r="R619" s="148"/>
    </row>
    <row r="620" spans="4:18" ht="14.25" customHeight="1">
      <c r="D620" s="61"/>
      <c r="E620" s="62"/>
      <c r="F620" s="63"/>
      <c r="G620" s="64"/>
      <c r="R620" s="148"/>
    </row>
    <row r="621" spans="4:18" ht="14.25" customHeight="1">
      <c r="D621" s="61"/>
      <c r="E621" s="62"/>
      <c r="F621" s="63"/>
      <c r="G621" s="64"/>
      <c r="R621" s="148"/>
    </row>
    <row r="622" spans="4:18" ht="14.25" customHeight="1">
      <c r="D622" s="61"/>
      <c r="E622" s="62"/>
      <c r="F622" s="63"/>
      <c r="G622" s="64"/>
      <c r="R622" s="148"/>
    </row>
    <row r="623" spans="4:18" ht="14.25" customHeight="1">
      <c r="D623" s="61"/>
      <c r="E623" s="62"/>
      <c r="F623" s="63"/>
      <c r="G623" s="64"/>
      <c r="R623" s="148"/>
    </row>
    <row r="624" spans="4:18" ht="14.25" customHeight="1">
      <c r="D624" s="61"/>
      <c r="E624" s="62"/>
      <c r="F624" s="63"/>
      <c r="G624" s="64"/>
      <c r="R624" s="148"/>
    </row>
    <row r="625" spans="4:18" ht="14.25" customHeight="1">
      <c r="D625" s="61"/>
      <c r="E625" s="62"/>
      <c r="F625" s="63"/>
      <c r="G625" s="64"/>
      <c r="R625" s="148"/>
    </row>
    <row r="626" spans="4:18" ht="14.25" customHeight="1">
      <c r="D626" s="61"/>
      <c r="E626" s="62"/>
      <c r="F626" s="63"/>
      <c r="G626" s="64"/>
      <c r="R626" s="148"/>
    </row>
    <row r="627" spans="4:18" ht="14.25" customHeight="1">
      <c r="D627" s="61"/>
      <c r="E627" s="62"/>
      <c r="F627" s="63"/>
      <c r="G627" s="64"/>
      <c r="R627" s="148"/>
    </row>
    <row r="628" spans="4:18" ht="14.25" customHeight="1">
      <c r="D628" s="61"/>
      <c r="E628" s="62"/>
      <c r="F628" s="63"/>
      <c r="G628" s="64"/>
      <c r="R628" s="148"/>
    </row>
    <row r="629" spans="4:18" ht="14.25" customHeight="1">
      <c r="D629" s="61"/>
      <c r="E629" s="62"/>
      <c r="F629" s="63"/>
      <c r="G629" s="64"/>
      <c r="R629" s="148"/>
    </row>
    <row r="630" spans="4:18" ht="14.25" customHeight="1">
      <c r="D630" s="61"/>
      <c r="E630" s="62"/>
      <c r="F630" s="63"/>
      <c r="G630" s="64"/>
      <c r="R630" s="148"/>
    </row>
    <row r="631" spans="4:18" ht="14.25" customHeight="1">
      <c r="D631" s="61"/>
      <c r="E631" s="62"/>
      <c r="F631" s="63"/>
      <c r="G631" s="64"/>
      <c r="R631" s="148"/>
    </row>
    <row r="632" spans="4:18" ht="14.25" customHeight="1">
      <c r="D632" s="61"/>
      <c r="E632" s="62"/>
      <c r="F632" s="63"/>
      <c r="G632" s="64"/>
      <c r="R632" s="148"/>
    </row>
    <row r="633" spans="4:18" ht="14.25" customHeight="1">
      <c r="D633" s="61"/>
      <c r="E633" s="62"/>
      <c r="F633" s="63"/>
      <c r="G633" s="64"/>
      <c r="R633" s="148"/>
    </row>
    <row r="634" spans="4:18" ht="14.25" customHeight="1">
      <c r="D634" s="61"/>
      <c r="E634" s="62"/>
      <c r="F634" s="63"/>
      <c r="G634" s="64"/>
      <c r="R634" s="148"/>
    </row>
    <row r="635" spans="4:18" ht="14.25" customHeight="1">
      <c r="D635" s="61"/>
      <c r="E635" s="62"/>
      <c r="F635" s="63"/>
      <c r="G635" s="64"/>
      <c r="R635" s="148"/>
    </row>
    <row r="636" spans="4:18" ht="14.25" customHeight="1">
      <c r="D636" s="61"/>
      <c r="E636" s="62"/>
      <c r="F636" s="63"/>
      <c r="G636" s="64"/>
      <c r="R636" s="148"/>
    </row>
    <row r="637" spans="4:18" ht="14.25" customHeight="1">
      <c r="D637" s="61"/>
      <c r="E637" s="62"/>
      <c r="F637" s="63"/>
      <c r="G637" s="64"/>
      <c r="R637" s="148"/>
    </row>
    <row r="638" spans="4:18" ht="14.25" customHeight="1">
      <c r="D638" s="61"/>
      <c r="E638" s="62"/>
      <c r="F638" s="63"/>
      <c r="G638" s="64"/>
      <c r="R638" s="148"/>
    </row>
    <row r="639" spans="4:18" ht="14.25" customHeight="1">
      <c r="D639" s="61"/>
      <c r="E639" s="62"/>
      <c r="F639" s="63"/>
      <c r="G639" s="64"/>
      <c r="R639" s="148"/>
    </row>
    <row r="640" spans="4:18" ht="14.25" customHeight="1">
      <c r="D640" s="61"/>
      <c r="E640" s="62"/>
      <c r="F640" s="63"/>
      <c r="G640" s="64"/>
      <c r="R640" s="148"/>
    </row>
    <row r="641" spans="4:18" ht="14.25" customHeight="1">
      <c r="D641" s="61"/>
      <c r="E641" s="62"/>
      <c r="F641" s="63"/>
      <c r="G641" s="64"/>
      <c r="R641" s="148"/>
    </row>
    <row r="642" spans="4:18" ht="14.25" customHeight="1">
      <c r="D642" s="61"/>
      <c r="E642" s="62"/>
      <c r="F642" s="63"/>
      <c r="G642" s="64"/>
      <c r="R642" s="148"/>
    </row>
    <row r="643" spans="4:18" ht="14.25" customHeight="1">
      <c r="D643" s="61"/>
      <c r="E643" s="62"/>
      <c r="F643" s="63"/>
      <c r="G643" s="64"/>
      <c r="R643" s="148"/>
    </row>
    <row r="644" spans="4:18" ht="14.25" customHeight="1">
      <c r="D644" s="61"/>
      <c r="E644" s="62"/>
      <c r="F644" s="63"/>
      <c r="G644" s="64"/>
      <c r="R644" s="148"/>
    </row>
    <row r="645" spans="4:18" ht="14.25" customHeight="1">
      <c r="D645" s="61"/>
      <c r="E645" s="62"/>
      <c r="F645" s="63"/>
      <c r="G645" s="64"/>
      <c r="R645" s="148"/>
    </row>
    <row r="646" spans="4:18" ht="14.25" customHeight="1">
      <c r="D646" s="61"/>
      <c r="E646" s="62"/>
      <c r="F646" s="63"/>
      <c r="G646" s="64"/>
      <c r="R646" s="148"/>
    </row>
    <row r="647" spans="4:18" ht="14.25" customHeight="1">
      <c r="D647" s="61"/>
      <c r="E647" s="62"/>
      <c r="F647" s="63"/>
      <c r="G647" s="64"/>
      <c r="R647" s="148"/>
    </row>
    <row r="648" spans="4:18" ht="14.25" customHeight="1">
      <c r="D648" s="61"/>
      <c r="E648" s="62"/>
      <c r="F648" s="63"/>
      <c r="G648" s="64"/>
      <c r="R648" s="148"/>
    </row>
    <row r="649" spans="4:18" ht="14.25" customHeight="1">
      <c r="D649" s="61"/>
      <c r="E649" s="62"/>
      <c r="F649" s="63"/>
      <c r="G649" s="64"/>
      <c r="R649" s="148"/>
    </row>
    <row r="650" spans="4:18" ht="14.25" customHeight="1">
      <c r="D650" s="61"/>
      <c r="E650" s="62"/>
      <c r="F650" s="63"/>
      <c r="G650" s="64"/>
      <c r="R650" s="148"/>
    </row>
    <row r="651" spans="4:18" ht="14.25" customHeight="1">
      <c r="D651" s="61"/>
      <c r="E651" s="62"/>
      <c r="F651" s="63"/>
      <c r="G651" s="64"/>
      <c r="R651" s="148"/>
    </row>
    <row r="652" spans="4:18" ht="14.25" customHeight="1">
      <c r="D652" s="61"/>
      <c r="E652" s="62"/>
      <c r="F652" s="63"/>
      <c r="G652" s="64"/>
      <c r="R652" s="148"/>
    </row>
    <row r="653" spans="4:18" ht="14.25" customHeight="1">
      <c r="D653" s="61"/>
      <c r="E653" s="62"/>
      <c r="F653" s="63"/>
      <c r="G653" s="64"/>
      <c r="R653" s="148"/>
    </row>
    <row r="654" spans="4:18" ht="14.25" customHeight="1">
      <c r="D654" s="61"/>
      <c r="E654" s="62"/>
      <c r="F654" s="63"/>
      <c r="G654" s="64"/>
      <c r="R654" s="148"/>
    </row>
    <row r="655" spans="4:18" ht="14.25" customHeight="1">
      <c r="D655" s="61"/>
      <c r="E655" s="62"/>
      <c r="F655" s="63"/>
      <c r="G655" s="64"/>
      <c r="R655" s="148"/>
    </row>
    <row r="656" spans="4:18" ht="14.25" customHeight="1">
      <c r="D656" s="61"/>
      <c r="E656" s="62"/>
      <c r="F656" s="63"/>
      <c r="G656" s="64"/>
      <c r="R656" s="148"/>
    </row>
    <row r="657" spans="4:18" ht="14.25" customHeight="1">
      <c r="D657" s="61"/>
      <c r="E657" s="62"/>
      <c r="F657" s="63"/>
      <c r="G657" s="64"/>
      <c r="R657" s="148"/>
    </row>
    <row r="658" spans="4:18" ht="14.25" customHeight="1">
      <c r="D658" s="61"/>
      <c r="E658" s="62"/>
      <c r="F658" s="63"/>
      <c r="G658" s="64"/>
      <c r="R658" s="148"/>
    </row>
    <row r="659" spans="4:18" ht="14.25" customHeight="1">
      <c r="D659" s="61"/>
      <c r="E659" s="62"/>
      <c r="F659" s="63"/>
      <c r="G659" s="64"/>
      <c r="R659" s="148"/>
    </row>
    <row r="660" spans="4:18" ht="14.25" customHeight="1">
      <c r="D660" s="61"/>
      <c r="E660" s="62"/>
      <c r="F660" s="63"/>
      <c r="G660" s="64"/>
      <c r="R660" s="148"/>
    </row>
    <row r="661" spans="4:18" ht="14.25" customHeight="1">
      <c r="D661" s="61"/>
      <c r="E661" s="62"/>
      <c r="F661" s="63"/>
      <c r="G661" s="64"/>
      <c r="R661" s="148"/>
    </row>
    <row r="662" spans="4:18" ht="14.25" customHeight="1">
      <c r="D662" s="61"/>
      <c r="E662" s="62"/>
      <c r="F662" s="63"/>
      <c r="G662" s="64"/>
      <c r="R662" s="148"/>
    </row>
    <row r="663" spans="4:18" ht="14.25" customHeight="1">
      <c r="D663" s="61"/>
      <c r="E663" s="62"/>
      <c r="F663" s="63"/>
      <c r="G663" s="64"/>
      <c r="R663" s="148"/>
    </row>
    <row r="664" spans="4:18" ht="14.25" customHeight="1">
      <c r="D664" s="61"/>
      <c r="E664" s="62"/>
      <c r="F664" s="63"/>
      <c r="G664" s="64"/>
      <c r="R664" s="148"/>
    </row>
    <row r="665" spans="4:18" ht="14.25" customHeight="1">
      <c r="D665" s="61"/>
      <c r="E665" s="62"/>
      <c r="F665" s="63"/>
      <c r="G665" s="64"/>
      <c r="R665" s="148"/>
    </row>
    <row r="666" spans="4:18" ht="14.25" customHeight="1">
      <c r="D666" s="61"/>
      <c r="E666" s="62"/>
      <c r="F666" s="63"/>
      <c r="G666" s="64"/>
      <c r="R666" s="148"/>
    </row>
    <row r="667" spans="4:18" ht="14.25" customHeight="1">
      <c r="D667" s="61"/>
      <c r="E667" s="62"/>
      <c r="F667" s="63"/>
      <c r="G667" s="64"/>
      <c r="R667" s="148"/>
    </row>
    <row r="668" spans="4:18" ht="14.25" customHeight="1">
      <c r="D668" s="61"/>
      <c r="E668" s="62"/>
      <c r="F668" s="63"/>
      <c r="G668" s="64"/>
      <c r="R668" s="148"/>
    </row>
    <row r="669" spans="4:18" ht="14.25" customHeight="1">
      <c r="D669" s="61"/>
      <c r="E669" s="62"/>
      <c r="F669" s="63"/>
      <c r="G669" s="64"/>
      <c r="R669" s="148"/>
    </row>
    <row r="670" spans="4:18" ht="14.25" customHeight="1">
      <c r="D670" s="61"/>
      <c r="E670" s="62"/>
      <c r="F670" s="63"/>
      <c r="G670" s="64"/>
      <c r="R670" s="148"/>
    </row>
    <row r="671" spans="4:18" ht="14.25" customHeight="1">
      <c r="D671" s="61"/>
      <c r="E671" s="62"/>
      <c r="F671" s="63"/>
      <c r="G671" s="64"/>
      <c r="R671" s="148"/>
    </row>
    <row r="672" spans="4:18" ht="14.25" customHeight="1">
      <c r="D672" s="61"/>
      <c r="E672" s="62"/>
      <c r="F672" s="63"/>
      <c r="G672" s="64"/>
      <c r="R672" s="148"/>
    </row>
    <row r="673" spans="4:18" ht="14.25" customHeight="1">
      <c r="D673" s="61"/>
      <c r="E673" s="62"/>
      <c r="F673" s="63"/>
      <c r="G673" s="64"/>
      <c r="R673" s="148"/>
    </row>
    <row r="674" spans="4:18" ht="14.25" customHeight="1">
      <c r="D674" s="61"/>
      <c r="E674" s="62"/>
      <c r="F674" s="63"/>
      <c r="G674" s="64"/>
      <c r="R674" s="148"/>
    </row>
    <row r="675" spans="4:18" ht="14.25" customHeight="1">
      <c r="D675" s="61"/>
      <c r="E675" s="62"/>
      <c r="F675" s="63"/>
      <c r="G675" s="64"/>
      <c r="R675" s="148"/>
    </row>
    <row r="676" spans="4:18" ht="14.25" customHeight="1">
      <c r="D676" s="61"/>
      <c r="E676" s="62"/>
      <c r="F676" s="63"/>
      <c r="G676" s="64"/>
      <c r="R676" s="148"/>
    </row>
    <row r="677" spans="4:18" ht="14.25" customHeight="1">
      <c r="D677" s="61"/>
      <c r="E677" s="62"/>
      <c r="F677" s="63"/>
      <c r="G677" s="64"/>
      <c r="R677" s="148"/>
    </row>
    <row r="678" spans="4:18" ht="14.25" customHeight="1">
      <c r="D678" s="61"/>
      <c r="E678" s="62"/>
      <c r="F678" s="63"/>
      <c r="G678" s="64"/>
      <c r="R678" s="148"/>
    </row>
    <row r="679" spans="4:18" ht="14.25" customHeight="1">
      <c r="D679" s="61"/>
      <c r="E679" s="62"/>
      <c r="F679" s="63"/>
      <c r="G679" s="64"/>
      <c r="R679" s="148"/>
    </row>
    <row r="680" spans="4:18" ht="14.25" customHeight="1">
      <c r="D680" s="61"/>
      <c r="E680" s="62"/>
      <c r="F680" s="63"/>
      <c r="G680" s="64"/>
      <c r="R680" s="148"/>
    </row>
    <row r="681" spans="4:18" ht="14.25" customHeight="1">
      <c r="D681" s="61"/>
      <c r="E681" s="62"/>
      <c r="F681" s="63"/>
      <c r="G681" s="64"/>
      <c r="R681" s="148"/>
    </row>
    <row r="682" spans="4:18" ht="14.25" customHeight="1">
      <c r="D682" s="61"/>
      <c r="E682" s="62"/>
      <c r="F682" s="63"/>
      <c r="G682" s="64"/>
      <c r="R682" s="148"/>
    </row>
    <row r="683" spans="4:18" ht="14.25" customHeight="1">
      <c r="D683" s="61"/>
      <c r="E683" s="62"/>
      <c r="F683" s="63"/>
      <c r="G683" s="64"/>
      <c r="R683" s="148"/>
    </row>
    <row r="684" spans="4:18" ht="14.25" customHeight="1">
      <c r="D684" s="61"/>
      <c r="E684" s="62"/>
      <c r="F684" s="63"/>
      <c r="G684" s="64"/>
      <c r="R684" s="148"/>
    </row>
    <row r="685" spans="4:18" ht="14.25" customHeight="1">
      <c r="D685" s="61"/>
      <c r="E685" s="62"/>
      <c r="F685" s="63"/>
      <c r="G685" s="64"/>
      <c r="R685" s="148"/>
    </row>
    <row r="686" spans="4:18" ht="14.25" customHeight="1">
      <c r="D686" s="61"/>
      <c r="E686" s="62"/>
      <c r="F686" s="63"/>
      <c r="G686" s="64"/>
      <c r="R686" s="148"/>
    </row>
    <row r="687" spans="4:18" ht="14.25" customHeight="1">
      <c r="D687" s="61"/>
      <c r="E687" s="62"/>
      <c r="F687" s="63"/>
      <c r="G687" s="64"/>
      <c r="R687" s="148"/>
    </row>
    <row r="688" spans="4:18" ht="14.25" customHeight="1">
      <c r="D688" s="61"/>
      <c r="E688" s="62"/>
      <c r="F688" s="63"/>
      <c r="G688" s="64"/>
      <c r="R688" s="148"/>
    </row>
    <row r="689" spans="4:18" ht="14.25" customHeight="1">
      <c r="D689" s="61"/>
      <c r="E689" s="62"/>
      <c r="F689" s="63"/>
      <c r="G689" s="64"/>
      <c r="R689" s="148"/>
    </row>
    <row r="690" spans="4:18" ht="14.25" customHeight="1">
      <c r="D690" s="61"/>
      <c r="E690" s="62"/>
      <c r="F690" s="63"/>
      <c r="G690" s="64"/>
      <c r="R690" s="148"/>
    </row>
    <row r="691" spans="4:18" ht="14.25" customHeight="1">
      <c r="D691" s="61"/>
      <c r="E691" s="62"/>
      <c r="F691" s="63"/>
      <c r="G691" s="64"/>
      <c r="R691" s="148"/>
    </row>
    <row r="692" spans="4:18" ht="14.25" customHeight="1">
      <c r="D692" s="61"/>
      <c r="E692" s="62"/>
      <c r="F692" s="63"/>
      <c r="G692" s="64"/>
      <c r="R692" s="148"/>
    </row>
    <row r="693" spans="4:18" ht="14.25" customHeight="1">
      <c r="D693" s="61"/>
      <c r="E693" s="62"/>
      <c r="F693" s="63"/>
      <c r="G693" s="64"/>
      <c r="R693" s="148"/>
    </row>
    <row r="694" spans="4:18" ht="14.25" customHeight="1">
      <c r="D694" s="61"/>
      <c r="E694" s="62"/>
      <c r="F694" s="63"/>
      <c r="G694" s="64"/>
      <c r="R694" s="148"/>
    </row>
    <row r="695" spans="4:18" ht="14.25" customHeight="1">
      <c r="D695" s="61"/>
      <c r="E695" s="62"/>
      <c r="F695" s="63"/>
      <c r="G695" s="64"/>
      <c r="R695" s="148"/>
    </row>
    <row r="696" spans="4:18" ht="14.25" customHeight="1">
      <c r="D696" s="61"/>
      <c r="E696" s="62"/>
      <c r="F696" s="63"/>
      <c r="G696" s="64"/>
      <c r="R696" s="148"/>
    </row>
    <row r="697" spans="4:18" ht="14.25" customHeight="1">
      <c r="D697" s="61"/>
      <c r="E697" s="62"/>
      <c r="F697" s="63"/>
      <c r="G697" s="64"/>
      <c r="R697" s="148"/>
    </row>
    <row r="698" spans="4:18" ht="14.25" customHeight="1">
      <c r="D698" s="61"/>
      <c r="E698" s="62"/>
      <c r="F698" s="63"/>
      <c r="G698" s="64"/>
      <c r="R698" s="148"/>
    </row>
    <row r="699" spans="4:18" ht="14.25" customHeight="1">
      <c r="D699" s="61"/>
      <c r="E699" s="62"/>
      <c r="F699" s="63"/>
      <c r="G699" s="64"/>
      <c r="R699" s="148"/>
    </row>
    <row r="700" spans="4:18" ht="14.25" customHeight="1">
      <c r="D700" s="61"/>
      <c r="E700" s="62"/>
      <c r="F700" s="63"/>
      <c r="G700" s="64"/>
      <c r="R700" s="148"/>
    </row>
    <row r="701" spans="4:18" ht="14.25" customHeight="1">
      <c r="D701" s="61"/>
      <c r="E701" s="62"/>
      <c r="F701" s="63"/>
      <c r="G701" s="64"/>
      <c r="R701" s="148"/>
    </row>
    <row r="702" spans="4:18" ht="14.25" customHeight="1">
      <c r="D702" s="61"/>
      <c r="E702" s="62"/>
      <c r="F702" s="63"/>
      <c r="G702" s="64"/>
      <c r="R702" s="148"/>
    </row>
    <row r="703" spans="4:18" ht="14.25" customHeight="1">
      <c r="D703" s="61"/>
      <c r="E703" s="62"/>
      <c r="F703" s="63"/>
      <c r="G703" s="64"/>
      <c r="R703" s="148"/>
    </row>
    <row r="704" spans="4:18" ht="14.25" customHeight="1">
      <c r="D704" s="61"/>
      <c r="E704" s="62"/>
      <c r="F704" s="63"/>
      <c r="G704" s="64"/>
      <c r="R704" s="148"/>
    </row>
    <row r="705" spans="4:18" ht="14.25" customHeight="1">
      <c r="D705" s="61"/>
      <c r="E705" s="62"/>
      <c r="F705" s="63"/>
      <c r="G705" s="64"/>
      <c r="R705" s="148"/>
    </row>
    <row r="706" spans="4:18" ht="14.25" customHeight="1">
      <c r="D706" s="61"/>
      <c r="E706" s="62"/>
      <c r="F706" s="63"/>
      <c r="G706" s="64"/>
      <c r="R706" s="148"/>
    </row>
    <row r="707" spans="4:18" ht="14.25" customHeight="1">
      <c r="D707" s="61"/>
      <c r="E707" s="62"/>
      <c r="F707" s="63"/>
      <c r="G707" s="64"/>
      <c r="R707" s="148"/>
    </row>
    <row r="708" spans="4:18" ht="14.25" customHeight="1">
      <c r="D708" s="61"/>
      <c r="E708" s="62"/>
      <c r="F708" s="63"/>
      <c r="G708" s="64"/>
      <c r="R708" s="148"/>
    </row>
    <row r="709" spans="4:18" ht="14.25" customHeight="1">
      <c r="D709" s="61"/>
      <c r="E709" s="62"/>
      <c r="F709" s="63"/>
      <c r="G709" s="64"/>
      <c r="R709" s="148"/>
    </row>
    <row r="710" spans="4:18" ht="14.25" customHeight="1">
      <c r="D710" s="61"/>
      <c r="E710" s="62"/>
      <c r="F710" s="63"/>
      <c r="G710" s="64"/>
      <c r="R710" s="148"/>
    </row>
    <row r="711" spans="4:18" ht="14.25" customHeight="1">
      <c r="D711" s="61"/>
      <c r="E711" s="62"/>
      <c r="F711" s="63"/>
      <c r="G711" s="64"/>
      <c r="R711" s="148"/>
    </row>
    <row r="712" spans="4:18" ht="14.25" customHeight="1">
      <c r="D712" s="61"/>
      <c r="E712" s="62"/>
      <c r="F712" s="63"/>
      <c r="G712" s="64"/>
      <c r="R712" s="148"/>
    </row>
    <row r="713" spans="4:18" ht="14.25" customHeight="1">
      <c r="D713" s="61"/>
      <c r="E713" s="62"/>
      <c r="F713" s="63"/>
      <c r="G713" s="64"/>
      <c r="R713" s="148"/>
    </row>
    <row r="714" spans="4:18" ht="14.25" customHeight="1">
      <c r="D714" s="61"/>
      <c r="E714" s="62"/>
      <c r="F714" s="63"/>
      <c r="G714" s="64"/>
      <c r="R714" s="148"/>
    </row>
    <row r="715" spans="4:18" ht="14.25" customHeight="1">
      <c r="D715" s="61"/>
      <c r="E715" s="62"/>
      <c r="F715" s="63"/>
      <c r="G715" s="64"/>
      <c r="R715" s="148"/>
    </row>
    <row r="716" spans="4:18" ht="14.25" customHeight="1">
      <c r="D716" s="61"/>
      <c r="E716" s="62"/>
      <c r="F716" s="63"/>
      <c r="G716" s="64"/>
      <c r="R716" s="148"/>
    </row>
    <row r="717" spans="4:18" ht="14.25" customHeight="1">
      <c r="D717" s="61"/>
      <c r="E717" s="62"/>
      <c r="F717" s="63"/>
      <c r="G717" s="64"/>
      <c r="R717" s="148"/>
    </row>
    <row r="718" spans="4:18" ht="14.25" customHeight="1">
      <c r="D718" s="61"/>
      <c r="E718" s="62"/>
      <c r="F718" s="63"/>
      <c r="G718" s="64"/>
      <c r="R718" s="148"/>
    </row>
    <row r="719" spans="4:18" ht="14.25" customHeight="1">
      <c r="D719" s="61"/>
      <c r="E719" s="62"/>
      <c r="F719" s="63"/>
      <c r="G719" s="64"/>
      <c r="R719" s="148"/>
    </row>
    <row r="720" spans="4:18" ht="14.25" customHeight="1">
      <c r="D720" s="61"/>
      <c r="E720" s="62"/>
      <c r="F720" s="63"/>
      <c r="G720" s="64"/>
      <c r="R720" s="148"/>
    </row>
    <row r="721" spans="4:18" ht="14.25" customHeight="1">
      <c r="D721" s="61"/>
      <c r="E721" s="62"/>
      <c r="F721" s="63"/>
      <c r="G721" s="64"/>
      <c r="R721" s="148"/>
    </row>
    <row r="722" spans="4:18" ht="14.25" customHeight="1">
      <c r="D722" s="61"/>
      <c r="E722" s="62"/>
      <c r="F722" s="63"/>
      <c r="G722" s="64"/>
      <c r="R722" s="148"/>
    </row>
    <row r="723" spans="4:18" ht="14.25" customHeight="1">
      <c r="D723" s="61"/>
      <c r="E723" s="62"/>
      <c r="F723" s="63"/>
      <c r="G723" s="64"/>
      <c r="R723" s="148"/>
    </row>
    <row r="724" spans="4:18" ht="14.25" customHeight="1">
      <c r="D724" s="61"/>
      <c r="E724" s="62"/>
      <c r="F724" s="63"/>
      <c r="G724" s="64"/>
      <c r="R724" s="148"/>
    </row>
    <row r="725" spans="4:18" ht="14.25" customHeight="1">
      <c r="D725" s="61"/>
      <c r="E725" s="62"/>
      <c r="F725" s="63"/>
      <c r="G725" s="64"/>
      <c r="R725" s="148"/>
    </row>
    <row r="726" spans="4:18" ht="14.25" customHeight="1">
      <c r="D726" s="61"/>
      <c r="E726" s="62"/>
      <c r="F726" s="63"/>
      <c r="G726" s="64"/>
      <c r="R726" s="148"/>
    </row>
    <row r="727" spans="4:18" ht="14.25" customHeight="1">
      <c r="D727" s="61"/>
      <c r="E727" s="62"/>
      <c r="F727" s="63"/>
      <c r="G727" s="64"/>
      <c r="R727" s="148"/>
    </row>
    <row r="728" spans="4:18" ht="14.25" customHeight="1">
      <c r="D728" s="61"/>
      <c r="E728" s="62"/>
      <c r="F728" s="63"/>
      <c r="G728" s="64"/>
      <c r="R728" s="148"/>
    </row>
    <row r="729" spans="4:18" ht="14.25" customHeight="1">
      <c r="D729" s="61"/>
      <c r="E729" s="62"/>
      <c r="F729" s="63"/>
      <c r="G729" s="64"/>
      <c r="R729" s="148"/>
    </row>
    <row r="730" spans="4:18" ht="14.25" customHeight="1">
      <c r="D730" s="61"/>
      <c r="E730" s="62"/>
      <c r="F730" s="63"/>
      <c r="G730" s="64"/>
      <c r="R730" s="148"/>
    </row>
    <row r="731" spans="4:18" ht="14.25" customHeight="1">
      <c r="D731" s="61"/>
      <c r="E731" s="62"/>
      <c r="F731" s="63"/>
      <c r="G731" s="64"/>
      <c r="R731" s="148"/>
    </row>
    <row r="732" spans="4:18" ht="14.25" customHeight="1">
      <c r="D732" s="61"/>
      <c r="E732" s="62"/>
      <c r="F732" s="63"/>
      <c r="G732" s="64"/>
      <c r="R732" s="148"/>
    </row>
    <row r="733" spans="4:18" ht="14.25" customHeight="1">
      <c r="D733" s="61"/>
      <c r="E733" s="62"/>
      <c r="F733" s="63"/>
      <c r="G733" s="64"/>
      <c r="R733" s="148"/>
    </row>
    <row r="734" spans="4:18" ht="14.25" customHeight="1">
      <c r="D734" s="61"/>
      <c r="E734" s="62"/>
      <c r="F734" s="63"/>
      <c r="G734" s="64"/>
      <c r="R734" s="148"/>
    </row>
    <row r="735" spans="4:18" ht="14.25" customHeight="1">
      <c r="D735" s="61"/>
      <c r="E735" s="62"/>
      <c r="F735" s="63"/>
      <c r="G735" s="64"/>
      <c r="R735" s="148"/>
    </row>
    <row r="736" spans="4:18" ht="14.25" customHeight="1">
      <c r="D736" s="61"/>
      <c r="E736" s="62"/>
      <c r="F736" s="63"/>
      <c r="G736" s="64"/>
      <c r="R736" s="148"/>
    </row>
    <row r="737" spans="4:18" ht="14.25" customHeight="1">
      <c r="D737" s="61"/>
      <c r="E737" s="62"/>
      <c r="F737" s="63"/>
      <c r="G737" s="64"/>
      <c r="R737" s="148"/>
    </row>
    <row r="738" spans="4:18" ht="14.25" customHeight="1">
      <c r="D738" s="61"/>
      <c r="E738" s="62"/>
      <c r="F738" s="63"/>
      <c r="G738" s="64"/>
      <c r="R738" s="148"/>
    </row>
    <row r="739" spans="4:18" ht="14.25" customHeight="1">
      <c r="D739" s="61"/>
      <c r="E739" s="62"/>
      <c r="F739" s="63"/>
      <c r="G739" s="64"/>
      <c r="R739" s="148"/>
    </row>
    <row r="740" spans="4:18" ht="14.25" customHeight="1">
      <c r="D740" s="61"/>
      <c r="E740" s="62"/>
      <c r="F740" s="63"/>
      <c r="G740" s="64"/>
      <c r="R740" s="148"/>
    </row>
    <row r="741" spans="4:18" ht="14.25" customHeight="1">
      <c r="D741" s="61"/>
      <c r="E741" s="62"/>
      <c r="F741" s="63"/>
      <c r="G741" s="64"/>
      <c r="R741" s="148"/>
    </row>
    <row r="742" spans="4:18" ht="14.25" customHeight="1">
      <c r="D742" s="61"/>
      <c r="E742" s="62"/>
      <c r="F742" s="63"/>
      <c r="G742" s="64"/>
      <c r="R742" s="148"/>
    </row>
    <row r="743" spans="4:18" ht="14.25" customHeight="1">
      <c r="D743" s="61"/>
      <c r="E743" s="62"/>
      <c r="F743" s="63"/>
      <c r="G743" s="64"/>
      <c r="R743" s="148"/>
    </row>
    <row r="744" spans="4:18" ht="14.25" customHeight="1">
      <c r="D744" s="61"/>
      <c r="E744" s="62"/>
      <c r="F744" s="63"/>
      <c r="G744" s="64"/>
      <c r="R744" s="148"/>
    </row>
    <row r="745" spans="4:18" ht="14.25" customHeight="1">
      <c r="D745" s="61"/>
      <c r="E745" s="62"/>
      <c r="F745" s="63"/>
      <c r="G745" s="64"/>
      <c r="R745" s="148"/>
    </row>
    <row r="746" spans="4:18" ht="14.25" customHeight="1">
      <c r="D746" s="61"/>
      <c r="E746" s="62"/>
      <c r="F746" s="63"/>
      <c r="G746" s="64"/>
      <c r="R746" s="148"/>
    </row>
    <row r="747" spans="4:18" ht="14.25" customHeight="1">
      <c r="D747" s="61"/>
      <c r="E747" s="62"/>
      <c r="F747" s="63"/>
      <c r="G747" s="64"/>
      <c r="R747" s="148"/>
    </row>
    <row r="748" spans="4:18" ht="14.25" customHeight="1">
      <c r="D748" s="61"/>
      <c r="E748" s="62"/>
      <c r="F748" s="63"/>
      <c r="G748" s="64"/>
      <c r="R748" s="148"/>
    </row>
    <row r="749" spans="4:18" ht="14.25" customHeight="1">
      <c r="D749" s="61"/>
      <c r="E749" s="62"/>
      <c r="F749" s="63"/>
      <c r="G749" s="64"/>
      <c r="R749" s="148"/>
    </row>
    <row r="750" spans="4:18" ht="14.25" customHeight="1">
      <c r="D750" s="61"/>
      <c r="E750" s="62"/>
      <c r="F750" s="63"/>
      <c r="G750" s="64"/>
      <c r="R750" s="148"/>
    </row>
    <row r="751" spans="4:18" ht="14.25" customHeight="1">
      <c r="D751" s="61"/>
      <c r="E751" s="62"/>
      <c r="F751" s="63"/>
      <c r="G751" s="64"/>
      <c r="R751" s="148"/>
    </row>
    <row r="752" spans="4:18" ht="14.25" customHeight="1">
      <c r="D752" s="61"/>
      <c r="E752" s="62"/>
      <c r="F752" s="63"/>
      <c r="G752" s="64"/>
      <c r="R752" s="148"/>
    </row>
    <row r="753" spans="4:18" ht="14.25" customHeight="1">
      <c r="D753" s="61"/>
      <c r="E753" s="62"/>
      <c r="F753" s="63"/>
      <c r="G753" s="64"/>
      <c r="R753" s="148"/>
    </row>
    <row r="754" spans="4:18" ht="14.25" customHeight="1">
      <c r="D754" s="61"/>
      <c r="E754" s="62"/>
      <c r="F754" s="63"/>
      <c r="G754" s="64"/>
      <c r="R754" s="148"/>
    </row>
    <row r="755" spans="4:18" ht="14.25" customHeight="1">
      <c r="D755" s="61"/>
      <c r="E755" s="62"/>
      <c r="F755" s="63"/>
      <c r="G755" s="64"/>
      <c r="R755" s="148"/>
    </row>
    <row r="756" spans="4:18" ht="14.25" customHeight="1">
      <c r="D756" s="61"/>
      <c r="E756" s="62"/>
      <c r="F756" s="63"/>
      <c r="G756" s="64"/>
      <c r="R756" s="148"/>
    </row>
    <row r="757" spans="4:18" ht="14.25" customHeight="1">
      <c r="D757" s="61"/>
      <c r="E757" s="62"/>
      <c r="F757" s="63"/>
      <c r="G757" s="64"/>
      <c r="R757" s="148"/>
    </row>
    <row r="758" spans="4:18" ht="14.25" customHeight="1">
      <c r="D758" s="61"/>
      <c r="E758" s="62"/>
      <c r="F758" s="63"/>
      <c r="G758" s="64"/>
      <c r="R758" s="148"/>
    </row>
    <row r="759" spans="4:18" ht="14.25" customHeight="1">
      <c r="D759" s="61"/>
      <c r="E759" s="62"/>
      <c r="F759" s="63"/>
      <c r="G759" s="64"/>
      <c r="R759" s="148"/>
    </row>
    <row r="760" spans="4:18" ht="14.25" customHeight="1">
      <c r="D760" s="61"/>
      <c r="E760" s="62"/>
      <c r="F760" s="63"/>
      <c r="G760" s="64"/>
      <c r="R760" s="148"/>
    </row>
    <row r="761" spans="4:18" ht="14.25" customHeight="1">
      <c r="D761" s="61"/>
      <c r="E761" s="62"/>
      <c r="F761" s="63"/>
      <c r="G761" s="64"/>
      <c r="R761" s="148"/>
    </row>
    <row r="762" spans="4:18" ht="14.25" customHeight="1">
      <c r="D762" s="61"/>
      <c r="E762" s="62"/>
      <c r="F762" s="63"/>
      <c r="G762" s="64"/>
      <c r="R762" s="148"/>
    </row>
    <row r="763" spans="4:18" ht="14.25" customHeight="1">
      <c r="D763" s="61"/>
      <c r="E763" s="62"/>
      <c r="F763" s="63"/>
      <c r="G763" s="64"/>
      <c r="R763" s="148"/>
    </row>
    <row r="764" spans="4:18" ht="14.25" customHeight="1">
      <c r="D764" s="61"/>
      <c r="E764" s="62"/>
      <c r="F764" s="63"/>
      <c r="G764" s="64"/>
      <c r="R764" s="148"/>
    </row>
    <row r="765" spans="4:18" ht="14.25" customHeight="1">
      <c r="D765" s="61"/>
      <c r="E765" s="62"/>
      <c r="F765" s="63"/>
      <c r="G765" s="64"/>
      <c r="R765" s="148"/>
    </row>
    <row r="766" spans="4:18" ht="14.25" customHeight="1">
      <c r="D766" s="61"/>
      <c r="E766" s="62"/>
      <c r="F766" s="63"/>
      <c r="G766" s="64"/>
      <c r="R766" s="148"/>
    </row>
    <row r="767" spans="4:18" ht="14.25" customHeight="1">
      <c r="D767" s="61"/>
      <c r="E767" s="62"/>
      <c r="F767" s="63"/>
      <c r="G767" s="64"/>
      <c r="R767" s="148"/>
    </row>
    <row r="768" spans="4:18" ht="14.25" customHeight="1">
      <c r="D768" s="61"/>
      <c r="E768" s="62"/>
      <c r="F768" s="63"/>
      <c r="G768" s="64"/>
      <c r="R768" s="148"/>
    </row>
    <row r="769" spans="4:18" ht="14.25" customHeight="1">
      <c r="D769" s="61"/>
      <c r="E769" s="62"/>
      <c r="F769" s="63"/>
      <c r="G769" s="64"/>
      <c r="R769" s="148"/>
    </row>
    <row r="770" spans="4:18" ht="14.25" customHeight="1">
      <c r="D770" s="61"/>
      <c r="E770" s="62"/>
      <c r="F770" s="63"/>
      <c r="G770" s="64"/>
      <c r="R770" s="148"/>
    </row>
    <row r="771" spans="4:18" ht="14.25" customHeight="1">
      <c r="D771" s="61"/>
      <c r="E771" s="62"/>
      <c r="F771" s="63"/>
      <c r="G771" s="64"/>
      <c r="R771" s="148"/>
    </row>
    <row r="772" spans="4:18" ht="14.25" customHeight="1">
      <c r="D772" s="61"/>
      <c r="E772" s="62"/>
      <c r="F772" s="63"/>
      <c r="G772" s="64"/>
      <c r="R772" s="148"/>
    </row>
    <row r="773" spans="4:18" ht="14.25" customHeight="1">
      <c r="D773" s="61"/>
      <c r="E773" s="62"/>
      <c r="F773" s="63"/>
      <c r="G773" s="64"/>
      <c r="R773" s="148"/>
    </row>
    <row r="774" spans="4:18" ht="14.25" customHeight="1">
      <c r="D774" s="61"/>
      <c r="E774" s="62"/>
      <c r="F774" s="63"/>
      <c r="G774" s="64"/>
      <c r="R774" s="148"/>
    </row>
    <row r="775" spans="4:18" ht="14.25" customHeight="1">
      <c r="D775" s="61"/>
      <c r="E775" s="62"/>
      <c r="F775" s="63"/>
      <c r="G775" s="64"/>
      <c r="R775" s="148"/>
    </row>
    <row r="776" spans="4:18" ht="14.25" customHeight="1">
      <c r="D776" s="61"/>
      <c r="E776" s="62"/>
      <c r="F776" s="63"/>
      <c r="G776" s="64"/>
      <c r="R776" s="148"/>
    </row>
    <row r="777" spans="4:18" ht="14.25" customHeight="1">
      <c r="D777" s="61"/>
      <c r="E777" s="62"/>
      <c r="F777" s="63"/>
      <c r="G777" s="64"/>
      <c r="R777" s="148"/>
    </row>
    <row r="778" spans="4:18" ht="14.25" customHeight="1">
      <c r="D778" s="61"/>
      <c r="E778" s="62"/>
      <c r="F778" s="63"/>
      <c r="G778" s="64"/>
      <c r="R778" s="148"/>
    </row>
    <row r="779" spans="4:18" ht="14.25" customHeight="1">
      <c r="D779" s="61"/>
      <c r="E779" s="62"/>
      <c r="F779" s="63"/>
      <c r="G779" s="64"/>
      <c r="R779" s="148"/>
    </row>
    <row r="780" spans="4:18" ht="14.25" customHeight="1">
      <c r="D780" s="61"/>
      <c r="E780" s="62"/>
      <c r="F780" s="63"/>
      <c r="G780" s="64"/>
      <c r="R780" s="148"/>
    </row>
    <row r="781" spans="4:18" ht="14.25" customHeight="1">
      <c r="D781" s="61"/>
      <c r="E781" s="62"/>
      <c r="F781" s="63"/>
      <c r="G781" s="64"/>
      <c r="R781" s="148"/>
    </row>
    <row r="782" spans="4:18" ht="14.25" customHeight="1">
      <c r="D782" s="61"/>
      <c r="E782" s="62"/>
      <c r="F782" s="63"/>
      <c r="G782" s="64"/>
      <c r="R782" s="148"/>
    </row>
    <row r="783" spans="4:18" ht="14.25" customHeight="1">
      <c r="D783" s="61"/>
      <c r="E783" s="62"/>
      <c r="F783" s="63"/>
      <c r="G783" s="64"/>
      <c r="R783" s="148"/>
    </row>
    <row r="784" spans="4:18" ht="14.25" customHeight="1">
      <c r="D784" s="61"/>
      <c r="E784" s="62"/>
      <c r="F784" s="63"/>
      <c r="G784" s="64"/>
      <c r="R784" s="148"/>
    </row>
    <row r="785" spans="4:18" ht="14.25" customHeight="1">
      <c r="D785" s="61"/>
      <c r="E785" s="62"/>
      <c r="F785" s="63"/>
      <c r="G785" s="64"/>
      <c r="R785" s="148"/>
    </row>
    <row r="786" spans="4:18" ht="14.25" customHeight="1">
      <c r="D786" s="61"/>
      <c r="E786" s="62"/>
      <c r="F786" s="63"/>
      <c r="G786" s="64"/>
      <c r="R786" s="148"/>
    </row>
    <row r="787" spans="4:18" ht="14.25" customHeight="1">
      <c r="D787" s="61"/>
      <c r="E787" s="62"/>
      <c r="F787" s="63"/>
      <c r="G787" s="64"/>
      <c r="R787" s="148"/>
    </row>
    <row r="788" spans="4:18" ht="14.25" customHeight="1">
      <c r="D788" s="61"/>
      <c r="E788" s="62"/>
      <c r="F788" s="63"/>
      <c r="G788" s="64"/>
      <c r="R788" s="148"/>
    </row>
    <row r="789" spans="4:18" ht="14.25" customHeight="1">
      <c r="D789" s="61"/>
      <c r="E789" s="62"/>
      <c r="F789" s="63"/>
      <c r="G789" s="64"/>
      <c r="R789" s="148"/>
    </row>
    <row r="790" spans="4:18" ht="14.25" customHeight="1">
      <c r="D790" s="61"/>
      <c r="E790" s="62"/>
      <c r="F790" s="63"/>
      <c r="G790" s="64"/>
      <c r="R790" s="148"/>
    </row>
    <row r="791" spans="4:18" ht="14.25" customHeight="1">
      <c r="D791" s="61"/>
      <c r="E791" s="62"/>
      <c r="F791" s="63"/>
      <c r="G791" s="64"/>
      <c r="R791" s="148"/>
    </row>
    <row r="792" spans="4:18" ht="14.25" customHeight="1">
      <c r="D792" s="61"/>
      <c r="E792" s="62"/>
      <c r="F792" s="63"/>
      <c r="G792" s="64"/>
      <c r="R792" s="148"/>
    </row>
    <row r="793" spans="4:18" ht="14.25" customHeight="1">
      <c r="D793" s="61"/>
      <c r="E793" s="62"/>
      <c r="F793" s="63"/>
      <c r="G793" s="64"/>
      <c r="R793" s="148"/>
    </row>
    <row r="794" spans="4:18" ht="14.25" customHeight="1">
      <c r="D794" s="61"/>
      <c r="E794" s="62"/>
      <c r="F794" s="63"/>
      <c r="G794" s="64"/>
      <c r="R794" s="148"/>
    </row>
    <row r="795" spans="4:18" ht="14.25" customHeight="1">
      <c r="D795" s="61"/>
      <c r="E795" s="62"/>
      <c r="F795" s="63"/>
      <c r="G795" s="64"/>
      <c r="R795" s="148"/>
    </row>
    <row r="796" spans="4:18" ht="14.25" customHeight="1">
      <c r="D796" s="61"/>
      <c r="E796" s="62"/>
      <c r="F796" s="63"/>
      <c r="G796" s="64"/>
      <c r="R796" s="148"/>
    </row>
    <row r="797" spans="4:18" ht="14.25" customHeight="1">
      <c r="D797" s="61"/>
      <c r="E797" s="62"/>
      <c r="F797" s="63"/>
      <c r="G797" s="64"/>
      <c r="R797" s="148"/>
    </row>
    <row r="798" spans="4:18" ht="14.25" customHeight="1">
      <c r="D798" s="61"/>
      <c r="E798" s="62"/>
      <c r="F798" s="63"/>
      <c r="G798" s="64"/>
      <c r="R798" s="148"/>
    </row>
    <row r="799" spans="4:18" ht="14.25" customHeight="1">
      <c r="D799" s="61"/>
      <c r="E799" s="62"/>
      <c r="F799" s="63"/>
      <c r="G799" s="64"/>
      <c r="R799" s="148"/>
    </row>
    <row r="800" spans="4:18" ht="14.25" customHeight="1">
      <c r="D800" s="61"/>
      <c r="E800" s="62"/>
      <c r="F800" s="63"/>
      <c r="G800" s="64"/>
      <c r="R800" s="148"/>
    </row>
    <row r="801" spans="4:18" ht="14.25" customHeight="1">
      <c r="D801" s="61"/>
      <c r="E801" s="62"/>
      <c r="F801" s="63"/>
      <c r="G801" s="64"/>
      <c r="R801" s="148"/>
    </row>
    <row r="802" spans="4:18" ht="14.25" customHeight="1">
      <c r="D802" s="61"/>
      <c r="E802" s="62"/>
      <c r="F802" s="63"/>
      <c r="G802" s="64"/>
      <c r="R802" s="148"/>
    </row>
    <row r="803" spans="4:18" ht="14.25" customHeight="1">
      <c r="D803" s="61"/>
      <c r="E803" s="62"/>
      <c r="F803" s="63"/>
      <c r="G803" s="64"/>
      <c r="R803" s="148"/>
    </row>
    <row r="804" spans="4:18" ht="14.25" customHeight="1">
      <c r="D804" s="61"/>
      <c r="E804" s="62"/>
      <c r="F804" s="63"/>
      <c r="G804" s="64"/>
      <c r="R804" s="148"/>
    </row>
    <row r="805" spans="4:18" ht="14.25" customHeight="1">
      <c r="D805" s="61"/>
      <c r="E805" s="62"/>
      <c r="F805" s="63"/>
      <c r="G805" s="64"/>
      <c r="R805" s="148"/>
    </row>
    <row r="806" spans="4:18" ht="14.25" customHeight="1">
      <c r="D806" s="61"/>
      <c r="E806" s="62"/>
      <c r="F806" s="63"/>
      <c r="G806" s="64"/>
      <c r="R806" s="148"/>
    </row>
    <row r="807" spans="4:18" ht="14.25" customHeight="1">
      <c r="D807" s="61"/>
      <c r="E807" s="62"/>
      <c r="F807" s="63"/>
      <c r="G807" s="64"/>
      <c r="R807" s="148"/>
    </row>
    <row r="808" spans="4:18" ht="14.25" customHeight="1">
      <c r="D808" s="61"/>
      <c r="E808" s="62"/>
      <c r="F808" s="63"/>
      <c r="G808" s="64"/>
      <c r="R808" s="148"/>
    </row>
    <row r="809" spans="4:18" ht="14.25" customHeight="1">
      <c r="D809" s="61"/>
      <c r="E809" s="62"/>
      <c r="F809" s="63"/>
      <c r="G809" s="64"/>
      <c r="R809" s="148"/>
    </row>
    <row r="810" spans="4:18" ht="14.25" customHeight="1">
      <c r="D810" s="61"/>
      <c r="E810" s="62"/>
      <c r="F810" s="63"/>
      <c r="G810" s="64"/>
      <c r="R810" s="148"/>
    </row>
    <row r="811" spans="4:18" ht="14.25" customHeight="1">
      <c r="D811" s="61"/>
      <c r="E811" s="62"/>
      <c r="F811" s="63"/>
      <c r="G811" s="64"/>
      <c r="R811" s="148"/>
    </row>
    <row r="812" spans="4:18" ht="14.25" customHeight="1">
      <c r="D812" s="61"/>
      <c r="E812" s="62"/>
      <c r="F812" s="63"/>
      <c r="G812" s="64"/>
      <c r="R812" s="148"/>
    </row>
    <row r="813" spans="4:18" ht="14.25" customHeight="1">
      <c r="D813" s="61"/>
      <c r="E813" s="62"/>
      <c r="F813" s="63"/>
      <c r="G813" s="64"/>
      <c r="R813" s="148"/>
    </row>
    <row r="814" spans="4:18" ht="14.25" customHeight="1">
      <c r="D814" s="61"/>
      <c r="E814" s="62"/>
      <c r="F814" s="63"/>
      <c r="G814" s="64"/>
      <c r="R814" s="148"/>
    </row>
    <row r="815" spans="4:18" ht="14.25" customHeight="1">
      <c r="D815" s="61"/>
      <c r="E815" s="62"/>
      <c r="F815" s="63"/>
      <c r="G815" s="64"/>
      <c r="R815" s="148"/>
    </row>
    <row r="816" spans="4:18" ht="14.25" customHeight="1">
      <c r="D816" s="61"/>
      <c r="E816" s="62"/>
      <c r="F816" s="63"/>
      <c r="G816" s="64"/>
      <c r="R816" s="148"/>
    </row>
    <row r="817" spans="4:18" ht="14.25" customHeight="1">
      <c r="D817" s="61"/>
      <c r="E817" s="62"/>
      <c r="F817" s="63"/>
      <c r="G817" s="64"/>
      <c r="R817" s="148"/>
    </row>
    <row r="818" spans="4:18" ht="14.25" customHeight="1">
      <c r="D818" s="61"/>
      <c r="E818" s="62"/>
      <c r="F818" s="63"/>
      <c r="G818" s="64"/>
      <c r="R818" s="148"/>
    </row>
    <row r="819" spans="4:18" ht="14.25" customHeight="1">
      <c r="D819" s="61"/>
      <c r="E819" s="62"/>
      <c r="F819" s="63"/>
      <c r="G819" s="64"/>
      <c r="R819" s="148"/>
    </row>
    <row r="820" spans="4:18" ht="14.25" customHeight="1">
      <c r="D820" s="61"/>
      <c r="E820" s="62"/>
      <c r="F820" s="63"/>
      <c r="G820" s="64"/>
      <c r="R820" s="148"/>
    </row>
    <row r="821" spans="4:18" ht="14.25" customHeight="1">
      <c r="D821" s="61"/>
      <c r="E821" s="62"/>
      <c r="F821" s="63"/>
      <c r="G821" s="64"/>
      <c r="R821" s="148"/>
    </row>
    <row r="822" spans="4:18" ht="14.25" customHeight="1">
      <c r="D822" s="61"/>
      <c r="E822" s="62"/>
      <c r="F822" s="63"/>
      <c r="G822" s="64"/>
      <c r="R822" s="148"/>
    </row>
    <row r="823" spans="4:18" ht="14.25" customHeight="1">
      <c r="D823" s="61"/>
      <c r="E823" s="62"/>
      <c r="F823" s="63"/>
      <c r="G823" s="64"/>
      <c r="R823" s="148"/>
    </row>
    <row r="824" spans="4:18" ht="14.25" customHeight="1">
      <c r="D824" s="61"/>
      <c r="E824" s="62"/>
      <c r="F824" s="63"/>
      <c r="G824" s="64"/>
      <c r="R824" s="148"/>
    </row>
    <row r="825" spans="4:18" ht="14.25" customHeight="1">
      <c r="D825" s="61"/>
      <c r="E825" s="62"/>
      <c r="F825" s="63"/>
      <c r="G825" s="64"/>
      <c r="R825" s="148"/>
    </row>
    <row r="826" spans="4:18" ht="14.25" customHeight="1">
      <c r="D826" s="61"/>
      <c r="E826" s="62"/>
      <c r="F826" s="63"/>
      <c r="G826" s="64"/>
      <c r="R826" s="148"/>
    </row>
    <row r="827" spans="4:18" ht="14.25" customHeight="1">
      <c r="D827" s="61"/>
      <c r="E827" s="62"/>
      <c r="F827" s="63"/>
      <c r="G827" s="64"/>
      <c r="R827" s="148"/>
    </row>
    <row r="828" spans="4:18" ht="14.25" customHeight="1">
      <c r="D828" s="61"/>
      <c r="E828" s="62"/>
      <c r="F828" s="63"/>
      <c r="G828" s="64"/>
      <c r="R828" s="148"/>
    </row>
    <row r="829" spans="4:18" ht="14.25" customHeight="1">
      <c r="D829" s="61"/>
      <c r="E829" s="62"/>
      <c r="F829" s="63"/>
      <c r="G829" s="64"/>
      <c r="R829" s="148"/>
    </row>
    <row r="830" spans="4:18" ht="14.25" customHeight="1">
      <c r="D830" s="61"/>
      <c r="E830" s="62"/>
      <c r="F830" s="63"/>
      <c r="G830" s="64"/>
      <c r="R830" s="148"/>
    </row>
    <row r="831" spans="4:18" ht="14.25" customHeight="1">
      <c r="D831" s="61"/>
      <c r="E831" s="62"/>
      <c r="F831" s="63"/>
      <c r="G831" s="64"/>
      <c r="R831" s="148"/>
    </row>
    <row r="832" spans="4:18" ht="14.25" customHeight="1">
      <c r="D832" s="61"/>
      <c r="E832" s="62"/>
      <c r="F832" s="63"/>
      <c r="G832" s="64"/>
      <c r="R832" s="148"/>
    </row>
    <row r="833" spans="4:18" ht="14.25" customHeight="1">
      <c r="D833" s="61"/>
      <c r="E833" s="62"/>
      <c r="F833" s="63"/>
      <c r="G833" s="64"/>
      <c r="R833" s="148"/>
    </row>
    <row r="834" spans="4:18" ht="14.25" customHeight="1">
      <c r="D834" s="61"/>
      <c r="E834" s="62"/>
      <c r="F834" s="63"/>
      <c r="G834" s="64"/>
      <c r="R834" s="148"/>
    </row>
    <row r="835" spans="4:18" ht="14.25" customHeight="1">
      <c r="D835" s="61"/>
      <c r="E835" s="62"/>
      <c r="F835" s="63"/>
      <c r="G835" s="64"/>
      <c r="R835" s="148"/>
    </row>
    <row r="836" spans="4:18" ht="14.25" customHeight="1">
      <c r="D836" s="61"/>
      <c r="E836" s="62"/>
      <c r="F836" s="63"/>
      <c r="G836" s="64"/>
      <c r="R836" s="148"/>
    </row>
    <row r="837" spans="4:18" ht="14.25" customHeight="1">
      <c r="D837" s="61"/>
      <c r="E837" s="62"/>
      <c r="F837" s="63"/>
      <c r="G837" s="64"/>
      <c r="R837" s="148"/>
    </row>
    <row r="838" spans="4:18" ht="14.25" customHeight="1">
      <c r="D838" s="61"/>
      <c r="E838" s="62"/>
      <c r="F838" s="63"/>
      <c r="G838" s="64"/>
      <c r="R838" s="148"/>
    </row>
    <row r="839" spans="4:18" ht="14.25" customHeight="1">
      <c r="D839" s="61"/>
      <c r="E839" s="62"/>
      <c r="F839" s="63"/>
      <c r="G839" s="64"/>
      <c r="R839" s="148"/>
    </row>
    <row r="840" spans="4:18" ht="14.25" customHeight="1">
      <c r="D840" s="61"/>
      <c r="E840" s="62"/>
      <c r="F840" s="63"/>
      <c r="G840" s="64"/>
      <c r="R840" s="148"/>
    </row>
    <row r="841" spans="4:18" ht="14.25" customHeight="1">
      <c r="D841" s="61"/>
      <c r="E841" s="62"/>
      <c r="F841" s="63"/>
      <c r="G841" s="64"/>
      <c r="R841" s="148"/>
    </row>
    <row r="842" spans="4:18" ht="14.25" customHeight="1">
      <c r="D842" s="61"/>
      <c r="E842" s="62"/>
      <c r="F842" s="63"/>
      <c r="G842" s="64"/>
      <c r="R842" s="148"/>
    </row>
    <row r="843" spans="4:18" ht="14.25" customHeight="1">
      <c r="D843" s="61"/>
      <c r="E843" s="62"/>
      <c r="F843" s="63"/>
      <c r="G843" s="64"/>
      <c r="R843" s="148"/>
    </row>
    <row r="844" spans="4:18" ht="14.25" customHeight="1">
      <c r="D844" s="61"/>
      <c r="E844" s="62"/>
      <c r="F844" s="63"/>
      <c r="G844" s="64"/>
      <c r="R844" s="148"/>
    </row>
    <row r="845" spans="4:18" ht="14.25" customHeight="1">
      <c r="D845" s="61"/>
      <c r="E845" s="62"/>
      <c r="F845" s="63"/>
      <c r="G845" s="64"/>
      <c r="R845" s="148"/>
    </row>
    <row r="846" spans="4:18" ht="14.25" customHeight="1">
      <c r="D846" s="61"/>
      <c r="E846" s="62"/>
      <c r="F846" s="63"/>
      <c r="G846" s="64"/>
      <c r="R846" s="148"/>
    </row>
    <row r="847" spans="4:18" ht="14.25" customHeight="1">
      <c r="D847" s="61"/>
      <c r="E847" s="62"/>
      <c r="F847" s="63"/>
      <c r="G847" s="64"/>
      <c r="R847" s="148"/>
    </row>
    <row r="848" spans="4:18" ht="14.25" customHeight="1">
      <c r="D848" s="61"/>
      <c r="E848" s="62"/>
      <c r="F848" s="63"/>
      <c r="G848" s="64"/>
      <c r="R848" s="148"/>
    </row>
    <row r="849" spans="4:18" ht="14.25" customHeight="1">
      <c r="D849" s="61"/>
      <c r="E849" s="62"/>
      <c r="F849" s="63"/>
      <c r="G849" s="64"/>
      <c r="R849" s="148"/>
    </row>
    <row r="850" spans="4:18" ht="14.25" customHeight="1">
      <c r="D850" s="61"/>
      <c r="E850" s="62"/>
      <c r="F850" s="63"/>
      <c r="G850" s="64"/>
      <c r="R850" s="148"/>
    </row>
    <row r="851" spans="4:18" ht="14.25" customHeight="1">
      <c r="D851" s="61"/>
      <c r="E851" s="62"/>
      <c r="F851" s="63"/>
      <c r="G851" s="64"/>
      <c r="R851" s="148"/>
    </row>
    <row r="852" spans="4:18" ht="14.25" customHeight="1">
      <c r="D852" s="61"/>
      <c r="E852" s="62"/>
      <c r="F852" s="63"/>
      <c r="G852" s="64"/>
      <c r="R852" s="148"/>
    </row>
    <row r="853" spans="4:18" ht="14.25" customHeight="1">
      <c r="D853" s="61"/>
      <c r="E853" s="62"/>
      <c r="F853" s="63"/>
      <c r="G853" s="64"/>
      <c r="R853" s="148"/>
    </row>
    <row r="854" spans="4:18" ht="14.25" customHeight="1">
      <c r="D854" s="61"/>
      <c r="E854" s="62"/>
      <c r="F854" s="63"/>
      <c r="G854" s="64"/>
      <c r="R854" s="148"/>
    </row>
    <row r="855" spans="4:18" ht="14.25" customHeight="1">
      <c r="D855" s="61"/>
      <c r="E855" s="62"/>
      <c r="F855" s="63"/>
      <c r="G855" s="64"/>
      <c r="R855" s="148"/>
    </row>
    <row r="856" spans="4:18" ht="14.25" customHeight="1">
      <c r="D856" s="61"/>
      <c r="E856" s="62"/>
      <c r="F856" s="63"/>
      <c r="G856" s="64"/>
      <c r="R856" s="148"/>
    </row>
    <row r="857" spans="4:18" ht="14.25" customHeight="1">
      <c r="D857" s="61"/>
      <c r="E857" s="62"/>
      <c r="F857" s="63"/>
      <c r="G857" s="64"/>
      <c r="R857" s="148"/>
    </row>
    <row r="858" spans="4:18" ht="14.25" customHeight="1">
      <c r="D858" s="61"/>
      <c r="E858" s="62"/>
      <c r="F858" s="63"/>
      <c r="G858" s="64"/>
      <c r="R858" s="148"/>
    </row>
    <row r="859" spans="4:18" ht="14.25" customHeight="1">
      <c r="D859" s="61"/>
      <c r="E859" s="62"/>
      <c r="F859" s="63"/>
      <c r="G859" s="64"/>
      <c r="R859" s="148"/>
    </row>
    <row r="860" spans="4:18" ht="14.25" customHeight="1">
      <c r="D860" s="61"/>
      <c r="E860" s="62"/>
      <c r="F860" s="63"/>
      <c r="G860" s="64"/>
      <c r="R860" s="148"/>
    </row>
    <row r="861" spans="4:18" ht="14.25" customHeight="1">
      <c r="D861" s="61"/>
      <c r="E861" s="62"/>
      <c r="F861" s="63"/>
      <c r="G861" s="64"/>
      <c r="R861" s="148"/>
    </row>
    <row r="862" spans="4:18" ht="14.25" customHeight="1">
      <c r="D862" s="61"/>
      <c r="E862" s="62"/>
      <c r="F862" s="63"/>
      <c r="G862" s="64"/>
      <c r="R862" s="148"/>
    </row>
    <row r="863" spans="4:18" ht="14.25" customHeight="1">
      <c r="D863" s="61"/>
      <c r="E863" s="62"/>
      <c r="F863" s="63"/>
      <c r="G863" s="64"/>
      <c r="R863" s="148"/>
    </row>
    <row r="864" spans="4:18" ht="14.25" customHeight="1">
      <c r="D864" s="61"/>
      <c r="E864" s="62"/>
      <c r="F864" s="63"/>
      <c r="G864" s="64"/>
      <c r="R864" s="148"/>
    </row>
    <row r="865" spans="4:18" ht="14.25" customHeight="1">
      <c r="D865" s="61"/>
      <c r="E865" s="62"/>
      <c r="F865" s="63"/>
      <c r="G865" s="64"/>
      <c r="R865" s="148"/>
    </row>
    <row r="866" spans="4:18" ht="14.25" customHeight="1">
      <c r="D866" s="61"/>
      <c r="E866" s="62"/>
      <c r="F866" s="63"/>
      <c r="G866" s="64"/>
      <c r="R866" s="148"/>
    </row>
    <row r="867" spans="4:18" ht="14.25" customHeight="1">
      <c r="D867" s="61"/>
      <c r="E867" s="62"/>
      <c r="F867" s="63"/>
      <c r="G867" s="64"/>
      <c r="R867" s="148"/>
    </row>
    <row r="868" spans="4:18" ht="14.25" customHeight="1">
      <c r="D868" s="61"/>
      <c r="E868" s="62"/>
      <c r="F868" s="63"/>
      <c r="G868" s="64"/>
      <c r="R868" s="148"/>
    </row>
    <row r="869" spans="4:18" ht="14.25" customHeight="1">
      <c r="D869" s="61"/>
      <c r="E869" s="62"/>
      <c r="F869" s="63"/>
      <c r="G869" s="64"/>
      <c r="R869" s="148"/>
    </row>
    <row r="870" spans="4:18" ht="14.25" customHeight="1">
      <c r="D870" s="61"/>
      <c r="E870" s="62"/>
      <c r="F870" s="63"/>
      <c r="G870" s="64"/>
      <c r="R870" s="148"/>
    </row>
    <row r="871" spans="4:18" ht="14.25" customHeight="1">
      <c r="D871" s="61"/>
      <c r="E871" s="62"/>
      <c r="F871" s="63"/>
      <c r="G871" s="64"/>
      <c r="R871" s="148"/>
    </row>
    <row r="872" spans="4:18" ht="14.25" customHeight="1">
      <c r="D872" s="61"/>
      <c r="E872" s="62"/>
      <c r="F872" s="63"/>
      <c r="G872" s="64"/>
      <c r="R872" s="148"/>
    </row>
    <row r="873" spans="4:18" ht="14.25" customHeight="1">
      <c r="D873" s="61"/>
      <c r="E873" s="62"/>
      <c r="F873" s="63"/>
      <c r="G873" s="64"/>
      <c r="R873" s="148"/>
    </row>
    <row r="874" spans="4:18" ht="14.25" customHeight="1">
      <c r="D874" s="61"/>
      <c r="E874" s="62"/>
      <c r="F874" s="63"/>
      <c r="G874" s="64"/>
      <c r="R874" s="148"/>
    </row>
    <row r="875" spans="4:18" ht="14.25" customHeight="1">
      <c r="D875" s="61"/>
      <c r="E875" s="62"/>
      <c r="F875" s="63"/>
      <c r="G875" s="64"/>
      <c r="R875" s="148"/>
    </row>
    <row r="876" spans="4:18" ht="14.25" customHeight="1">
      <c r="D876" s="61"/>
      <c r="E876" s="62"/>
      <c r="F876" s="63"/>
      <c r="G876" s="64"/>
      <c r="R876" s="148"/>
    </row>
    <row r="877" spans="4:18" ht="14.25" customHeight="1">
      <c r="D877" s="61"/>
      <c r="E877" s="62"/>
      <c r="F877" s="63"/>
      <c r="G877" s="64"/>
      <c r="R877" s="148"/>
    </row>
    <row r="878" spans="4:18" ht="14.25" customHeight="1">
      <c r="D878" s="61"/>
      <c r="E878" s="62"/>
      <c r="F878" s="63"/>
      <c r="G878" s="64"/>
      <c r="R878" s="148"/>
    </row>
    <row r="879" spans="4:18" ht="14.25" customHeight="1">
      <c r="D879" s="61"/>
      <c r="E879" s="62"/>
      <c r="F879" s="63"/>
      <c r="G879" s="64"/>
      <c r="R879" s="148"/>
    </row>
    <row r="880" spans="4:18" ht="14.25" customHeight="1">
      <c r="D880" s="61"/>
      <c r="E880" s="62"/>
      <c r="F880" s="63"/>
      <c r="G880" s="64"/>
      <c r="R880" s="148"/>
    </row>
    <row r="881" spans="4:18" ht="14.25" customHeight="1">
      <c r="D881" s="61"/>
      <c r="E881" s="62"/>
      <c r="F881" s="63"/>
      <c r="G881" s="64"/>
      <c r="R881" s="148"/>
    </row>
    <row r="882" spans="4:18" ht="14.25" customHeight="1">
      <c r="D882" s="61"/>
      <c r="E882" s="62"/>
      <c r="F882" s="63"/>
      <c r="G882" s="64"/>
      <c r="R882" s="148"/>
    </row>
    <row r="883" spans="4:18" ht="14.25" customHeight="1">
      <c r="D883" s="61"/>
      <c r="E883" s="62"/>
      <c r="F883" s="63"/>
      <c r="G883" s="64"/>
      <c r="R883" s="148"/>
    </row>
    <row r="884" spans="4:18" ht="14.25" customHeight="1">
      <c r="D884" s="61"/>
      <c r="E884" s="62"/>
      <c r="F884" s="63"/>
      <c r="G884" s="64"/>
      <c r="R884" s="148"/>
    </row>
    <row r="885" spans="4:18" ht="14.25" customHeight="1">
      <c r="D885" s="61"/>
      <c r="E885" s="62"/>
      <c r="F885" s="63"/>
      <c r="G885" s="64"/>
      <c r="R885" s="148"/>
    </row>
    <row r="886" spans="4:18" ht="14.25" customHeight="1">
      <c r="D886" s="61"/>
      <c r="E886" s="62"/>
      <c r="F886" s="63"/>
      <c r="G886" s="64"/>
      <c r="R886" s="148"/>
    </row>
    <row r="887" spans="4:18" ht="14.25" customHeight="1">
      <c r="D887" s="61"/>
      <c r="E887" s="62"/>
      <c r="F887" s="63"/>
      <c r="G887" s="64"/>
      <c r="R887" s="148"/>
    </row>
    <row r="888" spans="4:18" ht="14.25" customHeight="1">
      <c r="D888" s="61"/>
      <c r="E888" s="62"/>
      <c r="F888" s="63"/>
      <c r="G888" s="64"/>
      <c r="R888" s="148"/>
    </row>
    <row r="889" spans="4:18" ht="14.25" customHeight="1">
      <c r="D889" s="61"/>
      <c r="E889" s="62"/>
      <c r="F889" s="63"/>
      <c r="G889" s="64"/>
      <c r="R889" s="148"/>
    </row>
    <row r="890" spans="4:18" ht="14.25" customHeight="1">
      <c r="D890" s="61"/>
      <c r="E890" s="62"/>
      <c r="F890" s="63"/>
      <c r="G890" s="64"/>
      <c r="R890" s="148"/>
    </row>
    <row r="891" spans="4:18" ht="14.25" customHeight="1">
      <c r="D891" s="61"/>
      <c r="E891" s="62"/>
      <c r="F891" s="63"/>
      <c r="G891" s="64"/>
      <c r="R891" s="148"/>
    </row>
    <row r="892" spans="4:18" ht="14.25" customHeight="1">
      <c r="D892" s="61"/>
      <c r="E892" s="62"/>
      <c r="F892" s="63"/>
      <c r="G892" s="64"/>
      <c r="R892" s="148"/>
    </row>
    <row r="893" spans="4:18" ht="14.25" customHeight="1">
      <c r="D893" s="61"/>
      <c r="E893" s="62"/>
      <c r="F893" s="63"/>
      <c r="G893" s="64"/>
      <c r="R893" s="148"/>
    </row>
    <row r="894" spans="4:18" ht="14.25" customHeight="1">
      <c r="D894" s="61"/>
      <c r="E894" s="62"/>
      <c r="F894" s="63"/>
      <c r="G894" s="64"/>
      <c r="R894" s="148"/>
    </row>
    <row r="895" spans="4:18" ht="14.25" customHeight="1">
      <c r="D895" s="61"/>
      <c r="E895" s="62"/>
      <c r="F895" s="63"/>
      <c r="G895" s="64"/>
      <c r="R895" s="148"/>
    </row>
    <row r="896" spans="4:18" ht="14.25" customHeight="1">
      <c r="D896" s="61"/>
      <c r="E896" s="62"/>
      <c r="F896" s="63"/>
      <c r="G896" s="64"/>
      <c r="R896" s="148"/>
    </row>
    <row r="897" spans="4:18" ht="14.25" customHeight="1">
      <c r="D897" s="61"/>
      <c r="E897" s="62"/>
      <c r="F897" s="63"/>
      <c r="G897" s="64"/>
      <c r="R897" s="148"/>
    </row>
    <row r="898" spans="4:18" ht="14.25" customHeight="1">
      <c r="D898" s="61"/>
      <c r="E898" s="62"/>
      <c r="F898" s="63"/>
      <c r="G898" s="64"/>
      <c r="R898" s="148"/>
    </row>
    <row r="899" spans="4:18" ht="14.25" customHeight="1">
      <c r="D899" s="61"/>
      <c r="E899" s="62"/>
      <c r="F899" s="63"/>
      <c r="G899" s="64"/>
      <c r="R899" s="148"/>
    </row>
    <row r="900" spans="4:18" ht="14.25" customHeight="1">
      <c r="D900" s="61"/>
      <c r="E900" s="62"/>
      <c r="F900" s="63"/>
      <c r="G900" s="64"/>
      <c r="R900" s="148"/>
    </row>
    <row r="901" spans="4:18" ht="14.25" customHeight="1">
      <c r="D901" s="61"/>
      <c r="E901" s="62"/>
      <c r="F901" s="63"/>
      <c r="G901" s="64"/>
      <c r="R901" s="148"/>
    </row>
    <row r="902" spans="4:18" ht="14.25" customHeight="1">
      <c r="D902" s="61"/>
      <c r="E902" s="62"/>
      <c r="F902" s="63"/>
      <c r="G902" s="64"/>
      <c r="R902" s="148"/>
    </row>
    <row r="903" spans="4:18" ht="14.25" customHeight="1">
      <c r="D903" s="61"/>
      <c r="E903" s="62"/>
      <c r="F903" s="63"/>
      <c r="G903" s="64"/>
      <c r="R903" s="148"/>
    </row>
    <row r="904" spans="4:18" ht="14.25" customHeight="1">
      <c r="D904" s="61"/>
      <c r="E904" s="62"/>
      <c r="F904" s="63"/>
      <c r="G904" s="64"/>
      <c r="R904" s="148"/>
    </row>
    <row r="905" spans="4:18" ht="14.25" customHeight="1">
      <c r="D905" s="61"/>
      <c r="E905" s="62"/>
      <c r="F905" s="63"/>
      <c r="G905" s="64"/>
      <c r="R905" s="148"/>
    </row>
    <row r="906" spans="4:18" ht="14.25" customHeight="1">
      <c r="D906" s="61"/>
      <c r="E906" s="62"/>
      <c r="F906" s="63"/>
      <c r="G906" s="64"/>
      <c r="R906" s="148"/>
    </row>
    <row r="907" spans="4:18" ht="14.25" customHeight="1">
      <c r="D907" s="61"/>
      <c r="E907" s="62"/>
      <c r="F907" s="63"/>
      <c r="G907" s="64"/>
      <c r="R907" s="148"/>
    </row>
    <row r="908" spans="4:18" ht="14.25" customHeight="1">
      <c r="D908" s="61"/>
      <c r="E908" s="62"/>
      <c r="F908" s="63"/>
      <c r="G908" s="64"/>
      <c r="R908" s="148"/>
    </row>
    <row r="909" spans="4:18" ht="14.25" customHeight="1">
      <c r="D909" s="61"/>
      <c r="E909" s="62"/>
      <c r="F909" s="63"/>
      <c r="G909" s="64"/>
      <c r="R909" s="148"/>
    </row>
    <row r="910" spans="4:18" ht="14.25" customHeight="1">
      <c r="D910" s="61"/>
      <c r="E910" s="62"/>
      <c r="F910" s="63"/>
      <c r="G910" s="64"/>
      <c r="R910" s="148"/>
    </row>
    <row r="911" spans="4:18" ht="14.25" customHeight="1">
      <c r="D911" s="61"/>
      <c r="E911" s="62"/>
      <c r="F911" s="63"/>
      <c r="G911" s="64"/>
      <c r="R911" s="148"/>
    </row>
    <row r="912" spans="4:18" ht="14.25" customHeight="1">
      <c r="D912" s="61"/>
      <c r="E912" s="62"/>
      <c r="F912" s="63"/>
      <c r="G912" s="64"/>
      <c r="R912" s="148"/>
    </row>
    <row r="913" spans="4:18" ht="14.25" customHeight="1">
      <c r="D913" s="61"/>
      <c r="E913" s="62"/>
      <c r="F913" s="63"/>
      <c r="G913" s="64"/>
      <c r="R913" s="148"/>
    </row>
    <row r="914" spans="4:18" ht="14.25" customHeight="1">
      <c r="D914" s="61"/>
      <c r="E914" s="62"/>
      <c r="F914" s="63"/>
      <c r="G914" s="64"/>
      <c r="R914" s="148"/>
    </row>
    <row r="915" spans="4:18" ht="14.25" customHeight="1">
      <c r="D915" s="61"/>
      <c r="E915" s="62"/>
      <c r="F915" s="63"/>
      <c r="G915" s="64"/>
      <c r="R915" s="148"/>
    </row>
    <row r="916" spans="4:18" ht="14.25" customHeight="1">
      <c r="D916" s="61"/>
      <c r="E916" s="62"/>
      <c r="F916" s="63"/>
      <c r="G916" s="64"/>
      <c r="R916" s="148"/>
    </row>
    <row r="917" spans="4:18" ht="14.25" customHeight="1">
      <c r="D917" s="61"/>
      <c r="E917" s="62"/>
      <c r="F917" s="63"/>
      <c r="G917" s="64"/>
      <c r="R917" s="148"/>
    </row>
    <row r="918" spans="4:18" ht="14.25" customHeight="1">
      <c r="D918" s="61"/>
      <c r="E918" s="62"/>
      <c r="F918" s="63"/>
      <c r="G918" s="64"/>
      <c r="R918" s="148"/>
    </row>
    <row r="919" spans="4:18" ht="14.25" customHeight="1">
      <c r="D919" s="61"/>
      <c r="E919" s="62"/>
      <c r="F919" s="63"/>
      <c r="G919" s="64"/>
      <c r="R919" s="148"/>
    </row>
    <row r="920" spans="4:18" ht="14.25" customHeight="1">
      <c r="D920" s="61"/>
      <c r="E920" s="62"/>
      <c r="F920" s="63"/>
      <c r="G920" s="64"/>
      <c r="R920" s="148"/>
    </row>
    <row r="921" spans="4:18" ht="14.25" customHeight="1">
      <c r="D921" s="61"/>
      <c r="E921" s="62"/>
      <c r="F921" s="63"/>
      <c r="G921" s="64"/>
      <c r="R921" s="148"/>
    </row>
    <row r="922" spans="4:18" ht="14.25" customHeight="1">
      <c r="D922" s="61"/>
      <c r="E922" s="62"/>
      <c r="F922" s="63"/>
      <c r="G922" s="64"/>
      <c r="R922" s="148"/>
    </row>
    <row r="923" spans="4:18" ht="14.25" customHeight="1">
      <c r="D923" s="61"/>
      <c r="E923" s="62"/>
      <c r="F923" s="63"/>
      <c r="G923" s="64"/>
      <c r="R923" s="148"/>
    </row>
    <row r="924" spans="4:18" ht="14.25" customHeight="1">
      <c r="D924" s="61"/>
      <c r="E924" s="62"/>
      <c r="F924" s="63"/>
      <c r="G924" s="64"/>
      <c r="R924" s="148"/>
    </row>
    <row r="925" spans="4:18" ht="14.25" customHeight="1">
      <c r="D925" s="61"/>
      <c r="E925" s="62"/>
      <c r="F925" s="63"/>
      <c r="G925" s="64"/>
      <c r="R925" s="148"/>
    </row>
    <row r="926" spans="4:18" ht="14.25" customHeight="1">
      <c r="D926" s="61"/>
      <c r="E926" s="62"/>
      <c r="F926" s="63"/>
      <c r="G926" s="64"/>
      <c r="R926" s="148"/>
    </row>
    <row r="927" spans="4:18" ht="14.25" customHeight="1">
      <c r="D927" s="61"/>
      <c r="E927" s="62"/>
      <c r="F927" s="63"/>
      <c r="G927" s="64"/>
      <c r="R927" s="148"/>
    </row>
    <row r="928" spans="4:18" ht="14.25" customHeight="1">
      <c r="D928" s="61"/>
      <c r="E928" s="62"/>
      <c r="F928" s="63"/>
      <c r="G928" s="64"/>
      <c r="R928" s="148"/>
    </row>
    <row r="929" spans="4:18" ht="14.25" customHeight="1">
      <c r="D929" s="61"/>
      <c r="E929" s="62"/>
      <c r="F929" s="63"/>
      <c r="G929" s="64"/>
      <c r="R929" s="148"/>
    </row>
    <row r="930" spans="4:18" ht="14.25" customHeight="1">
      <c r="D930" s="61"/>
      <c r="E930" s="62"/>
      <c r="F930" s="63"/>
      <c r="G930" s="64"/>
      <c r="R930" s="148"/>
    </row>
    <row r="931" spans="4:18" ht="14.25" customHeight="1">
      <c r="D931" s="61"/>
      <c r="E931" s="62"/>
      <c r="F931" s="63"/>
      <c r="G931" s="64"/>
      <c r="R931" s="148"/>
    </row>
    <row r="932" spans="4:18" ht="14.25" customHeight="1">
      <c r="D932" s="61"/>
      <c r="E932" s="62"/>
      <c r="F932" s="63"/>
      <c r="G932" s="64"/>
      <c r="R932" s="148"/>
    </row>
    <row r="933" spans="4:18" ht="14.25" customHeight="1">
      <c r="D933" s="61"/>
      <c r="E933" s="62"/>
      <c r="F933" s="63"/>
      <c r="G933" s="64"/>
      <c r="R933" s="148"/>
    </row>
    <row r="934" spans="4:18" ht="14.25" customHeight="1">
      <c r="D934" s="61"/>
      <c r="E934" s="62"/>
      <c r="F934" s="63"/>
      <c r="G934" s="64"/>
      <c r="R934" s="148"/>
    </row>
    <row r="935" spans="4:18" ht="14.25" customHeight="1">
      <c r="D935" s="61"/>
      <c r="E935" s="62"/>
      <c r="F935" s="63"/>
      <c r="G935" s="64"/>
      <c r="R935" s="148"/>
    </row>
    <row r="936" spans="4:18" ht="14.25" customHeight="1">
      <c r="D936" s="61"/>
      <c r="E936" s="62"/>
      <c r="F936" s="63"/>
      <c r="G936" s="64"/>
      <c r="R936" s="148"/>
    </row>
    <row r="937" spans="4:18" ht="14.25" customHeight="1">
      <c r="D937" s="61"/>
      <c r="E937" s="62"/>
      <c r="F937" s="63"/>
      <c r="G937" s="64"/>
      <c r="R937" s="148"/>
    </row>
    <row r="938" spans="4:18" ht="14.25" customHeight="1">
      <c r="D938" s="61"/>
      <c r="E938" s="62"/>
      <c r="F938" s="63"/>
      <c r="G938" s="64"/>
      <c r="R938" s="148"/>
    </row>
    <row r="939" spans="4:18" ht="14.25" customHeight="1">
      <c r="D939" s="61"/>
      <c r="E939" s="62"/>
      <c r="F939" s="63"/>
      <c r="G939" s="64"/>
      <c r="R939" s="148"/>
    </row>
    <row r="940" spans="4:18" ht="14.25" customHeight="1">
      <c r="D940" s="61"/>
      <c r="E940" s="62"/>
      <c r="F940" s="63"/>
      <c r="G940" s="64"/>
      <c r="R940" s="148"/>
    </row>
    <row r="941" spans="4:18" ht="14.25" customHeight="1">
      <c r="D941" s="61"/>
      <c r="E941" s="62"/>
      <c r="F941" s="63"/>
      <c r="G941" s="64"/>
      <c r="R941" s="148"/>
    </row>
    <row r="942" spans="4:18" ht="14.25" customHeight="1">
      <c r="D942" s="61"/>
      <c r="E942" s="62"/>
      <c r="F942" s="63"/>
      <c r="G942" s="64"/>
      <c r="R942" s="148"/>
    </row>
    <row r="943" spans="4:18" ht="14.25" customHeight="1">
      <c r="D943" s="61"/>
      <c r="E943" s="62"/>
      <c r="F943" s="63"/>
      <c r="G943" s="64"/>
      <c r="R943" s="148"/>
    </row>
    <row r="944" spans="4:18" ht="14.25" customHeight="1">
      <c r="D944" s="61"/>
      <c r="E944" s="62"/>
      <c r="F944" s="63"/>
      <c r="G944" s="64"/>
      <c r="R944" s="148"/>
    </row>
    <row r="945" spans="4:18" ht="14.25" customHeight="1">
      <c r="D945" s="61"/>
      <c r="E945" s="62"/>
      <c r="F945" s="63"/>
      <c r="G945" s="64"/>
      <c r="R945" s="148"/>
    </row>
    <row r="946" spans="4:18" ht="14.25" customHeight="1">
      <c r="D946" s="61"/>
      <c r="E946" s="62"/>
      <c r="F946" s="63"/>
      <c r="G946" s="64"/>
      <c r="R946" s="148"/>
    </row>
    <row r="947" spans="4:18" ht="14.25" customHeight="1">
      <c r="D947" s="61"/>
      <c r="E947" s="62"/>
      <c r="F947" s="63"/>
      <c r="G947" s="64"/>
      <c r="R947" s="148"/>
    </row>
    <row r="948" spans="4:18" ht="14.25" customHeight="1">
      <c r="D948" s="61"/>
      <c r="E948" s="62"/>
      <c r="F948" s="63"/>
      <c r="G948" s="64"/>
      <c r="R948" s="148"/>
    </row>
    <row r="949" spans="4:18" ht="14.25" customHeight="1">
      <c r="D949" s="61"/>
      <c r="E949" s="62"/>
      <c r="F949" s="63"/>
      <c r="G949" s="64"/>
      <c r="R949" s="148"/>
    </row>
    <row r="950" spans="4:18" ht="14.25" customHeight="1">
      <c r="D950" s="61"/>
      <c r="E950" s="62"/>
      <c r="F950" s="63"/>
      <c r="G950" s="64"/>
      <c r="R950" s="148"/>
    </row>
    <row r="951" spans="4:18" ht="14.25" customHeight="1">
      <c r="D951" s="61"/>
      <c r="E951" s="62"/>
      <c r="F951" s="63"/>
      <c r="G951" s="64"/>
      <c r="R951" s="148"/>
    </row>
    <row r="952" spans="4:18" ht="14.25" customHeight="1">
      <c r="D952" s="61"/>
      <c r="E952" s="62"/>
      <c r="F952" s="63"/>
      <c r="G952" s="64"/>
      <c r="R952" s="148"/>
    </row>
    <row r="953" spans="4:18" ht="14.25" customHeight="1">
      <c r="D953" s="61"/>
      <c r="E953" s="62"/>
      <c r="F953" s="63"/>
      <c r="G953" s="64"/>
      <c r="R953" s="148"/>
    </row>
    <row r="954" spans="4:18" ht="14.25" customHeight="1">
      <c r="D954" s="61"/>
      <c r="E954" s="62"/>
      <c r="F954" s="63"/>
      <c r="G954" s="64"/>
      <c r="R954" s="148"/>
    </row>
    <row r="955" spans="4:18" ht="14.25" customHeight="1">
      <c r="D955" s="61"/>
      <c r="E955" s="62"/>
      <c r="F955" s="63"/>
      <c r="G955" s="64"/>
      <c r="R955" s="148"/>
    </row>
    <row r="956" spans="4:18" ht="14.25" customHeight="1">
      <c r="D956" s="61"/>
      <c r="E956" s="62"/>
      <c r="F956" s="63"/>
      <c r="G956" s="64"/>
      <c r="R956" s="148"/>
    </row>
    <row r="957" spans="4:18" ht="14.25" customHeight="1">
      <c r="D957" s="61"/>
      <c r="E957" s="62"/>
      <c r="F957" s="63"/>
      <c r="G957" s="64"/>
      <c r="R957" s="148"/>
    </row>
    <row r="958" spans="4:18" ht="14.25" customHeight="1">
      <c r="D958" s="61"/>
      <c r="E958" s="62"/>
      <c r="F958" s="63"/>
      <c r="G958" s="64"/>
      <c r="R958" s="148"/>
    </row>
    <row r="959" spans="4:18" ht="14.25" customHeight="1">
      <c r="D959" s="61"/>
      <c r="E959" s="62"/>
      <c r="F959" s="63"/>
      <c r="G959" s="64"/>
      <c r="R959" s="148"/>
    </row>
    <row r="960" spans="4:18" ht="14.25" customHeight="1">
      <c r="D960" s="61"/>
      <c r="E960" s="62"/>
      <c r="F960" s="63"/>
      <c r="G960" s="64"/>
      <c r="R960" s="148"/>
    </row>
    <row r="961" spans="4:18" ht="14.25" customHeight="1">
      <c r="D961" s="61"/>
      <c r="E961" s="62"/>
      <c r="F961" s="63"/>
      <c r="G961" s="64"/>
      <c r="R961" s="148"/>
    </row>
    <row r="962" spans="4:18" ht="14.25" customHeight="1">
      <c r="D962" s="61"/>
      <c r="E962" s="62"/>
      <c r="F962" s="63"/>
      <c r="G962" s="64"/>
      <c r="R962" s="148"/>
    </row>
    <row r="963" spans="4:18" ht="14.25" customHeight="1">
      <c r="D963" s="61"/>
      <c r="E963" s="62"/>
      <c r="F963" s="63"/>
      <c r="G963" s="64"/>
      <c r="R963" s="148"/>
    </row>
    <row r="964" spans="4:18" ht="14.25" customHeight="1">
      <c r="D964" s="61"/>
      <c r="E964" s="62"/>
      <c r="F964" s="63"/>
      <c r="G964" s="64"/>
      <c r="R964" s="148"/>
    </row>
    <row r="965" spans="4:18" ht="14.25" customHeight="1">
      <c r="D965" s="61"/>
      <c r="E965" s="62"/>
      <c r="F965" s="63"/>
      <c r="G965" s="64"/>
      <c r="R965" s="148"/>
    </row>
    <row r="966" spans="4:18" ht="14.25" customHeight="1">
      <c r="D966" s="61"/>
      <c r="E966" s="62"/>
      <c r="F966" s="63"/>
      <c r="G966" s="64"/>
      <c r="R966" s="148"/>
    </row>
    <row r="967" spans="4:18" ht="14.25" customHeight="1">
      <c r="D967" s="61"/>
      <c r="E967" s="62"/>
      <c r="F967" s="63"/>
      <c r="G967" s="64"/>
      <c r="R967" s="148"/>
    </row>
    <row r="968" spans="4:18" ht="14.25" customHeight="1">
      <c r="D968" s="61"/>
      <c r="E968" s="62"/>
      <c r="F968" s="63"/>
      <c r="G968" s="64"/>
      <c r="R968" s="148"/>
    </row>
    <row r="969" spans="4:18" ht="14.25" customHeight="1">
      <c r="D969" s="61"/>
      <c r="E969" s="62"/>
      <c r="F969" s="63"/>
      <c r="G969" s="64"/>
      <c r="R969" s="148"/>
    </row>
    <row r="970" spans="4:18" ht="14.25" customHeight="1">
      <c r="D970" s="61"/>
      <c r="E970" s="62"/>
      <c r="F970" s="63"/>
      <c r="G970" s="64"/>
      <c r="R970" s="148"/>
    </row>
    <row r="971" spans="4:18" ht="14.25" customHeight="1">
      <c r="D971" s="61"/>
      <c r="E971" s="62"/>
      <c r="F971" s="63"/>
      <c r="G971" s="64"/>
      <c r="R971" s="148"/>
    </row>
    <row r="972" spans="4:18" ht="14.25" customHeight="1">
      <c r="D972" s="61"/>
      <c r="E972" s="62"/>
      <c r="F972" s="63"/>
      <c r="G972" s="64"/>
      <c r="R972" s="148"/>
    </row>
    <row r="973" spans="4:18" ht="14.25" customHeight="1">
      <c r="D973" s="61"/>
      <c r="E973" s="62"/>
      <c r="F973" s="63"/>
      <c r="G973" s="64"/>
      <c r="R973" s="148"/>
    </row>
    <row r="974" spans="4:18" ht="14.25" customHeight="1">
      <c r="D974" s="61"/>
      <c r="E974" s="62"/>
      <c r="F974" s="63"/>
      <c r="G974" s="64"/>
      <c r="R974" s="148"/>
    </row>
    <row r="975" spans="4:18" ht="14.25" customHeight="1">
      <c r="D975" s="61"/>
      <c r="E975" s="62"/>
      <c r="F975" s="63"/>
      <c r="G975" s="64"/>
      <c r="R975" s="148"/>
    </row>
    <row r="976" spans="4:18" ht="14.25" customHeight="1">
      <c r="D976" s="61"/>
      <c r="E976" s="62"/>
      <c r="F976" s="63"/>
      <c r="G976" s="64"/>
      <c r="R976" s="148"/>
    </row>
    <row r="977" spans="4:18" ht="14.25" customHeight="1">
      <c r="D977" s="61"/>
      <c r="E977" s="62"/>
      <c r="F977" s="63"/>
      <c r="G977" s="64"/>
      <c r="R977" s="148"/>
    </row>
    <row r="978" spans="4:18" ht="14.25" customHeight="1">
      <c r="D978" s="61"/>
      <c r="E978" s="62"/>
      <c r="F978" s="63"/>
      <c r="G978" s="64"/>
      <c r="R978" s="148"/>
    </row>
    <row r="979" spans="4:18" ht="14.25" customHeight="1">
      <c r="D979" s="61"/>
      <c r="E979" s="62"/>
      <c r="F979" s="63"/>
      <c r="G979" s="64"/>
      <c r="R979" s="148"/>
    </row>
    <row r="980" spans="4:18" ht="14.25" customHeight="1">
      <c r="D980" s="61"/>
      <c r="E980" s="62"/>
      <c r="F980" s="63"/>
      <c r="G980" s="64"/>
      <c r="R980" s="148"/>
    </row>
    <row r="981" spans="4:18" ht="14.25" customHeight="1">
      <c r="D981" s="61"/>
      <c r="E981" s="62"/>
      <c r="F981" s="63"/>
      <c r="G981" s="64"/>
      <c r="R981" s="148"/>
    </row>
    <row r="982" spans="4:18" ht="14.25" customHeight="1">
      <c r="D982" s="61"/>
      <c r="E982" s="62"/>
      <c r="F982" s="63"/>
      <c r="G982" s="64"/>
      <c r="R982" s="148"/>
    </row>
    <row r="983" spans="4:18" ht="14.25" customHeight="1">
      <c r="D983" s="61"/>
      <c r="E983" s="62"/>
      <c r="F983" s="63"/>
      <c r="G983" s="64"/>
      <c r="R983" s="148"/>
    </row>
    <row r="984" spans="4:18" ht="14.25" customHeight="1">
      <c r="D984" s="61"/>
      <c r="E984" s="62"/>
      <c r="F984" s="63"/>
      <c r="G984" s="64"/>
      <c r="R984" s="148"/>
    </row>
    <row r="985" spans="4:18" ht="14.25" customHeight="1">
      <c r="D985" s="61"/>
      <c r="E985" s="62"/>
      <c r="F985" s="63"/>
      <c r="G985" s="64"/>
      <c r="R985" s="148"/>
    </row>
    <row r="986" spans="4:18" ht="14.25" customHeight="1">
      <c r="D986" s="61"/>
      <c r="E986" s="62"/>
      <c r="F986" s="63"/>
      <c r="G986" s="64"/>
      <c r="R986" s="148"/>
    </row>
    <row r="987" spans="4:18" ht="14.25" customHeight="1">
      <c r="D987" s="61"/>
      <c r="E987" s="62"/>
      <c r="F987" s="63"/>
      <c r="G987" s="64"/>
      <c r="R987" s="148"/>
    </row>
    <row r="988" spans="4:18" ht="14.25" customHeight="1">
      <c r="D988" s="61"/>
      <c r="E988" s="62"/>
      <c r="F988" s="63"/>
      <c r="G988" s="64"/>
      <c r="R988" s="148"/>
    </row>
    <row r="989" spans="4:18" ht="14.25" customHeight="1">
      <c r="D989" s="61"/>
      <c r="E989" s="62"/>
      <c r="F989" s="63"/>
      <c r="G989" s="64"/>
      <c r="R989" s="148"/>
    </row>
    <row r="990" spans="4:18" ht="14.25" customHeight="1">
      <c r="D990" s="61"/>
      <c r="E990" s="62"/>
      <c r="F990" s="63"/>
      <c r="G990" s="64"/>
      <c r="R990" s="148"/>
    </row>
    <row r="991" spans="4:18" ht="14.25" customHeight="1">
      <c r="D991" s="61"/>
      <c r="E991" s="62"/>
      <c r="F991" s="63"/>
      <c r="G991" s="64"/>
      <c r="R991" s="148"/>
    </row>
    <row r="992" spans="4:18" ht="14.25" customHeight="1">
      <c r="D992" s="61"/>
      <c r="E992" s="62"/>
      <c r="F992" s="63"/>
      <c r="G992" s="64"/>
      <c r="R992" s="148"/>
    </row>
    <row r="993" spans="4:18" ht="14.25" customHeight="1">
      <c r="D993" s="61"/>
      <c r="E993" s="62"/>
      <c r="F993" s="63"/>
      <c r="G993" s="64"/>
      <c r="R993" s="148"/>
    </row>
    <row r="994" spans="4:18" ht="14.25" customHeight="1">
      <c r="D994" s="61"/>
      <c r="E994" s="62"/>
      <c r="F994" s="63"/>
      <c r="G994" s="64"/>
      <c r="R994" s="148"/>
    </row>
    <row r="995" spans="4:18" ht="14.25" customHeight="1">
      <c r="D995" s="61"/>
      <c r="E995" s="62"/>
      <c r="F995" s="63"/>
      <c r="G995" s="64"/>
      <c r="R995" s="148"/>
    </row>
    <row r="996" spans="4:18" ht="14.25" customHeight="1">
      <c r="D996" s="61"/>
      <c r="E996" s="62"/>
      <c r="F996" s="63"/>
      <c r="G996" s="64"/>
      <c r="R996" s="148"/>
    </row>
    <row r="997" spans="4:18" ht="14.25" customHeight="1">
      <c r="D997" s="61"/>
      <c r="E997" s="62"/>
      <c r="F997" s="63"/>
      <c r="G997" s="64"/>
      <c r="R997" s="148"/>
    </row>
    <row r="998" spans="4:18" ht="14.25" customHeight="1">
      <c r="D998" s="61"/>
      <c r="E998" s="62"/>
      <c r="F998" s="63"/>
      <c r="G998" s="64"/>
      <c r="R998" s="148"/>
    </row>
    <row r="999" spans="4:18" ht="14.25" customHeight="1">
      <c r="D999" s="61"/>
      <c r="E999" s="62"/>
      <c r="F999" s="63"/>
      <c r="G999" s="64"/>
      <c r="R999" s="148"/>
    </row>
    <row r="1000" spans="4:18" ht="14.25" customHeight="1">
      <c r="D1000" s="61"/>
      <c r="E1000" s="62"/>
      <c r="F1000" s="63"/>
      <c r="G1000" s="64"/>
      <c r="R1000" s="148"/>
    </row>
    <row r="1001" spans="4:18" ht="14.25" customHeight="1">
      <c r="D1001" s="61"/>
      <c r="E1001" s="62"/>
      <c r="F1001" s="63"/>
      <c r="G1001" s="64"/>
      <c r="R1001" s="148"/>
    </row>
    <row r="1002" spans="4:18" ht="14.25" customHeight="1">
      <c r="D1002" s="61"/>
      <c r="E1002" s="62"/>
      <c r="F1002" s="63"/>
      <c r="G1002" s="64"/>
      <c r="R1002" s="148"/>
    </row>
    <row r="1003" spans="4:18" ht="14.25" customHeight="1">
      <c r="D1003" s="61"/>
      <c r="E1003" s="62"/>
      <c r="F1003" s="63"/>
      <c r="G1003" s="64"/>
      <c r="R1003" s="148"/>
    </row>
    <row r="1004" spans="4:18" ht="14.25" customHeight="1">
      <c r="D1004" s="61"/>
      <c r="E1004" s="62"/>
      <c r="F1004" s="63"/>
      <c r="G1004" s="64"/>
      <c r="R1004" s="148"/>
    </row>
    <row r="1005" spans="4:18" ht="14.25" customHeight="1">
      <c r="D1005" s="61"/>
      <c r="E1005" s="62"/>
      <c r="F1005" s="63"/>
      <c r="G1005" s="64"/>
      <c r="R1005" s="148"/>
    </row>
    <row r="1006" spans="4:18" ht="14.25" customHeight="1">
      <c r="D1006" s="61"/>
      <c r="E1006" s="62"/>
      <c r="F1006" s="63"/>
      <c r="G1006" s="64"/>
      <c r="R1006" s="148"/>
    </row>
    <row r="1007" spans="4:18" ht="14.25" customHeight="1">
      <c r="D1007" s="61"/>
      <c r="E1007" s="62"/>
      <c r="F1007" s="63"/>
      <c r="G1007" s="64"/>
      <c r="R1007" s="148"/>
    </row>
    <row r="1008" spans="4:18" ht="14.25" customHeight="1">
      <c r="D1008" s="61"/>
      <c r="E1008" s="62"/>
      <c r="F1008" s="63"/>
      <c r="G1008" s="64"/>
      <c r="R1008" s="148"/>
    </row>
    <row r="1009" spans="18:18" ht="14.25" customHeight="1">
      <c r="R1009" s="148"/>
    </row>
    <row r="1010" spans="18:18" ht="14.25" customHeight="1">
      <c r="R1010" s="148"/>
    </row>
  </sheetData>
  <mergeCells count="14">
    <mergeCell ref="A1:B3"/>
    <mergeCell ref="D1:F1"/>
    <mergeCell ref="G1:J1"/>
    <mergeCell ref="K1:N1"/>
    <mergeCell ref="O1:R1"/>
    <mergeCell ref="D4:R4"/>
    <mergeCell ref="D42:G42"/>
    <mergeCell ref="H42:K42"/>
    <mergeCell ref="L42:O42"/>
    <mergeCell ref="A23:A31"/>
    <mergeCell ref="A5:A12"/>
    <mergeCell ref="A13:O13"/>
    <mergeCell ref="A14:A21"/>
    <mergeCell ref="D22:R22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10"/>
  <sheetViews>
    <sheetView topLeftCell="A17" workbookViewId="0">
      <selection activeCell="G36" sqref="G36"/>
    </sheetView>
  </sheetViews>
  <sheetFormatPr defaultColWidth="14.42578125" defaultRowHeight="15" customHeight="1"/>
  <cols>
    <col min="1" max="2" width="10.7109375" customWidth="1"/>
    <col min="3" max="3" width="55.28515625" customWidth="1"/>
    <col min="4" max="29" width="9.42578125" customWidth="1"/>
  </cols>
  <sheetData>
    <row r="1" spans="1:29" ht="14.25" customHeight="1">
      <c r="A1" s="225"/>
      <c r="B1" s="226"/>
      <c r="C1" s="1" t="s">
        <v>0</v>
      </c>
      <c r="D1" s="231">
        <v>2022</v>
      </c>
      <c r="E1" s="222"/>
      <c r="F1" s="222"/>
      <c r="G1" s="231">
        <v>2023</v>
      </c>
      <c r="H1" s="222"/>
      <c r="I1" s="222"/>
      <c r="J1" s="222"/>
      <c r="K1" s="231">
        <v>2024</v>
      </c>
      <c r="L1" s="222"/>
      <c r="M1" s="222"/>
      <c r="N1" s="222"/>
      <c r="O1" s="231">
        <v>2025</v>
      </c>
      <c r="P1" s="222"/>
      <c r="Q1" s="222"/>
      <c r="R1" s="222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</row>
    <row r="2" spans="1:29" ht="14.25" customHeight="1">
      <c r="A2" s="227"/>
      <c r="B2" s="228"/>
      <c r="C2" s="1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2" t="s">
        <v>2</v>
      </c>
      <c r="I2" s="3" t="s">
        <v>3</v>
      </c>
      <c r="J2" s="4" t="s">
        <v>4</v>
      </c>
      <c r="K2" s="5" t="s">
        <v>5</v>
      </c>
      <c r="L2" s="2" t="s">
        <v>2</v>
      </c>
      <c r="M2" s="3" t="s">
        <v>3</v>
      </c>
      <c r="N2" s="4" t="s">
        <v>4</v>
      </c>
      <c r="O2" s="5" t="s">
        <v>5</v>
      </c>
      <c r="P2" s="2" t="s">
        <v>2</v>
      </c>
      <c r="Q2" s="3" t="s">
        <v>3</v>
      </c>
      <c r="R2" s="4" t="s">
        <v>4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</row>
    <row r="3" spans="1:29" ht="14.25" customHeight="1">
      <c r="A3" s="229"/>
      <c r="B3" s="230"/>
      <c r="C3" s="6" t="s">
        <v>6</v>
      </c>
      <c r="D3" s="114" t="s">
        <v>71</v>
      </c>
      <c r="E3" s="115" t="s">
        <v>71</v>
      </c>
      <c r="F3" s="149">
        <v>44859</v>
      </c>
      <c r="G3" s="150">
        <v>45019</v>
      </c>
      <c r="H3" s="151">
        <v>45088</v>
      </c>
      <c r="I3" s="152">
        <v>45170</v>
      </c>
      <c r="J3" s="149">
        <v>45253</v>
      </c>
      <c r="K3" s="150">
        <v>45329</v>
      </c>
      <c r="L3" s="151">
        <v>45460</v>
      </c>
      <c r="M3" s="152">
        <v>45538</v>
      </c>
      <c r="N3" s="149">
        <v>45601</v>
      </c>
      <c r="O3" s="150">
        <v>45708</v>
      </c>
      <c r="P3" s="151">
        <v>45783</v>
      </c>
      <c r="Q3" s="152">
        <v>45895</v>
      </c>
      <c r="R3" s="153">
        <v>45964</v>
      </c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</row>
    <row r="4" spans="1:29" ht="14.25" customHeight="1">
      <c r="A4" s="14" t="s">
        <v>7</v>
      </c>
      <c r="B4" s="14" t="s">
        <v>8</v>
      </c>
      <c r="C4" s="15" t="s">
        <v>52</v>
      </c>
      <c r="D4" s="239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</row>
    <row r="5" spans="1:29" ht="23.25" customHeight="1">
      <c r="A5" s="233" t="s">
        <v>10</v>
      </c>
      <c r="B5" s="16" t="s">
        <v>11</v>
      </c>
      <c r="C5" s="16" t="s">
        <v>12</v>
      </c>
      <c r="D5" s="17"/>
      <c r="E5" s="18"/>
      <c r="F5" s="19">
        <v>0</v>
      </c>
      <c r="G5" s="84">
        <v>0</v>
      </c>
      <c r="H5" s="17">
        <v>3</v>
      </c>
      <c r="I5" s="18">
        <v>0</v>
      </c>
      <c r="J5" s="19">
        <v>0</v>
      </c>
      <c r="K5" s="84">
        <v>0</v>
      </c>
      <c r="L5" s="17">
        <v>0</v>
      </c>
      <c r="M5" s="18">
        <v>0</v>
      </c>
      <c r="N5" s="19">
        <v>0</v>
      </c>
      <c r="O5" s="84">
        <v>0</v>
      </c>
      <c r="P5" s="17">
        <v>0</v>
      </c>
      <c r="Q5" s="18">
        <v>1</v>
      </c>
      <c r="R5" s="19">
        <v>0</v>
      </c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</row>
    <row r="6" spans="1:29" ht="22.5" customHeight="1">
      <c r="A6" s="219"/>
      <c r="B6" s="24" t="s">
        <v>13</v>
      </c>
      <c r="C6" s="24" t="s">
        <v>14</v>
      </c>
      <c r="D6" s="25"/>
      <c r="E6" s="26"/>
      <c r="F6" s="27">
        <v>0</v>
      </c>
      <c r="G6" s="86">
        <v>0</v>
      </c>
      <c r="H6" s="25">
        <v>0</v>
      </c>
      <c r="I6" s="26">
        <v>0</v>
      </c>
      <c r="J6" s="27">
        <v>0</v>
      </c>
      <c r="K6" s="86">
        <v>0</v>
      </c>
      <c r="L6" s="25">
        <v>0</v>
      </c>
      <c r="M6" s="26">
        <v>0</v>
      </c>
      <c r="N6" s="27">
        <v>0</v>
      </c>
      <c r="O6" s="86">
        <v>0</v>
      </c>
      <c r="P6" s="25">
        <v>0</v>
      </c>
      <c r="Q6" s="26">
        <v>1</v>
      </c>
      <c r="R6" s="27">
        <v>0</v>
      </c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</row>
    <row r="7" spans="1:29" ht="22.5" customHeight="1">
      <c r="A7" s="219"/>
      <c r="B7" s="16" t="s">
        <v>15</v>
      </c>
      <c r="C7" s="16" t="s">
        <v>16</v>
      </c>
      <c r="D7" s="17"/>
      <c r="E7" s="18"/>
      <c r="F7" s="19">
        <v>1</v>
      </c>
      <c r="G7" s="84">
        <v>1</v>
      </c>
      <c r="H7" s="17">
        <v>2</v>
      </c>
      <c r="I7" s="18">
        <v>0</v>
      </c>
      <c r="J7" s="19">
        <v>0</v>
      </c>
      <c r="K7" s="84">
        <v>0</v>
      </c>
      <c r="L7" s="17">
        <v>0</v>
      </c>
      <c r="M7" s="18">
        <v>2</v>
      </c>
      <c r="N7" s="19">
        <v>1</v>
      </c>
      <c r="O7" s="84">
        <v>1</v>
      </c>
      <c r="P7" s="17">
        <v>0</v>
      </c>
      <c r="Q7" s="18">
        <v>0</v>
      </c>
      <c r="R7" s="19">
        <v>0</v>
      </c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spans="1:29" ht="22.5" customHeight="1">
      <c r="A8" s="219"/>
      <c r="B8" s="24" t="s">
        <v>17</v>
      </c>
      <c r="C8" s="24" t="s">
        <v>18</v>
      </c>
      <c r="D8" s="25"/>
      <c r="E8" s="26"/>
      <c r="F8" s="27">
        <v>2</v>
      </c>
      <c r="G8" s="86">
        <v>1</v>
      </c>
      <c r="H8" s="25">
        <v>0</v>
      </c>
      <c r="I8" s="26">
        <v>1</v>
      </c>
      <c r="J8" s="27">
        <v>0</v>
      </c>
      <c r="K8" s="86">
        <v>0</v>
      </c>
      <c r="L8" s="25">
        <v>0</v>
      </c>
      <c r="M8" s="26">
        <v>3</v>
      </c>
      <c r="N8" s="27">
        <v>1</v>
      </c>
      <c r="O8" s="86">
        <v>1</v>
      </c>
      <c r="P8" s="25">
        <v>1</v>
      </c>
      <c r="Q8" s="26">
        <v>2</v>
      </c>
      <c r="R8" s="27">
        <v>0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</row>
    <row r="9" spans="1:29" ht="22.5" customHeight="1">
      <c r="A9" s="219"/>
      <c r="B9" s="16" t="s">
        <v>19</v>
      </c>
      <c r="C9" s="16" t="s">
        <v>20</v>
      </c>
      <c r="D9" s="17"/>
      <c r="E9" s="18"/>
      <c r="F9" s="19">
        <v>1</v>
      </c>
      <c r="G9" s="84">
        <v>7</v>
      </c>
      <c r="H9" s="17">
        <v>3</v>
      </c>
      <c r="I9" s="18">
        <v>2</v>
      </c>
      <c r="J9" s="19">
        <v>4</v>
      </c>
      <c r="K9" s="84">
        <v>1</v>
      </c>
      <c r="L9" s="17">
        <v>6</v>
      </c>
      <c r="M9" s="18">
        <v>4</v>
      </c>
      <c r="N9" s="19">
        <v>0</v>
      </c>
      <c r="O9" s="84">
        <v>4</v>
      </c>
      <c r="P9" s="17">
        <v>1</v>
      </c>
      <c r="Q9" s="18">
        <v>3</v>
      </c>
      <c r="R9" s="19">
        <v>4</v>
      </c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</row>
    <row r="10" spans="1:29" ht="23.25" customHeight="1">
      <c r="A10" s="219"/>
      <c r="B10" s="24" t="s">
        <v>21</v>
      </c>
      <c r="C10" s="24" t="s">
        <v>22</v>
      </c>
      <c r="D10" s="25"/>
      <c r="E10" s="26"/>
      <c r="F10" s="27">
        <v>1</v>
      </c>
      <c r="G10" s="86">
        <v>10</v>
      </c>
      <c r="H10" s="25">
        <v>4</v>
      </c>
      <c r="I10" s="26">
        <v>5</v>
      </c>
      <c r="J10" s="27">
        <v>7</v>
      </c>
      <c r="K10" s="86">
        <v>4</v>
      </c>
      <c r="L10" s="25">
        <v>3</v>
      </c>
      <c r="M10" s="26">
        <v>7</v>
      </c>
      <c r="N10" s="27">
        <v>1</v>
      </c>
      <c r="O10" s="86">
        <v>13</v>
      </c>
      <c r="P10" s="25">
        <v>3</v>
      </c>
      <c r="Q10" s="26">
        <v>5</v>
      </c>
      <c r="R10" s="27">
        <v>2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</row>
    <row r="11" spans="1:29" ht="24" customHeight="1">
      <c r="A11" s="219"/>
      <c r="B11" s="16" t="s">
        <v>23</v>
      </c>
      <c r="C11" s="16" t="s">
        <v>24</v>
      </c>
      <c r="D11" s="17"/>
      <c r="E11" s="18"/>
      <c r="F11" s="19">
        <v>0</v>
      </c>
      <c r="G11" s="84">
        <v>1</v>
      </c>
      <c r="H11" s="17">
        <v>0</v>
      </c>
      <c r="I11" s="18">
        <v>0</v>
      </c>
      <c r="J11" s="19">
        <v>0</v>
      </c>
      <c r="K11" s="84">
        <v>0</v>
      </c>
      <c r="L11" s="17">
        <v>0</v>
      </c>
      <c r="M11" s="18">
        <v>0</v>
      </c>
      <c r="N11" s="19">
        <v>0</v>
      </c>
      <c r="O11" s="84">
        <v>1</v>
      </c>
      <c r="P11" s="17">
        <v>2</v>
      </c>
      <c r="Q11" s="18">
        <v>0</v>
      </c>
      <c r="R11" s="19">
        <v>0</v>
      </c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</row>
    <row r="12" spans="1:29" ht="24.75" customHeight="1">
      <c r="A12" s="220"/>
      <c r="B12" s="32" t="s">
        <v>25</v>
      </c>
      <c r="C12" s="32" t="s">
        <v>26</v>
      </c>
      <c r="D12" s="25"/>
      <c r="E12" s="26"/>
      <c r="F12" s="27">
        <v>0</v>
      </c>
      <c r="G12" s="86">
        <v>0</v>
      </c>
      <c r="H12" s="25">
        <v>0</v>
      </c>
      <c r="I12" s="26">
        <v>1</v>
      </c>
      <c r="J12" s="27">
        <v>1</v>
      </c>
      <c r="K12" s="86">
        <v>0</v>
      </c>
      <c r="L12" s="25">
        <v>0</v>
      </c>
      <c r="M12" s="26">
        <v>0</v>
      </c>
      <c r="N12" s="27">
        <v>0</v>
      </c>
      <c r="O12" s="86">
        <v>0</v>
      </c>
      <c r="P12" s="25">
        <v>4</v>
      </c>
      <c r="Q12" s="26">
        <v>0</v>
      </c>
      <c r="R12" s="27">
        <v>0</v>
      </c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</row>
    <row r="13" spans="1:29" ht="6" customHeight="1">
      <c r="A13" s="221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3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</row>
    <row r="14" spans="1:29" ht="24.75" customHeight="1">
      <c r="A14" s="218" t="s">
        <v>27</v>
      </c>
      <c r="B14" s="16" t="s">
        <v>11</v>
      </c>
      <c r="C14" s="16" t="s">
        <v>12</v>
      </c>
      <c r="D14" s="17"/>
      <c r="E14" s="18"/>
      <c r="F14" s="123">
        <v>0</v>
      </c>
      <c r="G14" s="124">
        <v>0</v>
      </c>
      <c r="H14" s="17">
        <v>0</v>
      </c>
      <c r="I14" s="18">
        <v>0</v>
      </c>
      <c r="J14" s="123">
        <v>0</v>
      </c>
      <c r="K14" s="124">
        <v>0</v>
      </c>
      <c r="L14" s="17">
        <v>0</v>
      </c>
      <c r="M14" s="18">
        <v>0</v>
      </c>
      <c r="N14" s="123">
        <v>0</v>
      </c>
      <c r="O14" s="124">
        <v>0</v>
      </c>
      <c r="P14" s="17">
        <v>0</v>
      </c>
      <c r="Q14" s="18">
        <v>0</v>
      </c>
      <c r="R14" s="123">
        <v>0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</row>
    <row r="15" spans="1:29" ht="25.5" customHeight="1">
      <c r="A15" s="219"/>
      <c r="B15" s="24" t="s">
        <v>28</v>
      </c>
      <c r="C15" s="24" t="s">
        <v>29</v>
      </c>
      <c r="D15" s="25"/>
      <c r="E15" s="26"/>
      <c r="F15" s="125">
        <v>1</v>
      </c>
      <c r="G15" s="126">
        <v>10</v>
      </c>
      <c r="H15" s="25">
        <v>11</v>
      </c>
      <c r="I15" s="26">
        <v>3</v>
      </c>
      <c r="J15" s="125">
        <v>9</v>
      </c>
      <c r="K15" s="126">
        <v>0</v>
      </c>
      <c r="L15" s="25">
        <v>0</v>
      </c>
      <c r="M15" s="26">
        <v>0</v>
      </c>
      <c r="N15" s="125">
        <v>3</v>
      </c>
      <c r="O15" s="126">
        <v>7</v>
      </c>
      <c r="P15" s="25">
        <v>7</v>
      </c>
      <c r="Q15" s="26">
        <v>0</v>
      </c>
      <c r="R15" s="125">
        <v>9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</row>
    <row r="16" spans="1:29" ht="23.25" customHeight="1">
      <c r="A16" s="219"/>
      <c r="B16" s="16" t="s">
        <v>15</v>
      </c>
      <c r="C16" s="16" t="s">
        <v>16</v>
      </c>
      <c r="D16" s="17"/>
      <c r="E16" s="127"/>
      <c r="F16" s="123">
        <v>2</v>
      </c>
      <c r="G16" s="124">
        <v>1</v>
      </c>
      <c r="H16" s="17">
        <v>3</v>
      </c>
      <c r="I16" s="18">
        <v>1</v>
      </c>
      <c r="J16" s="123">
        <v>0</v>
      </c>
      <c r="K16" s="124">
        <v>0</v>
      </c>
      <c r="L16" s="17">
        <v>0</v>
      </c>
      <c r="M16" s="18">
        <v>0</v>
      </c>
      <c r="N16" s="123">
        <v>2</v>
      </c>
      <c r="O16" s="124">
        <v>0</v>
      </c>
      <c r="P16" s="17">
        <v>0</v>
      </c>
      <c r="Q16" s="18">
        <v>0</v>
      </c>
      <c r="R16" s="123">
        <v>1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</row>
    <row r="17" spans="1:29" ht="25.5" customHeight="1">
      <c r="A17" s="219"/>
      <c r="B17" s="24" t="s">
        <v>17</v>
      </c>
      <c r="C17" s="24" t="s">
        <v>18</v>
      </c>
      <c r="D17" s="25"/>
      <c r="E17" s="26"/>
      <c r="F17" s="125">
        <v>1</v>
      </c>
      <c r="G17" s="126">
        <v>2</v>
      </c>
      <c r="H17" s="25">
        <v>1</v>
      </c>
      <c r="I17" s="26">
        <v>2</v>
      </c>
      <c r="J17" s="125">
        <v>0</v>
      </c>
      <c r="K17" s="126">
        <v>0</v>
      </c>
      <c r="L17" s="25">
        <v>0</v>
      </c>
      <c r="M17" s="26">
        <v>2</v>
      </c>
      <c r="N17" s="125">
        <v>0</v>
      </c>
      <c r="O17" s="126">
        <v>0</v>
      </c>
      <c r="P17" s="25">
        <v>0</v>
      </c>
      <c r="Q17" s="26">
        <v>0</v>
      </c>
      <c r="R17" s="125">
        <v>0</v>
      </c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</row>
    <row r="18" spans="1:29" ht="22.5" customHeight="1">
      <c r="A18" s="219"/>
      <c r="B18" s="16" t="s">
        <v>19</v>
      </c>
      <c r="C18" s="16" t="s">
        <v>20</v>
      </c>
      <c r="D18" s="17"/>
      <c r="E18" s="127"/>
      <c r="F18" s="123">
        <v>4</v>
      </c>
      <c r="G18" s="124">
        <v>0</v>
      </c>
      <c r="H18" s="17">
        <v>0</v>
      </c>
      <c r="I18" s="18">
        <v>5</v>
      </c>
      <c r="J18" s="123">
        <v>2</v>
      </c>
      <c r="K18" s="124">
        <v>0</v>
      </c>
      <c r="L18" s="17">
        <v>2</v>
      </c>
      <c r="M18" s="18">
        <v>5</v>
      </c>
      <c r="N18" s="123">
        <v>3</v>
      </c>
      <c r="O18" s="124">
        <v>5</v>
      </c>
      <c r="P18" s="17">
        <v>3</v>
      </c>
      <c r="Q18" s="18">
        <v>1</v>
      </c>
      <c r="R18" s="123">
        <v>5</v>
      </c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</row>
    <row r="19" spans="1:29" ht="24" customHeight="1">
      <c r="A19" s="219"/>
      <c r="B19" s="24" t="s">
        <v>21</v>
      </c>
      <c r="C19" s="24" t="s">
        <v>22</v>
      </c>
      <c r="D19" s="25"/>
      <c r="E19" s="128"/>
      <c r="F19" s="125">
        <v>6</v>
      </c>
      <c r="G19" s="126">
        <v>12</v>
      </c>
      <c r="H19" s="25">
        <v>9</v>
      </c>
      <c r="I19" s="26">
        <v>10</v>
      </c>
      <c r="J19" s="125">
        <v>9</v>
      </c>
      <c r="K19" s="126">
        <v>3</v>
      </c>
      <c r="L19" s="25">
        <v>1</v>
      </c>
      <c r="M19" s="26">
        <v>31</v>
      </c>
      <c r="N19" s="125">
        <v>1</v>
      </c>
      <c r="O19" s="126">
        <v>7</v>
      </c>
      <c r="P19" s="25">
        <v>7</v>
      </c>
      <c r="Q19" s="26">
        <v>3</v>
      </c>
      <c r="R19" s="125">
        <v>0</v>
      </c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</row>
    <row r="20" spans="1:29" ht="25.5" customHeight="1">
      <c r="A20" s="219"/>
      <c r="B20" s="16" t="s">
        <v>23</v>
      </c>
      <c r="C20" s="16" t="s">
        <v>24</v>
      </c>
      <c r="D20" s="17"/>
      <c r="E20" s="18"/>
      <c r="F20" s="123">
        <v>0</v>
      </c>
      <c r="G20" s="124">
        <v>0</v>
      </c>
      <c r="H20" s="17">
        <v>0</v>
      </c>
      <c r="I20" s="18">
        <v>0</v>
      </c>
      <c r="J20" s="123">
        <v>0</v>
      </c>
      <c r="K20" s="124">
        <v>1</v>
      </c>
      <c r="L20" s="17">
        <v>0</v>
      </c>
      <c r="M20" s="18">
        <v>0</v>
      </c>
      <c r="N20" s="123">
        <v>0</v>
      </c>
      <c r="O20" s="124">
        <v>0</v>
      </c>
      <c r="P20" s="17">
        <v>2</v>
      </c>
      <c r="Q20" s="18">
        <v>0</v>
      </c>
      <c r="R20" s="123">
        <v>0</v>
      </c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</row>
    <row r="21" spans="1:29" ht="25.5" customHeight="1">
      <c r="A21" s="220"/>
      <c r="B21" s="32" t="s">
        <v>25</v>
      </c>
      <c r="C21" s="32" t="s">
        <v>26</v>
      </c>
      <c r="D21" s="25"/>
      <c r="E21" s="26"/>
      <c r="F21" s="125">
        <v>0</v>
      </c>
      <c r="G21" s="126">
        <v>0</v>
      </c>
      <c r="H21" s="29"/>
      <c r="I21" s="26">
        <v>0</v>
      </c>
      <c r="J21" s="125">
        <v>3</v>
      </c>
      <c r="K21" s="126">
        <v>0</v>
      </c>
      <c r="L21" s="25">
        <v>0</v>
      </c>
      <c r="M21" s="26">
        <v>0</v>
      </c>
      <c r="N21" s="125">
        <v>1</v>
      </c>
      <c r="O21" s="126">
        <v>13</v>
      </c>
      <c r="P21" s="25">
        <v>9</v>
      </c>
      <c r="Q21" s="26">
        <v>0</v>
      </c>
      <c r="R21" s="125">
        <v>1</v>
      </c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</row>
    <row r="22" spans="1:29" ht="6" customHeight="1">
      <c r="A22" s="221"/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3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</row>
    <row r="23" spans="1:29" ht="22.5" customHeight="1">
      <c r="A23" s="224" t="s">
        <v>30</v>
      </c>
      <c r="B23" s="38" t="s">
        <v>11</v>
      </c>
      <c r="C23" s="38" t="s">
        <v>12</v>
      </c>
      <c r="D23" s="21">
        <f t="shared" ref="D23:R23" si="0">SUM(D5+D14)</f>
        <v>0</v>
      </c>
      <c r="E23" s="22">
        <f t="shared" si="0"/>
        <v>0</v>
      </c>
      <c r="F23" s="39">
        <f t="shared" si="0"/>
        <v>0</v>
      </c>
      <c r="G23" s="40">
        <f t="shared" si="0"/>
        <v>0</v>
      </c>
      <c r="H23" s="21">
        <f t="shared" si="0"/>
        <v>3</v>
      </c>
      <c r="I23" s="22">
        <f t="shared" si="0"/>
        <v>0</v>
      </c>
      <c r="J23" s="39">
        <f t="shared" si="0"/>
        <v>0</v>
      </c>
      <c r="K23" s="40">
        <f t="shared" si="0"/>
        <v>0</v>
      </c>
      <c r="L23" s="21">
        <f t="shared" si="0"/>
        <v>0</v>
      </c>
      <c r="M23" s="22">
        <f t="shared" si="0"/>
        <v>0</v>
      </c>
      <c r="N23" s="39">
        <f t="shared" si="0"/>
        <v>0</v>
      </c>
      <c r="O23" s="40">
        <f t="shared" si="0"/>
        <v>0</v>
      </c>
      <c r="P23" s="21">
        <f t="shared" si="0"/>
        <v>0</v>
      </c>
      <c r="Q23" s="22">
        <f t="shared" si="0"/>
        <v>1</v>
      </c>
      <c r="R23" s="39">
        <f t="shared" si="0"/>
        <v>0</v>
      </c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</row>
    <row r="24" spans="1:29" ht="22.5" customHeight="1">
      <c r="A24" s="219"/>
      <c r="B24" s="24" t="s">
        <v>13</v>
      </c>
      <c r="C24" s="24" t="s">
        <v>14</v>
      </c>
      <c r="D24" s="29">
        <f t="shared" ref="D24:R24" si="1">SUM(D6)</f>
        <v>0</v>
      </c>
      <c r="E24" s="30">
        <f t="shared" si="1"/>
        <v>0</v>
      </c>
      <c r="F24" s="41">
        <f t="shared" si="1"/>
        <v>0</v>
      </c>
      <c r="G24" s="42">
        <f t="shared" si="1"/>
        <v>0</v>
      </c>
      <c r="H24" s="29">
        <f t="shared" si="1"/>
        <v>0</v>
      </c>
      <c r="I24" s="30">
        <f t="shared" si="1"/>
        <v>0</v>
      </c>
      <c r="J24" s="41">
        <f t="shared" si="1"/>
        <v>0</v>
      </c>
      <c r="K24" s="42">
        <f t="shared" si="1"/>
        <v>0</v>
      </c>
      <c r="L24" s="29">
        <f t="shared" si="1"/>
        <v>0</v>
      </c>
      <c r="M24" s="30">
        <f t="shared" si="1"/>
        <v>0</v>
      </c>
      <c r="N24" s="41">
        <f t="shared" si="1"/>
        <v>0</v>
      </c>
      <c r="O24" s="42">
        <f t="shared" si="1"/>
        <v>0</v>
      </c>
      <c r="P24" s="29">
        <f t="shared" si="1"/>
        <v>0</v>
      </c>
      <c r="Q24" s="30">
        <f t="shared" si="1"/>
        <v>1</v>
      </c>
      <c r="R24" s="41">
        <f t="shared" si="1"/>
        <v>0</v>
      </c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</row>
    <row r="25" spans="1:29" ht="25.5" customHeight="1">
      <c r="A25" s="219"/>
      <c r="B25" s="38" t="s">
        <v>28</v>
      </c>
      <c r="C25" s="38" t="s">
        <v>29</v>
      </c>
      <c r="D25" s="17">
        <f t="shared" ref="D25:R25" si="2">SUM(D15)</f>
        <v>0</v>
      </c>
      <c r="E25" s="22">
        <f t="shared" si="2"/>
        <v>0</v>
      </c>
      <c r="F25" s="39">
        <f t="shared" si="2"/>
        <v>1</v>
      </c>
      <c r="G25" s="40">
        <f t="shared" si="2"/>
        <v>10</v>
      </c>
      <c r="H25" s="39">
        <f t="shared" si="2"/>
        <v>11</v>
      </c>
      <c r="I25" s="40">
        <f t="shared" si="2"/>
        <v>3</v>
      </c>
      <c r="J25" s="39">
        <f t="shared" si="2"/>
        <v>9</v>
      </c>
      <c r="K25" s="40">
        <f t="shared" si="2"/>
        <v>0</v>
      </c>
      <c r="L25" s="39">
        <f t="shared" si="2"/>
        <v>0</v>
      </c>
      <c r="M25" s="40">
        <f t="shared" si="2"/>
        <v>0</v>
      </c>
      <c r="N25" s="39">
        <f t="shared" si="2"/>
        <v>3</v>
      </c>
      <c r="O25" s="40">
        <f t="shared" si="2"/>
        <v>7</v>
      </c>
      <c r="P25" s="17">
        <f t="shared" si="2"/>
        <v>7</v>
      </c>
      <c r="Q25" s="22">
        <f t="shared" si="2"/>
        <v>0</v>
      </c>
      <c r="R25" s="39">
        <f t="shared" si="2"/>
        <v>9</v>
      </c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</row>
    <row r="26" spans="1:29" ht="24.75" customHeight="1">
      <c r="A26" s="219"/>
      <c r="B26" s="24" t="s">
        <v>15</v>
      </c>
      <c r="C26" s="24" t="s">
        <v>16</v>
      </c>
      <c r="D26" s="29">
        <f t="shared" ref="D26:R26" si="3">SUM(D7+D16)</f>
        <v>0</v>
      </c>
      <c r="E26" s="30">
        <f t="shared" si="3"/>
        <v>0</v>
      </c>
      <c r="F26" s="41">
        <f t="shared" si="3"/>
        <v>3</v>
      </c>
      <c r="G26" s="42">
        <f t="shared" si="3"/>
        <v>2</v>
      </c>
      <c r="H26" s="29">
        <f t="shared" si="3"/>
        <v>5</v>
      </c>
      <c r="I26" s="30">
        <f t="shared" si="3"/>
        <v>1</v>
      </c>
      <c r="J26" s="41">
        <f t="shared" si="3"/>
        <v>0</v>
      </c>
      <c r="K26" s="42">
        <f t="shared" si="3"/>
        <v>0</v>
      </c>
      <c r="L26" s="29">
        <f t="shared" si="3"/>
        <v>0</v>
      </c>
      <c r="M26" s="30">
        <f t="shared" si="3"/>
        <v>2</v>
      </c>
      <c r="N26" s="41">
        <f t="shared" si="3"/>
        <v>3</v>
      </c>
      <c r="O26" s="42">
        <f t="shared" si="3"/>
        <v>1</v>
      </c>
      <c r="P26" s="29">
        <f t="shared" si="3"/>
        <v>0</v>
      </c>
      <c r="Q26" s="30">
        <f t="shared" si="3"/>
        <v>0</v>
      </c>
      <c r="R26" s="41">
        <f t="shared" si="3"/>
        <v>1</v>
      </c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</row>
    <row r="27" spans="1:29" ht="23.25" customHeight="1">
      <c r="A27" s="219"/>
      <c r="B27" s="38" t="s">
        <v>17</v>
      </c>
      <c r="C27" s="38" t="s">
        <v>18</v>
      </c>
      <c r="D27" s="21">
        <f t="shared" ref="D27:R27" si="4">SUM(D8+D17)</f>
        <v>0</v>
      </c>
      <c r="E27" s="22">
        <f t="shared" si="4"/>
        <v>0</v>
      </c>
      <c r="F27" s="39">
        <f t="shared" si="4"/>
        <v>3</v>
      </c>
      <c r="G27" s="40">
        <f t="shared" si="4"/>
        <v>3</v>
      </c>
      <c r="H27" s="21">
        <f t="shared" si="4"/>
        <v>1</v>
      </c>
      <c r="I27" s="22">
        <f t="shared" si="4"/>
        <v>3</v>
      </c>
      <c r="J27" s="39">
        <f t="shared" si="4"/>
        <v>0</v>
      </c>
      <c r="K27" s="40">
        <f t="shared" si="4"/>
        <v>0</v>
      </c>
      <c r="L27" s="21">
        <f t="shared" si="4"/>
        <v>0</v>
      </c>
      <c r="M27" s="22">
        <f t="shared" si="4"/>
        <v>5</v>
      </c>
      <c r="N27" s="39">
        <f t="shared" si="4"/>
        <v>1</v>
      </c>
      <c r="O27" s="40">
        <f t="shared" si="4"/>
        <v>1</v>
      </c>
      <c r="P27" s="21">
        <f t="shared" si="4"/>
        <v>1</v>
      </c>
      <c r="Q27" s="22">
        <f t="shared" si="4"/>
        <v>2</v>
      </c>
      <c r="R27" s="39">
        <f t="shared" si="4"/>
        <v>0</v>
      </c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</row>
    <row r="28" spans="1:29" ht="22.5" customHeight="1">
      <c r="A28" s="219"/>
      <c r="B28" s="24" t="s">
        <v>19</v>
      </c>
      <c r="C28" s="24" t="s">
        <v>20</v>
      </c>
      <c r="D28" s="29">
        <f t="shared" ref="D28:R28" si="5">SUM(D9+D18)</f>
        <v>0</v>
      </c>
      <c r="E28" s="30">
        <f t="shared" si="5"/>
        <v>0</v>
      </c>
      <c r="F28" s="41">
        <f t="shared" si="5"/>
        <v>5</v>
      </c>
      <c r="G28" s="42">
        <f t="shared" si="5"/>
        <v>7</v>
      </c>
      <c r="H28" s="29">
        <f t="shared" si="5"/>
        <v>3</v>
      </c>
      <c r="I28" s="30">
        <f t="shared" si="5"/>
        <v>7</v>
      </c>
      <c r="J28" s="41">
        <f t="shared" si="5"/>
        <v>6</v>
      </c>
      <c r="K28" s="42">
        <f t="shared" si="5"/>
        <v>1</v>
      </c>
      <c r="L28" s="29">
        <f t="shared" si="5"/>
        <v>8</v>
      </c>
      <c r="M28" s="30">
        <f t="shared" si="5"/>
        <v>9</v>
      </c>
      <c r="N28" s="41">
        <f t="shared" si="5"/>
        <v>3</v>
      </c>
      <c r="O28" s="42">
        <f t="shared" si="5"/>
        <v>9</v>
      </c>
      <c r="P28" s="29">
        <f t="shared" si="5"/>
        <v>4</v>
      </c>
      <c r="Q28" s="30">
        <f t="shared" si="5"/>
        <v>4</v>
      </c>
      <c r="R28" s="41">
        <f t="shared" si="5"/>
        <v>9</v>
      </c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</row>
    <row r="29" spans="1:29" ht="24.75" customHeight="1">
      <c r="A29" s="219"/>
      <c r="B29" s="38" t="s">
        <v>21</v>
      </c>
      <c r="C29" s="38" t="s">
        <v>22</v>
      </c>
      <c r="D29" s="21">
        <f t="shared" ref="D29:R29" si="6">SUM(D10+D19)</f>
        <v>0</v>
      </c>
      <c r="E29" s="22">
        <f t="shared" si="6"/>
        <v>0</v>
      </c>
      <c r="F29" s="39">
        <f t="shared" si="6"/>
        <v>7</v>
      </c>
      <c r="G29" s="40">
        <f t="shared" si="6"/>
        <v>22</v>
      </c>
      <c r="H29" s="21">
        <f t="shared" si="6"/>
        <v>13</v>
      </c>
      <c r="I29" s="22">
        <f t="shared" si="6"/>
        <v>15</v>
      </c>
      <c r="J29" s="39">
        <f t="shared" si="6"/>
        <v>16</v>
      </c>
      <c r="K29" s="40">
        <f t="shared" si="6"/>
        <v>7</v>
      </c>
      <c r="L29" s="21">
        <f t="shared" si="6"/>
        <v>4</v>
      </c>
      <c r="M29" s="22">
        <f t="shared" si="6"/>
        <v>38</v>
      </c>
      <c r="N29" s="39">
        <f t="shared" si="6"/>
        <v>2</v>
      </c>
      <c r="O29" s="40">
        <f t="shared" si="6"/>
        <v>20</v>
      </c>
      <c r="P29" s="21">
        <f t="shared" si="6"/>
        <v>10</v>
      </c>
      <c r="Q29" s="22">
        <f t="shared" si="6"/>
        <v>8</v>
      </c>
      <c r="R29" s="39">
        <f t="shared" si="6"/>
        <v>2</v>
      </c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</row>
    <row r="30" spans="1:29" ht="24.75" customHeight="1">
      <c r="A30" s="219"/>
      <c r="B30" s="24" t="s">
        <v>23</v>
      </c>
      <c r="C30" s="24" t="s">
        <v>24</v>
      </c>
      <c r="D30" s="29">
        <f t="shared" ref="D30:R30" si="7">SUM(D11+D20)</f>
        <v>0</v>
      </c>
      <c r="E30" s="30">
        <f t="shared" si="7"/>
        <v>0</v>
      </c>
      <c r="F30" s="41">
        <f t="shared" si="7"/>
        <v>0</v>
      </c>
      <c r="G30" s="42">
        <f t="shared" si="7"/>
        <v>1</v>
      </c>
      <c r="H30" s="29">
        <f t="shared" si="7"/>
        <v>0</v>
      </c>
      <c r="I30" s="30">
        <f t="shared" si="7"/>
        <v>0</v>
      </c>
      <c r="J30" s="41">
        <f t="shared" si="7"/>
        <v>0</v>
      </c>
      <c r="K30" s="42">
        <f t="shared" si="7"/>
        <v>1</v>
      </c>
      <c r="L30" s="29">
        <f t="shared" si="7"/>
        <v>0</v>
      </c>
      <c r="M30" s="30">
        <f t="shared" si="7"/>
        <v>0</v>
      </c>
      <c r="N30" s="41">
        <f t="shared" si="7"/>
        <v>0</v>
      </c>
      <c r="O30" s="42">
        <f t="shared" si="7"/>
        <v>1</v>
      </c>
      <c r="P30" s="29">
        <f t="shared" si="7"/>
        <v>4</v>
      </c>
      <c r="Q30" s="30">
        <f t="shared" si="7"/>
        <v>0</v>
      </c>
      <c r="R30" s="41">
        <f t="shared" si="7"/>
        <v>0</v>
      </c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</row>
    <row r="31" spans="1:29" ht="25.5" customHeight="1">
      <c r="A31" s="220"/>
      <c r="B31" s="43" t="s">
        <v>25</v>
      </c>
      <c r="C31" s="43" t="s">
        <v>26</v>
      </c>
      <c r="D31" s="21">
        <f t="shared" ref="D31:R31" si="8">SUM(D12+D21)</f>
        <v>0</v>
      </c>
      <c r="E31" s="22">
        <f t="shared" si="8"/>
        <v>0</v>
      </c>
      <c r="F31" s="39">
        <f t="shared" si="8"/>
        <v>0</v>
      </c>
      <c r="G31" s="40">
        <f t="shared" si="8"/>
        <v>0</v>
      </c>
      <c r="H31" s="21">
        <f t="shared" si="8"/>
        <v>0</v>
      </c>
      <c r="I31" s="22">
        <f t="shared" si="8"/>
        <v>1</v>
      </c>
      <c r="J31" s="39">
        <f t="shared" si="8"/>
        <v>4</v>
      </c>
      <c r="K31" s="40">
        <f t="shared" si="8"/>
        <v>0</v>
      </c>
      <c r="L31" s="21">
        <f t="shared" si="8"/>
        <v>0</v>
      </c>
      <c r="M31" s="22">
        <f t="shared" si="8"/>
        <v>0</v>
      </c>
      <c r="N31" s="39">
        <f t="shared" si="8"/>
        <v>1</v>
      </c>
      <c r="O31" s="40">
        <f t="shared" si="8"/>
        <v>13</v>
      </c>
      <c r="P31" s="21">
        <f t="shared" si="8"/>
        <v>13</v>
      </c>
      <c r="Q31" s="22">
        <f t="shared" si="8"/>
        <v>0</v>
      </c>
      <c r="R31" s="39">
        <f t="shared" si="8"/>
        <v>1</v>
      </c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</row>
    <row r="32" spans="1:29" ht="21.75" customHeight="1">
      <c r="A32" s="44"/>
      <c r="B32" s="44"/>
      <c r="C32" s="45" t="s">
        <v>30</v>
      </c>
      <c r="D32" s="46">
        <f t="shared" ref="D32:R32" si="9">SUM(D23:D31)</f>
        <v>0</v>
      </c>
      <c r="E32" s="47">
        <f t="shared" si="9"/>
        <v>0</v>
      </c>
      <c r="F32" s="48">
        <f t="shared" si="9"/>
        <v>19</v>
      </c>
      <c r="G32" s="49">
        <f t="shared" si="9"/>
        <v>45</v>
      </c>
      <c r="H32" s="46">
        <f t="shared" si="9"/>
        <v>36</v>
      </c>
      <c r="I32" s="47">
        <f t="shared" si="9"/>
        <v>30</v>
      </c>
      <c r="J32" s="48">
        <f t="shared" si="9"/>
        <v>35</v>
      </c>
      <c r="K32" s="49">
        <f t="shared" si="9"/>
        <v>9</v>
      </c>
      <c r="L32" s="46">
        <f t="shared" si="9"/>
        <v>12</v>
      </c>
      <c r="M32" s="47">
        <f t="shared" si="9"/>
        <v>54</v>
      </c>
      <c r="N32" s="48">
        <f t="shared" si="9"/>
        <v>13</v>
      </c>
      <c r="O32" s="49">
        <f t="shared" si="9"/>
        <v>52</v>
      </c>
      <c r="P32" s="46">
        <f t="shared" si="9"/>
        <v>39</v>
      </c>
      <c r="Q32" s="47">
        <f t="shared" si="9"/>
        <v>16</v>
      </c>
      <c r="R32" s="48">
        <f t="shared" si="9"/>
        <v>22</v>
      </c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</row>
    <row r="33" spans="1:29" ht="24.75" customHeight="1">
      <c r="A33" s="50"/>
      <c r="B33" s="50"/>
      <c r="C33" s="45" t="s">
        <v>31</v>
      </c>
      <c r="D33" s="131" t="s">
        <v>71</v>
      </c>
      <c r="E33" s="132" t="s">
        <v>71</v>
      </c>
      <c r="F33" s="53">
        <f>F32*40</f>
        <v>760</v>
      </c>
      <c r="G33" s="54">
        <f t="shared" ref="F33:R33" si="10">G32*40</f>
        <v>1800</v>
      </c>
      <c r="H33" s="51">
        <f t="shared" si="10"/>
        <v>1440</v>
      </c>
      <c r="I33" s="52">
        <f t="shared" si="10"/>
        <v>1200</v>
      </c>
      <c r="J33" s="53">
        <f t="shared" si="10"/>
        <v>1400</v>
      </c>
      <c r="K33" s="54">
        <f t="shared" si="10"/>
        <v>360</v>
      </c>
      <c r="L33" s="51">
        <f t="shared" si="10"/>
        <v>480</v>
      </c>
      <c r="M33" s="52">
        <f t="shared" si="10"/>
        <v>2160</v>
      </c>
      <c r="N33" s="53">
        <f t="shared" si="10"/>
        <v>520</v>
      </c>
      <c r="O33" s="54">
        <f t="shared" si="10"/>
        <v>2080</v>
      </c>
      <c r="P33" s="51">
        <f t="shared" si="10"/>
        <v>1560</v>
      </c>
      <c r="Q33" s="52">
        <f t="shared" si="10"/>
        <v>640</v>
      </c>
      <c r="R33" s="53">
        <f t="shared" si="10"/>
        <v>880</v>
      </c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</row>
    <row r="34" spans="1:29" ht="28.5" customHeight="1">
      <c r="A34" s="50"/>
      <c r="C34" s="98" t="s">
        <v>53</v>
      </c>
      <c r="D34" s="99"/>
      <c r="E34" s="99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 spans="1:29" ht="15" customHeight="1">
      <c r="D35" s="5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154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 spans="1:29" ht="15" customHeight="1">
      <c r="B36" s="57" t="s">
        <v>32</v>
      </c>
      <c r="C36" s="58"/>
      <c r="D36" s="55"/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154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</row>
    <row r="37" spans="1:29" ht="18.75" customHeight="1">
      <c r="B37" s="59" t="s">
        <v>33</v>
      </c>
      <c r="C37" s="135" t="s">
        <v>91</v>
      </c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154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 spans="1:29" ht="17.25" customHeight="1">
      <c r="B38" s="59" t="s">
        <v>34</v>
      </c>
      <c r="C38" s="135" t="s">
        <v>92</v>
      </c>
      <c r="D38" s="55"/>
      <c r="E38" s="55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154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</row>
    <row r="39" spans="1:29" ht="15" customHeight="1">
      <c r="A39" s="50"/>
      <c r="B39" s="59" t="s">
        <v>35</v>
      </c>
      <c r="C39" s="135" t="s">
        <v>93</v>
      </c>
      <c r="D39" s="55"/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55"/>
      <c r="P39" s="154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 spans="1:29" ht="15" customHeight="1">
      <c r="A40" s="50"/>
      <c r="B40" s="59" t="s">
        <v>36</v>
      </c>
      <c r="C40" s="135" t="s">
        <v>94</v>
      </c>
      <c r="D40" s="55"/>
      <c r="E40" s="55"/>
      <c r="F40" s="56"/>
      <c r="G40" s="56"/>
      <c r="H40" s="56"/>
      <c r="I40" s="56"/>
      <c r="J40" s="56"/>
      <c r="K40" s="56"/>
      <c r="L40" s="56"/>
      <c r="M40" s="56"/>
      <c r="N40" s="56"/>
      <c r="O40" s="55"/>
      <c r="P40" s="154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 spans="1:29" ht="15" customHeight="1">
      <c r="A41" s="50"/>
      <c r="B41" s="50"/>
      <c r="C41" s="50"/>
      <c r="D41" s="55"/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154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 spans="1:29" ht="15" customHeight="1">
      <c r="A42" s="50"/>
      <c r="B42" s="50"/>
      <c r="C42" s="50"/>
      <c r="D42" s="237">
        <v>2022</v>
      </c>
      <c r="E42" s="222"/>
      <c r="F42" s="222"/>
      <c r="G42" s="223"/>
      <c r="H42" s="234">
        <v>2023</v>
      </c>
      <c r="I42" s="222"/>
      <c r="J42" s="222"/>
      <c r="K42" s="223"/>
      <c r="L42" s="234">
        <v>2024</v>
      </c>
      <c r="M42" s="222"/>
      <c r="N42" s="222"/>
      <c r="O42" s="223"/>
      <c r="P42" s="237">
        <v>2025</v>
      </c>
      <c r="Q42" s="222"/>
      <c r="R42" s="223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</row>
    <row r="43" spans="1:29" ht="23.25" customHeight="1">
      <c r="C43" s="50"/>
      <c r="D43" s="103" t="s">
        <v>58</v>
      </c>
      <c r="E43" s="104" t="s">
        <v>59</v>
      </c>
      <c r="F43" s="105" t="s">
        <v>60</v>
      </c>
      <c r="G43" s="106" t="s">
        <v>61</v>
      </c>
      <c r="H43" s="107" t="s">
        <v>62</v>
      </c>
      <c r="I43" s="104" t="s">
        <v>63</v>
      </c>
      <c r="J43" s="105" t="s">
        <v>64</v>
      </c>
      <c r="K43" s="106" t="s">
        <v>65</v>
      </c>
      <c r="L43" s="107" t="s">
        <v>66</v>
      </c>
      <c r="M43" s="104" t="s">
        <v>67</v>
      </c>
      <c r="N43" s="105" t="s">
        <v>68</v>
      </c>
      <c r="O43" s="106" t="s">
        <v>69</v>
      </c>
      <c r="P43" s="103" t="s">
        <v>66</v>
      </c>
      <c r="Q43" s="104" t="s">
        <v>67</v>
      </c>
      <c r="R43" s="105" t="s">
        <v>68</v>
      </c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</row>
    <row r="44" spans="1:29" ht="14.25" customHeight="1">
      <c r="C44" s="38" t="s">
        <v>11</v>
      </c>
      <c r="D44" s="109"/>
      <c r="E44" s="109"/>
      <c r="F44" s="109">
        <f t="shared" ref="F44:R44" si="11">F24*40</f>
        <v>0</v>
      </c>
      <c r="G44" s="109">
        <f t="shared" si="11"/>
        <v>0</v>
      </c>
      <c r="H44" s="109">
        <f t="shared" si="11"/>
        <v>0</v>
      </c>
      <c r="I44" s="109">
        <f t="shared" si="11"/>
        <v>0</v>
      </c>
      <c r="J44" s="109">
        <f t="shared" si="11"/>
        <v>0</v>
      </c>
      <c r="K44" s="109">
        <f t="shared" si="11"/>
        <v>0</v>
      </c>
      <c r="L44" s="109">
        <f t="shared" si="11"/>
        <v>0</v>
      </c>
      <c r="M44" s="109">
        <f t="shared" si="11"/>
        <v>0</v>
      </c>
      <c r="N44" s="109">
        <f t="shared" si="11"/>
        <v>0</v>
      </c>
      <c r="O44" s="109">
        <f t="shared" si="11"/>
        <v>0</v>
      </c>
      <c r="P44" s="109">
        <f t="shared" si="11"/>
        <v>0</v>
      </c>
      <c r="Q44" s="109">
        <f t="shared" si="11"/>
        <v>40</v>
      </c>
      <c r="R44" s="109">
        <f t="shared" si="11"/>
        <v>0</v>
      </c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 spans="1:29" ht="14.25" customHeight="1">
      <c r="C45" s="24" t="s">
        <v>13</v>
      </c>
      <c r="D45" s="136"/>
      <c r="E45" s="136"/>
      <c r="F45" s="136">
        <f t="shared" ref="F45:R45" si="12">F25*40</f>
        <v>40</v>
      </c>
      <c r="G45" s="136">
        <f t="shared" si="12"/>
        <v>400</v>
      </c>
      <c r="H45" s="136">
        <f t="shared" si="12"/>
        <v>440</v>
      </c>
      <c r="I45" s="136">
        <f t="shared" si="12"/>
        <v>120</v>
      </c>
      <c r="J45" s="136">
        <f t="shared" si="12"/>
        <v>360</v>
      </c>
      <c r="K45" s="136">
        <f t="shared" si="12"/>
        <v>0</v>
      </c>
      <c r="L45" s="136">
        <f t="shared" si="12"/>
        <v>0</v>
      </c>
      <c r="M45" s="136">
        <f t="shared" si="12"/>
        <v>0</v>
      </c>
      <c r="N45" s="136">
        <f t="shared" si="12"/>
        <v>120</v>
      </c>
      <c r="O45" s="136">
        <f t="shared" si="12"/>
        <v>280</v>
      </c>
      <c r="P45" s="136">
        <f t="shared" si="12"/>
        <v>280</v>
      </c>
      <c r="Q45" s="136">
        <f t="shared" si="12"/>
        <v>0</v>
      </c>
      <c r="R45" s="136">
        <f t="shared" si="12"/>
        <v>360</v>
      </c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spans="1:29" ht="14.25" customHeight="1">
      <c r="C46" s="38" t="s">
        <v>28</v>
      </c>
      <c r="D46" s="109"/>
      <c r="E46" s="109"/>
      <c r="F46" s="109">
        <f t="shared" ref="F46:R46" si="13">F26*40</f>
        <v>120</v>
      </c>
      <c r="G46" s="109">
        <f t="shared" si="13"/>
        <v>80</v>
      </c>
      <c r="H46" s="109">
        <f t="shared" si="13"/>
        <v>200</v>
      </c>
      <c r="I46" s="109">
        <f t="shared" si="13"/>
        <v>40</v>
      </c>
      <c r="J46" s="109">
        <f t="shared" si="13"/>
        <v>0</v>
      </c>
      <c r="K46" s="109">
        <f t="shared" si="13"/>
        <v>0</v>
      </c>
      <c r="L46" s="109">
        <f t="shared" si="13"/>
        <v>0</v>
      </c>
      <c r="M46" s="109">
        <f t="shared" si="13"/>
        <v>80</v>
      </c>
      <c r="N46" s="109">
        <f t="shared" si="13"/>
        <v>120</v>
      </c>
      <c r="O46" s="109">
        <f t="shared" si="13"/>
        <v>40</v>
      </c>
      <c r="P46" s="109">
        <f t="shared" si="13"/>
        <v>0</v>
      </c>
      <c r="Q46" s="109">
        <f t="shared" si="13"/>
        <v>0</v>
      </c>
      <c r="R46" s="109">
        <f t="shared" si="13"/>
        <v>40</v>
      </c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 spans="1:29" ht="14.25" customHeight="1">
      <c r="C47" s="24" t="s">
        <v>15</v>
      </c>
      <c r="D47" s="136"/>
      <c r="E47" s="136"/>
      <c r="F47" s="136">
        <f t="shared" ref="F47:R47" si="14">F27*40</f>
        <v>120</v>
      </c>
      <c r="G47" s="136">
        <f t="shared" si="14"/>
        <v>120</v>
      </c>
      <c r="H47" s="136">
        <f t="shared" si="14"/>
        <v>40</v>
      </c>
      <c r="I47" s="136">
        <f t="shared" si="14"/>
        <v>120</v>
      </c>
      <c r="J47" s="136">
        <f t="shared" si="14"/>
        <v>0</v>
      </c>
      <c r="K47" s="136">
        <f t="shared" si="14"/>
        <v>0</v>
      </c>
      <c r="L47" s="136">
        <f t="shared" si="14"/>
        <v>0</v>
      </c>
      <c r="M47" s="136">
        <f t="shared" si="14"/>
        <v>200</v>
      </c>
      <c r="N47" s="136">
        <f t="shared" si="14"/>
        <v>40</v>
      </c>
      <c r="O47" s="136">
        <f t="shared" si="14"/>
        <v>40</v>
      </c>
      <c r="P47" s="136">
        <f t="shared" si="14"/>
        <v>40</v>
      </c>
      <c r="Q47" s="136">
        <f t="shared" si="14"/>
        <v>80</v>
      </c>
      <c r="R47" s="136">
        <f t="shared" si="14"/>
        <v>0</v>
      </c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spans="1:29" ht="14.25" customHeight="1">
      <c r="C48" s="38" t="s">
        <v>17</v>
      </c>
      <c r="D48" s="109"/>
      <c r="E48" s="109"/>
      <c r="F48" s="109">
        <f t="shared" ref="F48:R48" si="15">F28*40</f>
        <v>200</v>
      </c>
      <c r="G48" s="109">
        <f t="shared" si="15"/>
        <v>280</v>
      </c>
      <c r="H48" s="109">
        <f t="shared" si="15"/>
        <v>120</v>
      </c>
      <c r="I48" s="109">
        <f t="shared" si="15"/>
        <v>280</v>
      </c>
      <c r="J48" s="109">
        <f t="shared" si="15"/>
        <v>240</v>
      </c>
      <c r="K48" s="109">
        <f t="shared" si="15"/>
        <v>40</v>
      </c>
      <c r="L48" s="109">
        <f t="shared" si="15"/>
        <v>320</v>
      </c>
      <c r="M48" s="109">
        <f t="shared" si="15"/>
        <v>360</v>
      </c>
      <c r="N48" s="109">
        <f t="shared" si="15"/>
        <v>120</v>
      </c>
      <c r="O48" s="109">
        <f t="shared" si="15"/>
        <v>360</v>
      </c>
      <c r="P48" s="109">
        <f t="shared" si="15"/>
        <v>160</v>
      </c>
      <c r="Q48" s="109">
        <f t="shared" si="15"/>
        <v>160</v>
      </c>
      <c r="R48" s="109">
        <f t="shared" si="15"/>
        <v>360</v>
      </c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 spans="3:29" ht="14.25" customHeight="1">
      <c r="C49" s="24" t="s">
        <v>19</v>
      </c>
      <c r="D49" s="136"/>
      <c r="E49" s="136"/>
      <c r="F49" s="136">
        <f t="shared" ref="F49:R49" si="16">F29*40</f>
        <v>280</v>
      </c>
      <c r="G49" s="136">
        <f t="shared" si="16"/>
        <v>880</v>
      </c>
      <c r="H49" s="136">
        <f t="shared" si="16"/>
        <v>520</v>
      </c>
      <c r="I49" s="136">
        <f t="shared" si="16"/>
        <v>600</v>
      </c>
      <c r="J49" s="136">
        <f t="shared" si="16"/>
        <v>640</v>
      </c>
      <c r="K49" s="136">
        <f t="shared" si="16"/>
        <v>280</v>
      </c>
      <c r="L49" s="136">
        <f t="shared" si="16"/>
        <v>160</v>
      </c>
      <c r="M49" s="136">
        <f t="shared" si="16"/>
        <v>1520</v>
      </c>
      <c r="N49" s="136">
        <f t="shared" si="16"/>
        <v>80</v>
      </c>
      <c r="O49" s="136">
        <f t="shared" si="16"/>
        <v>800</v>
      </c>
      <c r="P49" s="136">
        <f t="shared" si="16"/>
        <v>400</v>
      </c>
      <c r="Q49" s="136">
        <f t="shared" si="16"/>
        <v>320</v>
      </c>
      <c r="R49" s="136">
        <f t="shared" si="16"/>
        <v>80</v>
      </c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 spans="3:29" ht="14.25" customHeight="1">
      <c r="C50" s="38" t="s">
        <v>21</v>
      </c>
      <c r="D50" s="109"/>
      <c r="E50" s="109"/>
      <c r="F50" s="109">
        <f t="shared" ref="F50:R50" si="17">F30*40</f>
        <v>0</v>
      </c>
      <c r="G50" s="109">
        <f t="shared" si="17"/>
        <v>40</v>
      </c>
      <c r="H50" s="109">
        <f t="shared" si="17"/>
        <v>0</v>
      </c>
      <c r="I50" s="109">
        <f t="shared" si="17"/>
        <v>0</v>
      </c>
      <c r="J50" s="109">
        <f t="shared" si="17"/>
        <v>0</v>
      </c>
      <c r="K50" s="109">
        <f t="shared" si="17"/>
        <v>40</v>
      </c>
      <c r="L50" s="109">
        <f t="shared" si="17"/>
        <v>0</v>
      </c>
      <c r="M50" s="109">
        <f t="shared" si="17"/>
        <v>0</v>
      </c>
      <c r="N50" s="109">
        <f t="shared" si="17"/>
        <v>0</v>
      </c>
      <c r="O50" s="109">
        <f t="shared" si="17"/>
        <v>40</v>
      </c>
      <c r="P50" s="109">
        <f t="shared" si="17"/>
        <v>160</v>
      </c>
      <c r="Q50" s="109">
        <f t="shared" si="17"/>
        <v>0</v>
      </c>
      <c r="R50" s="109">
        <f t="shared" si="17"/>
        <v>0</v>
      </c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 spans="3:29" ht="14.25" customHeight="1">
      <c r="C51" s="24" t="s">
        <v>23</v>
      </c>
      <c r="D51" s="136"/>
      <c r="E51" s="136"/>
      <c r="F51" s="136">
        <f t="shared" ref="F51:R51" si="18">F31*40</f>
        <v>0</v>
      </c>
      <c r="G51" s="136">
        <f t="shared" si="18"/>
        <v>0</v>
      </c>
      <c r="H51" s="136">
        <f t="shared" si="18"/>
        <v>0</v>
      </c>
      <c r="I51" s="136">
        <f t="shared" si="18"/>
        <v>40</v>
      </c>
      <c r="J51" s="136">
        <f t="shared" si="18"/>
        <v>160</v>
      </c>
      <c r="K51" s="136">
        <f t="shared" si="18"/>
        <v>0</v>
      </c>
      <c r="L51" s="136">
        <f t="shared" si="18"/>
        <v>0</v>
      </c>
      <c r="M51" s="136">
        <f t="shared" si="18"/>
        <v>0</v>
      </c>
      <c r="N51" s="136">
        <f t="shared" si="18"/>
        <v>40</v>
      </c>
      <c r="O51" s="136">
        <f t="shared" si="18"/>
        <v>520</v>
      </c>
      <c r="P51" s="136">
        <f t="shared" si="18"/>
        <v>520</v>
      </c>
      <c r="Q51" s="136">
        <f t="shared" si="18"/>
        <v>0</v>
      </c>
      <c r="R51" s="136">
        <f t="shared" si="18"/>
        <v>40</v>
      </c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</row>
    <row r="52" spans="3:29" ht="14.25" customHeight="1">
      <c r="C52" s="43" t="s">
        <v>25</v>
      </c>
      <c r="D52" s="109"/>
      <c r="E52" s="109"/>
      <c r="F52" s="109">
        <f t="shared" ref="F52:R52" si="19">F32*40</f>
        <v>760</v>
      </c>
      <c r="G52" s="109">
        <f t="shared" si="19"/>
        <v>1800</v>
      </c>
      <c r="H52" s="109">
        <f t="shared" si="19"/>
        <v>1440</v>
      </c>
      <c r="I52" s="109">
        <f t="shared" si="19"/>
        <v>1200</v>
      </c>
      <c r="J52" s="109">
        <f t="shared" si="19"/>
        <v>1400</v>
      </c>
      <c r="K52" s="109">
        <f t="shared" si="19"/>
        <v>360</v>
      </c>
      <c r="L52" s="109">
        <f t="shared" si="19"/>
        <v>480</v>
      </c>
      <c r="M52" s="109">
        <f t="shared" si="19"/>
        <v>2160</v>
      </c>
      <c r="N52" s="109">
        <f t="shared" si="19"/>
        <v>520</v>
      </c>
      <c r="O52" s="109">
        <f t="shared" si="19"/>
        <v>2080</v>
      </c>
      <c r="P52" s="109">
        <f t="shared" si="19"/>
        <v>1560</v>
      </c>
      <c r="Q52" s="109">
        <f t="shared" si="19"/>
        <v>640</v>
      </c>
      <c r="R52" s="109">
        <f t="shared" si="19"/>
        <v>880</v>
      </c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</row>
    <row r="53" spans="3:29" ht="14.25" customHeight="1">
      <c r="P53" s="155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</row>
    <row r="54" spans="3:29" ht="14.25" customHeight="1"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154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</row>
    <row r="55" spans="3:29" ht="14.25" customHeight="1">
      <c r="C55" s="67" t="s">
        <v>83</v>
      </c>
      <c r="D55" s="56"/>
      <c r="E55" s="56"/>
      <c r="F55" s="56"/>
      <c r="G55" s="56"/>
      <c r="H55" s="56"/>
      <c r="I55" s="56"/>
      <c r="J55" s="56"/>
      <c r="K55" s="238">
        <f>SUM(K46:N46)</f>
        <v>200</v>
      </c>
      <c r="L55" s="222"/>
      <c r="M55" s="222"/>
      <c r="N55" s="223"/>
      <c r="O55" s="56"/>
      <c r="P55" s="155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</row>
    <row r="56" spans="3:29" ht="14.25" customHeight="1"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154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</row>
    <row r="57" spans="3:29" ht="14.25" customHeight="1"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154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</row>
    <row r="58" spans="3:29" ht="14.25" customHeight="1"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154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 spans="3:29" ht="14.25" customHeight="1"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154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</row>
    <row r="60" spans="3:29" ht="14.25" customHeight="1"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154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 spans="3:29" ht="14.25" customHeight="1"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154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</row>
    <row r="62" spans="3:29" ht="14.25" customHeight="1"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154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</row>
    <row r="63" spans="3:29" ht="14.25" customHeight="1"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154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</row>
    <row r="64" spans="3:29" ht="14.25" customHeight="1"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154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</row>
    <row r="65" spans="4:29" ht="14.25" customHeight="1"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154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</row>
    <row r="66" spans="4:29" ht="14.25" customHeight="1"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154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</row>
    <row r="67" spans="4:29" ht="14.25" customHeight="1"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154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 spans="4:29" ht="14.25" customHeight="1"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154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 spans="4:29" ht="14.25" customHeight="1"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154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</row>
    <row r="70" spans="4:29" ht="14.25" customHeight="1"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154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</row>
    <row r="71" spans="4:29" ht="14.25" customHeight="1"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154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</row>
    <row r="72" spans="4:29" ht="14.25" customHeight="1"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154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</row>
    <row r="73" spans="4:29" ht="14.25" customHeight="1"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154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</row>
    <row r="74" spans="4:29" ht="14.25" customHeight="1"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154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</row>
    <row r="75" spans="4:29" ht="14.25" customHeight="1"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154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</row>
    <row r="76" spans="4:29" ht="14.25" customHeight="1"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154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</row>
    <row r="77" spans="4:29" ht="14.25" customHeight="1"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154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</row>
    <row r="78" spans="4:29" ht="14.25" customHeight="1"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154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</row>
    <row r="79" spans="4:29" ht="14.25" customHeight="1"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154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</row>
    <row r="80" spans="4:29" ht="14.25" customHeight="1"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154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</row>
    <row r="81" spans="4:29" ht="14.25" customHeight="1"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154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</row>
    <row r="82" spans="4:29" ht="14.25" customHeight="1"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154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</row>
    <row r="83" spans="4:29" ht="14.25" customHeight="1"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154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</row>
    <row r="84" spans="4:29" ht="14.25" customHeight="1"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154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</row>
    <row r="85" spans="4:29" ht="14.25" customHeight="1"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154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</row>
    <row r="86" spans="4:29" ht="14.25" customHeight="1"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154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</row>
    <row r="87" spans="4:29" ht="14.25" customHeight="1"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154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</row>
    <row r="88" spans="4:29" ht="14.25" customHeight="1"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154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</row>
    <row r="89" spans="4:29" ht="14.25" customHeight="1"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154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</row>
    <row r="90" spans="4:29" ht="14.25" customHeight="1"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154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</row>
    <row r="91" spans="4:29" ht="14.25" customHeight="1"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154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</row>
    <row r="92" spans="4:29" ht="14.25" customHeight="1"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154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</row>
    <row r="93" spans="4:29" ht="14.25" customHeight="1"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154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</row>
    <row r="94" spans="4:29" ht="14.25" customHeight="1"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154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</row>
    <row r="95" spans="4:29" ht="14.25" customHeight="1"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154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</row>
    <row r="96" spans="4:29" ht="14.25" customHeight="1"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154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</row>
    <row r="97" spans="4:29" ht="14.25" customHeight="1"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154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</row>
    <row r="98" spans="4:29" ht="14.25" customHeight="1"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154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</row>
    <row r="99" spans="4:29" ht="14.25" customHeight="1"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154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</row>
    <row r="100" spans="4:29" ht="14.25" customHeight="1"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154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</row>
    <row r="101" spans="4:29" ht="14.25" customHeight="1"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154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</row>
    <row r="102" spans="4:29" ht="14.25" customHeight="1"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154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</row>
    <row r="103" spans="4:29" ht="14.25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154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</row>
    <row r="104" spans="4:29" ht="14.25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154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</row>
    <row r="105" spans="4:29" ht="14.25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154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</row>
    <row r="106" spans="4:29" ht="14.25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154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</row>
    <row r="107" spans="4:29" ht="14.25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154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</row>
    <row r="108" spans="4:29" ht="14.25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154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</row>
    <row r="109" spans="4:29" ht="14.25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154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</row>
    <row r="110" spans="4:29" ht="14.25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154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</row>
    <row r="111" spans="4:29" ht="14.25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154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</row>
    <row r="112" spans="4:29" ht="14.25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154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</row>
    <row r="113" spans="4:29" ht="14.25" customHeight="1">
      <c r="D113" s="61"/>
      <c r="E113" s="62"/>
      <c r="F113" s="63"/>
      <c r="G113" s="64"/>
      <c r="P113" s="155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</row>
    <row r="114" spans="4:29" ht="14.25" customHeight="1">
      <c r="D114" s="61"/>
      <c r="E114" s="62"/>
      <c r="F114" s="63"/>
      <c r="G114" s="64"/>
      <c r="P114" s="155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</row>
    <row r="115" spans="4:29" ht="14.25" customHeight="1">
      <c r="D115" s="61"/>
      <c r="E115" s="62"/>
      <c r="F115" s="63"/>
      <c r="G115" s="64"/>
      <c r="P115" s="155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</row>
    <row r="116" spans="4:29" ht="14.25" customHeight="1">
      <c r="D116" s="61"/>
      <c r="E116" s="62"/>
      <c r="F116" s="63"/>
      <c r="G116" s="64"/>
      <c r="P116" s="155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</row>
    <row r="117" spans="4:29" ht="14.25" customHeight="1">
      <c r="D117" s="61"/>
      <c r="E117" s="62"/>
      <c r="F117" s="63"/>
      <c r="G117" s="64"/>
      <c r="P117" s="155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</row>
    <row r="118" spans="4:29" ht="14.25" customHeight="1">
      <c r="D118" s="61"/>
      <c r="E118" s="62"/>
      <c r="F118" s="63"/>
      <c r="G118" s="64"/>
      <c r="P118" s="155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</row>
    <row r="119" spans="4:29" ht="14.25" customHeight="1">
      <c r="D119" s="61"/>
      <c r="E119" s="62"/>
      <c r="F119" s="63"/>
      <c r="G119" s="64"/>
      <c r="P119" s="155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</row>
    <row r="120" spans="4:29" ht="14.25" customHeight="1">
      <c r="D120" s="61"/>
      <c r="E120" s="62"/>
      <c r="F120" s="63"/>
      <c r="G120" s="64"/>
      <c r="P120" s="155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</row>
    <row r="121" spans="4:29" ht="14.25" customHeight="1">
      <c r="D121" s="61"/>
      <c r="E121" s="62"/>
      <c r="F121" s="63"/>
      <c r="G121" s="64"/>
      <c r="P121" s="155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</row>
    <row r="122" spans="4:29" ht="14.25" customHeight="1">
      <c r="D122" s="61"/>
      <c r="E122" s="62"/>
      <c r="F122" s="63"/>
      <c r="G122" s="64"/>
      <c r="P122" s="155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</row>
    <row r="123" spans="4:29" ht="14.25" customHeight="1">
      <c r="D123" s="61"/>
      <c r="E123" s="62"/>
      <c r="F123" s="63"/>
      <c r="G123" s="64"/>
      <c r="P123" s="155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</row>
    <row r="124" spans="4:29" ht="14.25" customHeight="1">
      <c r="D124" s="61"/>
      <c r="E124" s="62"/>
      <c r="F124" s="63"/>
      <c r="G124" s="64"/>
      <c r="P124" s="155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</row>
    <row r="125" spans="4:29" ht="14.25" customHeight="1">
      <c r="D125" s="61"/>
      <c r="E125" s="62"/>
      <c r="F125" s="63"/>
      <c r="G125" s="64"/>
      <c r="P125" s="155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</row>
    <row r="126" spans="4:29" ht="14.25" customHeight="1">
      <c r="D126" s="61"/>
      <c r="E126" s="62"/>
      <c r="F126" s="63"/>
      <c r="G126" s="64"/>
      <c r="P126" s="155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</row>
    <row r="127" spans="4:29" ht="14.25" customHeight="1">
      <c r="D127" s="61"/>
      <c r="E127" s="62"/>
      <c r="F127" s="63"/>
      <c r="G127" s="64"/>
      <c r="P127" s="155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</row>
    <row r="128" spans="4:29" ht="14.25" customHeight="1">
      <c r="D128" s="61"/>
      <c r="E128" s="62"/>
      <c r="F128" s="63"/>
      <c r="G128" s="64"/>
      <c r="P128" s="155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</row>
    <row r="129" spans="4:29" ht="14.25" customHeight="1">
      <c r="D129" s="61"/>
      <c r="E129" s="62"/>
      <c r="F129" s="63"/>
      <c r="G129" s="64"/>
      <c r="P129" s="155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</row>
    <row r="130" spans="4:29" ht="14.25" customHeight="1">
      <c r="D130" s="61"/>
      <c r="E130" s="62"/>
      <c r="F130" s="63"/>
      <c r="G130" s="64"/>
      <c r="P130" s="155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</row>
    <row r="131" spans="4:29" ht="14.25" customHeight="1">
      <c r="D131" s="61"/>
      <c r="E131" s="62"/>
      <c r="F131" s="63"/>
      <c r="G131" s="64"/>
      <c r="P131" s="155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</row>
    <row r="132" spans="4:29" ht="14.25" customHeight="1">
      <c r="D132" s="61"/>
      <c r="E132" s="62"/>
      <c r="F132" s="63"/>
      <c r="G132" s="64"/>
      <c r="P132" s="155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</row>
    <row r="133" spans="4:29" ht="14.25" customHeight="1">
      <c r="D133" s="61"/>
      <c r="E133" s="62"/>
      <c r="F133" s="63"/>
      <c r="G133" s="64"/>
      <c r="P133" s="155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</row>
    <row r="134" spans="4:29" ht="14.25" customHeight="1">
      <c r="D134" s="61"/>
      <c r="E134" s="62"/>
      <c r="F134" s="63"/>
      <c r="G134" s="64"/>
      <c r="P134" s="155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</row>
    <row r="135" spans="4:29" ht="14.25" customHeight="1">
      <c r="D135" s="61"/>
      <c r="E135" s="62"/>
      <c r="F135" s="63"/>
      <c r="G135" s="64"/>
      <c r="P135" s="155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</row>
    <row r="136" spans="4:29" ht="14.25" customHeight="1">
      <c r="D136" s="61"/>
      <c r="E136" s="62"/>
      <c r="F136" s="63"/>
      <c r="G136" s="64"/>
      <c r="P136" s="155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</row>
    <row r="137" spans="4:29" ht="14.25" customHeight="1">
      <c r="D137" s="61"/>
      <c r="E137" s="62"/>
      <c r="F137" s="63"/>
      <c r="G137" s="64"/>
      <c r="P137" s="155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</row>
    <row r="138" spans="4:29" ht="14.25" customHeight="1">
      <c r="D138" s="61"/>
      <c r="E138" s="62"/>
      <c r="F138" s="63"/>
      <c r="G138" s="64"/>
      <c r="P138" s="155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</row>
    <row r="139" spans="4:29" ht="14.25" customHeight="1">
      <c r="D139" s="61"/>
      <c r="E139" s="62"/>
      <c r="F139" s="63"/>
      <c r="G139" s="64"/>
      <c r="P139" s="155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</row>
    <row r="140" spans="4:29" ht="14.25" customHeight="1">
      <c r="D140" s="61"/>
      <c r="E140" s="62"/>
      <c r="F140" s="63"/>
      <c r="G140" s="64"/>
      <c r="P140" s="155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</row>
    <row r="141" spans="4:29" ht="14.25" customHeight="1">
      <c r="D141" s="61"/>
      <c r="E141" s="62"/>
      <c r="F141" s="63"/>
      <c r="G141" s="64"/>
      <c r="P141" s="155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</row>
    <row r="142" spans="4:29" ht="14.25" customHeight="1">
      <c r="D142" s="61"/>
      <c r="E142" s="62"/>
      <c r="F142" s="63"/>
      <c r="G142" s="64"/>
      <c r="P142" s="155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</row>
    <row r="143" spans="4:29" ht="14.25" customHeight="1">
      <c r="D143" s="61"/>
      <c r="E143" s="62"/>
      <c r="F143" s="63"/>
      <c r="G143" s="64"/>
      <c r="P143" s="155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</row>
    <row r="144" spans="4:29" ht="14.25" customHeight="1">
      <c r="D144" s="61"/>
      <c r="E144" s="62"/>
      <c r="F144" s="63"/>
      <c r="G144" s="64"/>
      <c r="P144" s="155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</row>
    <row r="145" spans="4:29" ht="14.25" customHeight="1">
      <c r="D145" s="61"/>
      <c r="E145" s="62"/>
      <c r="F145" s="63"/>
      <c r="G145" s="64"/>
      <c r="P145" s="155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</row>
    <row r="146" spans="4:29" ht="14.25" customHeight="1">
      <c r="D146" s="61"/>
      <c r="E146" s="62"/>
      <c r="F146" s="63"/>
      <c r="G146" s="64"/>
      <c r="P146" s="155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</row>
    <row r="147" spans="4:29" ht="14.25" customHeight="1">
      <c r="D147" s="61"/>
      <c r="E147" s="62"/>
      <c r="F147" s="63"/>
      <c r="G147" s="64"/>
      <c r="P147" s="155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</row>
    <row r="148" spans="4:29" ht="14.25" customHeight="1">
      <c r="D148" s="61"/>
      <c r="E148" s="62"/>
      <c r="F148" s="63"/>
      <c r="G148" s="64"/>
      <c r="P148" s="155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</row>
    <row r="149" spans="4:29" ht="14.25" customHeight="1">
      <c r="D149" s="61"/>
      <c r="E149" s="62"/>
      <c r="F149" s="63"/>
      <c r="G149" s="64"/>
      <c r="P149" s="155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</row>
    <row r="150" spans="4:29" ht="14.25" customHeight="1">
      <c r="D150" s="61"/>
      <c r="E150" s="62"/>
      <c r="F150" s="63"/>
      <c r="G150" s="64"/>
      <c r="P150" s="155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</row>
    <row r="151" spans="4:29" ht="14.25" customHeight="1">
      <c r="D151" s="61"/>
      <c r="E151" s="62"/>
      <c r="F151" s="63"/>
      <c r="G151" s="64"/>
      <c r="P151" s="155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</row>
    <row r="152" spans="4:29" ht="14.25" customHeight="1">
      <c r="D152" s="61"/>
      <c r="E152" s="62"/>
      <c r="F152" s="63"/>
      <c r="G152" s="64"/>
      <c r="P152" s="155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</row>
    <row r="153" spans="4:29" ht="14.25" customHeight="1">
      <c r="D153" s="61"/>
      <c r="E153" s="62"/>
      <c r="F153" s="63"/>
      <c r="G153" s="64"/>
      <c r="P153" s="155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</row>
    <row r="154" spans="4:29" ht="14.25" customHeight="1">
      <c r="D154" s="61"/>
      <c r="E154" s="62"/>
      <c r="F154" s="63"/>
      <c r="G154" s="64"/>
      <c r="P154" s="155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</row>
    <row r="155" spans="4:29" ht="14.25" customHeight="1">
      <c r="D155" s="61"/>
      <c r="E155" s="62"/>
      <c r="F155" s="63"/>
      <c r="G155" s="64"/>
      <c r="P155" s="155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</row>
    <row r="156" spans="4:29" ht="14.25" customHeight="1">
      <c r="D156" s="61"/>
      <c r="E156" s="62"/>
      <c r="F156" s="63"/>
      <c r="G156" s="64"/>
      <c r="P156" s="155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</row>
    <row r="157" spans="4:29" ht="14.25" customHeight="1">
      <c r="D157" s="61"/>
      <c r="E157" s="62"/>
      <c r="F157" s="63"/>
      <c r="G157" s="64"/>
      <c r="P157" s="155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</row>
    <row r="158" spans="4:29" ht="14.25" customHeight="1">
      <c r="D158" s="61"/>
      <c r="E158" s="62"/>
      <c r="F158" s="63"/>
      <c r="G158" s="64"/>
      <c r="P158" s="155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</row>
    <row r="159" spans="4:29" ht="14.25" customHeight="1">
      <c r="D159" s="61"/>
      <c r="E159" s="62"/>
      <c r="F159" s="63"/>
      <c r="G159" s="64"/>
      <c r="P159" s="155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</row>
    <row r="160" spans="4:29" ht="14.25" customHeight="1">
      <c r="D160" s="61"/>
      <c r="E160" s="62"/>
      <c r="F160" s="63"/>
      <c r="G160" s="64"/>
      <c r="P160" s="155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</row>
    <row r="161" spans="4:29" ht="14.25" customHeight="1">
      <c r="D161" s="61"/>
      <c r="E161" s="62"/>
      <c r="F161" s="63"/>
      <c r="G161" s="64"/>
      <c r="P161" s="155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</row>
    <row r="162" spans="4:29" ht="14.25" customHeight="1">
      <c r="D162" s="61"/>
      <c r="E162" s="62"/>
      <c r="F162" s="63"/>
      <c r="G162" s="64"/>
      <c r="P162" s="155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</row>
    <row r="163" spans="4:29" ht="14.25" customHeight="1">
      <c r="D163" s="61"/>
      <c r="E163" s="62"/>
      <c r="F163" s="63"/>
      <c r="G163" s="64"/>
      <c r="P163" s="155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</row>
    <row r="164" spans="4:29" ht="14.25" customHeight="1">
      <c r="D164" s="61"/>
      <c r="E164" s="62"/>
      <c r="F164" s="63"/>
      <c r="G164" s="64"/>
      <c r="P164" s="155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</row>
    <row r="165" spans="4:29" ht="14.25" customHeight="1">
      <c r="D165" s="61"/>
      <c r="E165" s="62"/>
      <c r="F165" s="63"/>
      <c r="G165" s="64"/>
      <c r="P165" s="155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</row>
    <row r="166" spans="4:29" ht="14.25" customHeight="1">
      <c r="D166" s="61"/>
      <c r="E166" s="62"/>
      <c r="F166" s="63"/>
      <c r="G166" s="64"/>
      <c r="P166" s="155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</row>
    <row r="167" spans="4:29" ht="14.25" customHeight="1">
      <c r="D167" s="61"/>
      <c r="E167" s="62"/>
      <c r="F167" s="63"/>
      <c r="G167" s="64"/>
      <c r="P167" s="155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</row>
    <row r="168" spans="4:29" ht="14.25" customHeight="1">
      <c r="D168" s="61"/>
      <c r="E168" s="62"/>
      <c r="F168" s="63"/>
      <c r="G168" s="64"/>
      <c r="P168" s="155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</row>
    <row r="169" spans="4:29" ht="14.25" customHeight="1">
      <c r="D169" s="61"/>
      <c r="E169" s="62"/>
      <c r="F169" s="63"/>
      <c r="G169" s="64"/>
      <c r="P169" s="155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</row>
    <row r="170" spans="4:29" ht="14.25" customHeight="1">
      <c r="D170" s="61"/>
      <c r="E170" s="62"/>
      <c r="F170" s="63"/>
      <c r="G170" s="64"/>
      <c r="P170" s="155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</row>
    <row r="171" spans="4:29" ht="14.25" customHeight="1">
      <c r="D171" s="61"/>
      <c r="E171" s="62"/>
      <c r="F171" s="63"/>
      <c r="G171" s="64"/>
      <c r="P171" s="155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</row>
    <row r="172" spans="4:29" ht="14.25" customHeight="1">
      <c r="D172" s="61"/>
      <c r="E172" s="62"/>
      <c r="F172" s="63"/>
      <c r="G172" s="64"/>
      <c r="P172" s="155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</row>
    <row r="173" spans="4:29" ht="14.25" customHeight="1">
      <c r="D173" s="61"/>
      <c r="E173" s="62"/>
      <c r="F173" s="63"/>
      <c r="G173" s="64"/>
      <c r="P173" s="155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</row>
    <row r="174" spans="4:29" ht="14.25" customHeight="1">
      <c r="D174" s="61"/>
      <c r="E174" s="62"/>
      <c r="F174" s="63"/>
      <c r="G174" s="64"/>
      <c r="P174" s="155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</row>
    <row r="175" spans="4:29" ht="14.25" customHeight="1">
      <c r="D175" s="61"/>
      <c r="E175" s="62"/>
      <c r="F175" s="63"/>
      <c r="G175" s="64"/>
      <c r="P175" s="155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</row>
    <row r="176" spans="4:29" ht="14.25" customHeight="1">
      <c r="D176" s="61"/>
      <c r="E176" s="62"/>
      <c r="F176" s="63"/>
      <c r="G176" s="64"/>
      <c r="P176" s="155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</row>
    <row r="177" spans="4:29" ht="14.25" customHeight="1">
      <c r="D177" s="61"/>
      <c r="E177" s="62"/>
      <c r="F177" s="63"/>
      <c r="G177" s="64"/>
      <c r="P177" s="155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</row>
    <row r="178" spans="4:29" ht="14.25" customHeight="1">
      <c r="D178" s="61"/>
      <c r="E178" s="62"/>
      <c r="F178" s="63"/>
      <c r="G178" s="64"/>
      <c r="P178" s="155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</row>
    <row r="179" spans="4:29" ht="14.25" customHeight="1">
      <c r="D179" s="61"/>
      <c r="E179" s="62"/>
      <c r="F179" s="63"/>
      <c r="G179" s="64"/>
      <c r="P179" s="155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</row>
    <row r="180" spans="4:29" ht="14.25" customHeight="1">
      <c r="D180" s="61"/>
      <c r="E180" s="62"/>
      <c r="F180" s="63"/>
      <c r="G180" s="64"/>
      <c r="P180" s="155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</row>
    <row r="181" spans="4:29" ht="14.25" customHeight="1">
      <c r="D181" s="61"/>
      <c r="E181" s="62"/>
      <c r="F181" s="63"/>
      <c r="G181" s="64"/>
      <c r="P181" s="155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</row>
    <row r="182" spans="4:29" ht="14.25" customHeight="1">
      <c r="D182" s="61"/>
      <c r="E182" s="62"/>
      <c r="F182" s="63"/>
      <c r="G182" s="64"/>
      <c r="P182" s="155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</row>
    <row r="183" spans="4:29" ht="14.25" customHeight="1">
      <c r="D183" s="61"/>
      <c r="E183" s="62"/>
      <c r="F183" s="63"/>
      <c r="G183" s="64"/>
      <c r="P183" s="155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</row>
    <row r="184" spans="4:29" ht="14.25" customHeight="1">
      <c r="D184" s="61"/>
      <c r="E184" s="62"/>
      <c r="F184" s="63"/>
      <c r="G184" s="64"/>
      <c r="P184" s="155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</row>
    <row r="185" spans="4:29" ht="14.25" customHeight="1">
      <c r="D185" s="61"/>
      <c r="E185" s="62"/>
      <c r="F185" s="63"/>
      <c r="G185" s="64"/>
      <c r="P185" s="155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</row>
    <row r="186" spans="4:29" ht="14.25" customHeight="1">
      <c r="D186" s="61"/>
      <c r="E186" s="62"/>
      <c r="F186" s="63"/>
      <c r="G186" s="64"/>
      <c r="P186" s="155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</row>
    <row r="187" spans="4:29" ht="14.25" customHeight="1">
      <c r="D187" s="61"/>
      <c r="E187" s="62"/>
      <c r="F187" s="63"/>
      <c r="G187" s="64"/>
      <c r="P187" s="155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</row>
    <row r="188" spans="4:29" ht="14.25" customHeight="1">
      <c r="D188" s="61"/>
      <c r="E188" s="62"/>
      <c r="F188" s="63"/>
      <c r="G188" s="64"/>
      <c r="P188" s="155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</row>
    <row r="189" spans="4:29" ht="14.25" customHeight="1">
      <c r="D189" s="61"/>
      <c r="E189" s="62"/>
      <c r="F189" s="63"/>
      <c r="G189" s="64"/>
      <c r="P189" s="155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</row>
    <row r="190" spans="4:29" ht="14.25" customHeight="1">
      <c r="D190" s="61"/>
      <c r="E190" s="62"/>
      <c r="F190" s="63"/>
      <c r="G190" s="64"/>
      <c r="P190" s="155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</row>
    <row r="191" spans="4:29" ht="14.25" customHeight="1">
      <c r="D191" s="61"/>
      <c r="E191" s="62"/>
      <c r="F191" s="63"/>
      <c r="G191" s="64"/>
      <c r="P191" s="155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</row>
    <row r="192" spans="4:29" ht="14.25" customHeight="1">
      <c r="D192" s="61"/>
      <c r="E192" s="62"/>
      <c r="F192" s="63"/>
      <c r="G192" s="64"/>
      <c r="P192" s="155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</row>
    <row r="193" spans="4:29" ht="14.25" customHeight="1">
      <c r="D193" s="61"/>
      <c r="E193" s="62"/>
      <c r="F193" s="63"/>
      <c r="G193" s="64"/>
      <c r="P193" s="155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</row>
    <row r="194" spans="4:29" ht="14.25" customHeight="1">
      <c r="D194" s="61"/>
      <c r="E194" s="62"/>
      <c r="F194" s="63"/>
      <c r="G194" s="64"/>
      <c r="P194" s="155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</row>
    <row r="195" spans="4:29" ht="14.25" customHeight="1">
      <c r="D195" s="61"/>
      <c r="E195" s="62"/>
      <c r="F195" s="63"/>
      <c r="G195" s="64"/>
      <c r="P195" s="155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</row>
    <row r="196" spans="4:29" ht="14.25" customHeight="1">
      <c r="D196" s="61"/>
      <c r="E196" s="62"/>
      <c r="F196" s="63"/>
      <c r="G196" s="64"/>
      <c r="P196" s="155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</row>
    <row r="197" spans="4:29" ht="14.25" customHeight="1">
      <c r="D197" s="61"/>
      <c r="E197" s="62"/>
      <c r="F197" s="63"/>
      <c r="G197" s="64"/>
      <c r="P197" s="155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</row>
    <row r="198" spans="4:29" ht="14.25" customHeight="1">
      <c r="D198" s="61"/>
      <c r="E198" s="62"/>
      <c r="F198" s="63"/>
      <c r="G198" s="64"/>
      <c r="P198" s="155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</row>
    <row r="199" spans="4:29" ht="14.25" customHeight="1">
      <c r="D199" s="61"/>
      <c r="E199" s="62"/>
      <c r="F199" s="63"/>
      <c r="G199" s="64"/>
      <c r="P199" s="155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</row>
    <row r="200" spans="4:29" ht="14.25" customHeight="1">
      <c r="D200" s="61"/>
      <c r="E200" s="62"/>
      <c r="F200" s="63"/>
      <c r="G200" s="64"/>
      <c r="P200" s="155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</row>
    <row r="201" spans="4:29" ht="14.25" customHeight="1">
      <c r="D201" s="61"/>
      <c r="E201" s="62"/>
      <c r="F201" s="63"/>
      <c r="G201" s="64"/>
      <c r="P201" s="155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</row>
    <row r="202" spans="4:29" ht="14.25" customHeight="1">
      <c r="D202" s="61"/>
      <c r="E202" s="62"/>
      <c r="F202" s="63"/>
      <c r="G202" s="64"/>
      <c r="P202" s="155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</row>
    <row r="203" spans="4:29" ht="14.25" customHeight="1">
      <c r="D203" s="61"/>
      <c r="E203" s="62"/>
      <c r="F203" s="63"/>
      <c r="G203" s="64"/>
      <c r="P203" s="155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</row>
    <row r="204" spans="4:29" ht="14.25" customHeight="1">
      <c r="D204" s="61"/>
      <c r="E204" s="62"/>
      <c r="F204" s="63"/>
      <c r="G204" s="64"/>
      <c r="P204" s="155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</row>
    <row r="205" spans="4:29" ht="14.25" customHeight="1">
      <c r="D205" s="61"/>
      <c r="E205" s="62"/>
      <c r="F205" s="63"/>
      <c r="G205" s="64"/>
      <c r="P205" s="155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</row>
    <row r="206" spans="4:29" ht="14.25" customHeight="1">
      <c r="D206" s="61"/>
      <c r="E206" s="62"/>
      <c r="F206" s="63"/>
      <c r="G206" s="64"/>
      <c r="P206" s="155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</row>
    <row r="207" spans="4:29" ht="14.25" customHeight="1">
      <c r="D207" s="61"/>
      <c r="E207" s="62"/>
      <c r="F207" s="63"/>
      <c r="G207" s="64"/>
      <c r="P207" s="155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</row>
    <row r="208" spans="4:29" ht="14.25" customHeight="1">
      <c r="D208" s="61"/>
      <c r="E208" s="62"/>
      <c r="F208" s="63"/>
      <c r="G208" s="64"/>
      <c r="P208" s="155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</row>
    <row r="209" spans="4:29" ht="14.25" customHeight="1">
      <c r="D209" s="61"/>
      <c r="E209" s="62"/>
      <c r="F209" s="63"/>
      <c r="G209" s="64"/>
      <c r="P209" s="155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</row>
    <row r="210" spans="4:29" ht="14.25" customHeight="1">
      <c r="D210" s="61"/>
      <c r="E210" s="62"/>
      <c r="F210" s="63"/>
      <c r="G210" s="64"/>
      <c r="P210" s="155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</row>
    <row r="211" spans="4:29" ht="14.25" customHeight="1">
      <c r="D211" s="61"/>
      <c r="E211" s="62"/>
      <c r="F211" s="63"/>
      <c r="G211" s="64"/>
      <c r="P211" s="155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</row>
    <row r="212" spans="4:29" ht="14.25" customHeight="1">
      <c r="D212" s="61"/>
      <c r="E212" s="62"/>
      <c r="F212" s="63"/>
      <c r="G212" s="64"/>
      <c r="P212" s="155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</row>
    <row r="213" spans="4:29" ht="14.25" customHeight="1">
      <c r="D213" s="61"/>
      <c r="E213" s="62"/>
      <c r="F213" s="63"/>
      <c r="G213" s="64"/>
      <c r="P213" s="155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</row>
    <row r="214" spans="4:29" ht="14.25" customHeight="1">
      <c r="D214" s="61"/>
      <c r="E214" s="62"/>
      <c r="F214" s="63"/>
      <c r="G214" s="64"/>
      <c r="P214" s="155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</row>
    <row r="215" spans="4:29" ht="14.25" customHeight="1">
      <c r="D215" s="61"/>
      <c r="E215" s="62"/>
      <c r="F215" s="63"/>
      <c r="G215" s="64"/>
      <c r="P215" s="155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</row>
    <row r="216" spans="4:29" ht="14.25" customHeight="1">
      <c r="D216" s="61"/>
      <c r="E216" s="62"/>
      <c r="F216" s="63"/>
      <c r="G216" s="64"/>
      <c r="P216" s="155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</row>
    <row r="217" spans="4:29" ht="14.25" customHeight="1">
      <c r="D217" s="61"/>
      <c r="E217" s="62"/>
      <c r="F217" s="63"/>
      <c r="G217" s="64"/>
      <c r="P217" s="155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</row>
    <row r="218" spans="4:29" ht="14.25" customHeight="1">
      <c r="D218" s="61"/>
      <c r="E218" s="62"/>
      <c r="F218" s="63"/>
      <c r="G218" s="64"/>
      <c r="P218" s="155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</row>
    <row r="219" spans="4:29" ht="14.25" customHeight="1">
      <c r="D219" s="61"/>
      <c r="E219" s="62"/>
      <c r="F219" s="63"/>
      <c r="G219" s="64"/>
      <c r="P219" s="155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</row>
    <row r="220" spans="4:29" ht="14.25" customHeight="1">
      <c r="D220" s="61"/>
      <c r="E220" s="62"/>
      <c r="F220" s="63"/>
      <c r="G220" s="64"/>
      <c r="P220" s="155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</row>
    <row r="221" spans="4:29" ht="14.25" customHeight="1">
      <c r="D221" s="61"/>
      <c r="E221" s="62"/>
      <c r="F221" s="63"/>
      <c r="G221" s="64"/>
      <c r="P221" s="155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</row>
    <row r="222" spans="4:29" ht="14.25" customHeight="1">
      <c r="D222" s="61"/>
      <c r="E222" s="62"/>
      <c r="F222" s="63"/>
      <c r="G222" s="64"/>
      <c r="P222" s="155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</row>
    <row r="223" spans="4:29" ht="14.25" customHeight="1">
      <c r="D223" s="61"/>
      <c r="E223" s="62"/>
      <c r="F223" s="63"/>
      <c r="G223" s="64"/>
      <c r="P223" s="155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</row>
    <row r="224" spans="4:29" ht="14.25" customHeight="1">
      <c r="D224" s="61"/>
      <c r="E224" s="62"/>
      <c r="F224" s="63"/>
      <c r="G224" s="64"/>
      <c r="P224" s="155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</row>
    <row r="225" spans="4:29" ht="14.25" customHeight="1">
      <c r="D225" s="61"/>
      <c r="E225" s="62"/>
      <c r="F225" s="63"/>
      <c r="G225" s="64"/>
      <c r="P225" s="155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</row>
    <row r="226" spans="4:29" ht="14.25" customHeight="1">
      <c r="D226" s="61"/>
      <c r="E226" s="62"/>
      <c r="F226" s="63"/>
      <c r="G226" s="64"/>
      <c r="P226" s="155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</row>
    <row r="227" spans="4:29" ht="14.25" customHeight="1">
      <c r="D227" s="61"/>
      <c r="E227" s="62"/>
      <c r="F227" s="63"/>
      <c r="G227" s="64"/>
      <c r="P227" s="155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</row>
    <row r="228" spans="4:29" ht="14.25" customHeight="1">
      <c r="D228" s="61"/>
      <c r="E228" s="62"/>
      <c r="F228" s="63"/>
      <c r="G228" s="64"/>
      <c r="P228" s="155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</row>
    <row r="229" spans="4:29" ht="14.25" customHeight="1">
      <c r="D229" s="61"/>
      <c r="E229" s="62"/>
      <c r="F229" s="63"/>
      <c r="G229" s="64"/>
      <c r="P229" s="155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</row>
    <row r="230" spans="4:29" ht="14.25" customHeight="1">
      <c r="D230" s="61"/>
      <c r="E230" s="62"/>
      <c r="F230" s="63"/>
      <c r="G230" s="64"/>
      <c r="P230" s="155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</row>
    <row r="231" spans="4:29" ht="14.25" customHeight="1">
      <c r="D231" s="61"/>
      <c r="E231" s="62"/>
      <c r="F231" s="63"/>
      <c r="G231" s="64"/>
      <c r="P231" s="155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</row>
    <row r="232" spans="4:29" ht="14.25" customHeight="1">
      <c r="D232" s="61"/>
      <c r="E232" s="62"/>
      <c r="F232" s="63"/>
      <c r="G232" s="64"/>
      <c r="P232" s="155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</row>
    <row r="233" spans="4:29" ht="14.25" customHeight="1">
      <c r="D233" s="61"/>
      <c r="E233" s="62"/>
      <c r="F233" s="63"/>
      <c r="G233" s="64"/>
      <c r="P233" s="155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</row>
    <row r="234" spans="4:29" ht="14.25" customHeight="1">
      <c r="D234" s="61"/>
      <c r="E234" s="62"/>
      <c r="F234" s="63"/>
      <c r="G234" s="64"/>
      <c r="P234" s="155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</row>
    <row r="235" spans="4:29" ht="14.25" customHeight="1">
      <c r="D235" s="61"/>
      <c r="E235" s="62"/>
      <c r="F235" s="63"/>
      <c r="G235" s="64"/>
      <c r="P235" s="155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</row>
    <row r="236" spans="4:29" ht="14.25" customHeight="1">
      <c r="D236" s="61"/>
      <c r="E236" s="62"/>
      <c r="F236" s="63"/>
      <c r="G236" s="64"/>
      <c r="P236" s="155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</row>
    <row r="237" spans="4:29" ht="14.25" customHeight="1">
      <c r="D237" s="61"/>
      <c r="E237" s="62"/>
      <c r="F237" s="63"/>
      <c r="G237" s="64"/>
      <c r="P237" s="155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</row>
    <row r="238" spans="4:29" ht="14.25" customHeight="1">
      <c r="D238" s="61"/>
      <c r="E238" s="62"/>
      <c r="F238" s="63"/>
      <c r="G238" s="64"/>
      <c r="P238" s="155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</row>
    <row r="239" spans="4:29" ht="14.25" customHeight="1">
      <c r="D239" s="61"/>
      <c r="E239" s="62"/>
      <c r="F239" s="63"/>
      <c r="G239" s="64"/>
      <c r="P239" s="155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</row>
    <row r="240" spans="4:29" ht="14.25" customHeight="1">
      <c r="D240" s="61"/>
      <c r="E240" s="62"/>
      <c r="F240" s="63"/>
      <c r="G240" s="64"/>
      <c r="P240" s="155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</row>
    <row r="241" spans="4:29" ht="14.25" customHeight="1">
      <c r="D241" s="61"/>
      <c r="E241" s="62"/>
      <c r="F241" s="63"/>
      <c r="G241" s="64"/>
      <c r="P241" s="155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</row>
    <row r="242" spans="4:29" ht="14.25" customHeight="1">
      <c r="D242" s="61"/>
      <c r="E242" s="62"/>
      <c r="F242" s="63"/>
      <c r="G242" s="64"/>
      <c r="P242" s="155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</row>
    <row r="243" spans="4:29" ht="14.25" customHeight="1">
      <c r="D243" s="61"/>
      <c r="E243" s="62"/>
      <c r="F243" s="63"/>
      <c r="G243" s="64"/>
      <c r="P243" s="155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</row>
    <row r="244" spans="4:29" ht="14.25" customHeight="1">
      <c r="D244" s="61"/>
      <c r="E244" s="62"/>
      <c r="F244" s="63"/>
      <c r="G244" s="64"/>
      <c r="P244" s="155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</row>
    <row r="245" spans="4:29" ht="14.25" customHeight="1">
      <c r="D245" s="61"/>
      <c r="E245" s="62"/>
      <c r="F245" s="63"/>
      <c r="G245" s="64"/>
      <c r="P245" s="155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</row>
    <row r="246" spans="4:29" ht="14.25" customHeight="1">
      <c r="D246" s="61"/>
      <c r="E246" s="62"/>
      <c r="F246" s="63"/>
      <c r="G246" s="64"/>
      <c r="P246" s="155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</row>
    <row r="247" spans="4:29" ht="14.25" customHeight="1">
      <c r="D247" s="61"/>
      <c r="E247" s="62"/>
      <c r="F247" s="63"/>
      <c r="G247" s="64"/>
      <c r="P247" s="155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</row>
    <row r="248" spans="4:29" ht="14.25" customHeight="1">
      <c r="D248" s="61"/>
      <c r="E248" s="62"/>
      <c r="F248" s="63"/>
      <c r="G248" s="64"/>
      <c r="P248" s="155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</row>
    <row r="249" spans="4:29" ht="14.25" customHeight="1">
      <c r="D249" s="61"/>
      <c r="E249" s="62"/>
      <c r="F249" s="63"/>
      <c r="G249" s="64"/>
      <c r="P249" s="155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</row>
    <row r="250" spans="4:29" ht="14.25" customHeight="1">
      <c r="D250" s="61"/>
      <c r="E250" s="62"/>
      <c r="F250" s="63"/>
      <c r="G250" s="64"/>
      <c r="P250" s="155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</row>
    <row r="251" spans="4:29" ht="14.25" customHeight="1">
      <c r="D251" s="61"/>
      <c r="E251" s="62"/>
      <c r="F251" s="63"/>
      <c r="G251" s="64"/>
      <c r="P251" s="155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</row>
    <row r="252" spans="4:29" ht="14.25" customHeight="1">
      <c r="D252" s="61"/>
      <c r="E252" s="62"/>
      <c r="F252" s="63"/>
      <c r="G252" s="64"/>
      <c r="P252" s="155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</row>
    <row r="253" spans="4:29" ht="14.25" customHeight="1">
      <c r="D253" s="61"/>
      <c r="E253" s="62"/>
      <c r="F253" s="63"/>
      <c r="G253" s="64"/>
      <c r="P253" s="155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</row>
    <row r="254" spans="4:29" ht="14.25" customHeight="1">
      <c r="D254" s="61"/>
      <c r="E254" s="62"/>
      <c r="F254" s="63"/>
      <c r="G254" s="64"/>
      <c r="P254" s="155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</row>
    <row r="255" spans="4:29" ht="14.25" customHeight="1">
      <c r="D255" s="61"/>
      <c r="E255" s="62"/>
      <c r="F255" s="63"/>
      <c r="G255" s="64"/>
      <c r="P255" s="155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</row>
    <row r="256" spans="4:29" ht="14.25" customHeight="1">
      <c r="D256" s="61"/>
      <c r="E256" s="62"/>
      <c r="F256" s="63"/>
      <c r="G256" s="64"/>
      <c r="P256" s="155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</row>
    <row r="257" spans="4:29" ht="14.25" customHeight="1">
      <c r="D257" s="61"/>
      <c r="E257" s="62"/>
      <c r="F257" s="63"/>
      <c r="G257" s="64"/>
      <c r="P257" s="155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</row>
    <row r="258" spans="4:29" ht="14.25" customHeight="1">
      <c r="D258" s="61"/>
      <c r="E258" s="62"/>
      <c r="F258" s="63"/>
      <c r="G258" s="64"/>
      <c r="P258" s="155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</row>
    <row r="259" spans="4:29" ht="14.25" customHeight="1">
      <c r="D259" s="61"/>
      <c r="E259" s="62"/>
      <c r="F259" s="63"/>
      <c r="G259" s="64"/>
      <c r="P259" s="155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</row>
    <row r="260" spans="4:29" ht="14.25" customHeight="1">
      <c r="D260" s="61"/>
      <c r="E260" s="62"/>
      <c r="F260" s="63"/>
      <c r="G260" s="64"/>
      <c r="P260" s="155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</row>
    <row r="261" spans="4:29" ht="14.25" customHeight="1">
      <c r="D261" s="61"/>
      <c r="E261" s="62"/>
      <c r="F261" s="63"/>
      <c r="G261" s="64"/>
      <c r="P261" s="155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</row>
    <row r="262" spans="4:29" ht="14.25" customHeight="1">
      <c r="D262" s="61"/>
      <c r="E262" s="62"/>
      <c r="F262" s="63"/>
      <c r="G262" s="64"/>
      <c r="P262" s="155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</row>
    <row r="263" spans="4:29" ht="14.25" customHeight="1">
      <c r="D263" s="61"/>
      <c r="E263" s="62"/>
      <c r="F263" s="63"/>
      <c r="G263" s="64"/>
      <c r="P263" s="155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</row>
    <row r="264" spans="4:29" ht="14.25" customHeight="1">
      <c r="D264" s="61"/>
      <c r="E264" s="62"/>
      <c r="F264" s="63"/>
      <c r="G264" s="64"/>
      <c r="P264" s="155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</row>
    <row r="265" spans="4:29" ht="14.25" customHeight="1">
      <c r="D265" s="61"/>
      <c r="E265" s="62"/>
      <c r="F265" s="63"/>
      <c r="G265" s="64"/>
      <c r="P265" s="155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</row>
    <row r="266" spans="4:29" ht="14.25" customHeight="1">
      <c r="D266" s="61"/>
      <c r="E266" s="62"/>
      <c r="F266" s="63"/>
      <c r="G266" s="64"/>
      <c r="P266" s="155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</row>
    <row r="267" spans="4:29" ht="14.25" customHeight="1">
      <c r="D267" s="61"/>
      <c r="E267" s="62"/>
      <c r="F267" s="63"/>
      <c r="G267" s="64"/>
      <c r="P267" s="155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</row>
    <row r="268" spans="4:29" ht="14.25" customHeight="1">
      <c r="D268" s="61"/>
      <c r="E268" s="62"/>
      <c r="F268" s="63"/>
      <c r="G268" s="64"/>
      <c r="P268" s="155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</row>
    <row r="269" spans="4:29" ht="14.25" customHeight="1">
      <c r="D269" s="61"/>
      <c r="E269" s="62"/>
      <c r="F269" s="63"/>
      <c r="G269" s="64"/>
      <c r="P269" s="155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</row>
    <row r="270" spans="4:29" ht="14.25" customHeight="1">
      <c r="D270" s="61"/>
      <c r="E270" s="62"/>
      <c r="F270" s="63"/>
      <c r="G270" s="64"/>
      <c r="P270" s="155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</row>
    <row r="271" spans="4:29" ht="14.25" customHeight="1">
      <c r="D271" s="61"/>
      <c r="E271" s="62"/>
      <c r="F271" s="63"/>
      <c r="G271" s="64"/>
      <c r="P271" s="155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</row>
    <row r="272" spans="4:29" ht="14.25" customHeight="1">
      <c r="D272" s="61"/>
      <c r="E272" s="62"/>
      <c r="F272" s="63"/>
      <c r="G272" s="64"/>
      <c r="P272" s="155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</row>
    <row r="273" spans="4:29" ht="14.25" customHeight="1">
      <c r="D273" s="61"/>
      <c r="E273" s="62"/>
      <c r="F273" s="63"/>
      <c r="G273" s="64"/>
      <c r="P273" s="155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</row>
    <row r="274" spans="4:29" ht="14.25" customHeight="1">
      <c r="D274" s="61"/>
      <c r="E274" s="62"/>
      <c r="F274" s="63"/>
      <c r="G274" s="64"/>
      <c r="P274" s="155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</row>
    <row r="275" spans="4:29" ht="14.25" customHeight="1">
      <c r="D275" s="61"/>
      <c r="E275" s="62"/>
      <c r="F275" s="63"/>
      <c r="G275" s="64"/>
      <c r="P275" s="155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</row>
    <row r="276" spans="4:29" ht="14.25" customHeight="1">
      <c r="D276" s="61"/>
      <c r="E276" s="62"/>
      <c r="F276" s="63"/>
      <c r="G276" s="64"/>
      <c r="P276" s="155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</row>
    <row r="277" spans="4:29" ht="14.25" customHeight="1">
      <c r="D277" s="61"/>
      <c r="E277" s="62"/>
      <c r="F277" s="63"/>
      <c r="G277" s="64"/>
      <c r="P277" s="155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</row>
    <row r="278" spans="4:29" ht="14.25" customHeight="1">
      <c r="D278" s="61"/>
      <c r="E278" s="62"/>
      <c r="F278" s="63"/>
      <c r="G278" s="64"/>
      <c r="P278" s="155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</row>
    <row r="279" spans="4:29" ht="14.25" customHeight="1">
      <c r="D279" s="61"/>
      <c r="E279" s="62"/>
      <c r="F279" s="63"/>
      <c r="G279" s="64"/>
      <c r="P279" s="155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</row>
    <row r="280" spans="4:29" ht="14.25" customHeight="1">
      <c r="D280" s="61"/>
      <c r="E280" s="62"/>
      <c r="F280" s="63"/>
      <c r="G280" s="64"/>
      <c r="P280" s="155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</row>
    <row r="281" spans="4:29" ht="14.25" customHeight="1">
      <c r="D281" s="61"/>
      <c r="E281" s="62"/>
      <c r="F281" s="63"/>
      <c r="G281" s="64"/>
      <c r="P281" s="155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</row>
    <row r="282" spans="4:29" ht="14.25" customHeight="1">
      <c r="D282" s="61"/>
      <c r="E282" s="62"/>
      <c r="F282" s="63"/>
      <c r="G282" s="64"/>
      <c r="P282" s="155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</row>
    <row r="283" spans="4:29" ht="14.25" customHeight="1">
      <c r="D283" s="61"/>
      <c r="E283" s="62"/>
      <c r="F283" s="63"/>
      <c r="G283" s="64"/>
      <c r="P283" s="155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</row>
    <row r="284" spans="4:29" ht="14.25" customHeight="1">
      <c r="D284" s="61"/>
      <c r="E284" s="62"/>
      <c r="F284" s="63"/>
      <c r="G284" s="64"/>
      <c r="P284" s="155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</row>
    <row r="285" spans="4:29" ht="14.25" customHeight="1">
      <c r="D285" s="61"/>
      <c r="E285" s="62"/>
      <c r="F285" s="63"/>
      <c r="G285" s="64"/>
      <c r="P285" s="155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</row>
    <row r="286" spans="4:29" ht="14.25" customHeight="1">
      <c r="D286" s="61"/>
      <c r="E286" s="62"/>
      <c r="F286" s="63"/>
      <c r="G286" s="64"/>
      <c r="P286" s="155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</row>
    <row r="287" spans="4:29" ht="14.25" customHeight="1">
      <c r="D287" s="61"/>
      <c r="E287" s="62"/>
      <c r="F287" s="63"/>
      <c r="G287" s="64"/>
      <c r="P287" s="155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</row>
    <row r="288" spans="4:29" ht="14.25" customHeight="1">
      <c r="D288" s="61"/>
      <c r="E288" s="62"/>
      <c r="F288" s="63"/>
      <c r="G288" s="64"/>
      <c r="P288" s="155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</row>
    <row r="289" spans="4:29" ht="14.25" customHeight="1">
      <c r="D289" s="61"/>
      <c r="E289" s="62"/>
      <c r="F289" s="63"/>
      <c r="G289" s="64"/>
      <c r="P289" s="155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</row>
    <row r="290" spans="4:29" ht="14.25" customHeight="1">
      <c r="D290" s="61"/>
      <c r="E290" s="62"/>
      <c r="F290" s="63"/>
      <c r="G290" s="64"/>
      <c r="P290" s="155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</row>
    <row r="291" spans="4:29" ht="14.25" customHeight="1">
      <c r="D291" s="61"/>
      <c r="E291" s="62"/>
      <c r="F291" s="63"/>
      <c r="G291" s="64"/>
      <c r="P291" s="155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</row>
    <row r="292" spans="4:29" ht="14.25" customHeight="1">
      <c r="D292" s="61"/>
      <c r="E292" s="62"/>
      <c r="F292" s="63"/>
      <c r="G292" s="64"/>
      <c r="P292" s="155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</row>
    <row r="293" spans="4:29" ht="14.25" customHeight="1">
      <c r="D293" s="61"/>
      <c r="E293" s="62"/>
      <c r="F293" s="63"/>
      <c r="G293" s="64"/>
      <c r="P293" s="155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</row>
    <row r="294" spans="4:29" ht="14.25" customHeight="1">
      <c r="D294" s="61"/>
      <c r="E294" s="62"/>
      <c r="F294" s="63"/>
      <c r="G294" s="64"/>
      <c r="P294" s="155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</row>
    <row r="295" spans="4:29" ht="14.25" customHeight="1">
      <c r="D295" s="61"/>
      <c r="E295" s="62"/>
      <c r="F295" s="63"/>
      <c r="G295" s="64"/>
      <c r="P295" s="155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</row>
    <row r="296" spans="4:29" ht="14.25" customHeight="1">
      <c r="D296" s="61"/>
      <c r="E296" s="62"/>
      <c r="F296" s="63"/>
      <c r="G296" s="64"/>
      <c r="P296" s="155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</row>
    <row r="297" spans="4:29" ht="14.25" customHeight="1">
      <c r="D297" s="61"/>
      <c r="E297" s="62"/>
      <c r="F297" s="63"/>
      <c r="G297" s="64"/>
      <c r="P297" s="155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</row>
    <row r="298" spans="4:29" ht="14.25" customHeight="1">
      <c r="D298" s="61"/>
      <c r="E298" s="62"/>
      <c r="F298" s="63"/>
      <c r="G298" s="64"/>
      <c r="P298" s="155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</row>
    <row r="299" spans="4:29" ht="14.25" customHeight="1">
      <c r="D299" s="61"/>
      <c r="E299" s="62"/>
      <c r="F299" s="63"/>
      <c r="G299" s="64"/>
      <c r="P299" s="155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</row>
    <row r="300" spans="4:29" ht="14.25" customHeight="1">
      <c r="D300" s="61"/>
      <c r="E300" s="62"/>
      <c r="F300" s="63"/>
      <c r="G300" s="64"/>
      <c r="P300" s="155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</row>
    <row r="301" spans="4:29" ht="14.25" customHeight="1">
      <c r="D301" s="61"/>
      <c r="E301" s="62"/>
      <c r="F301" s="63"/>
      <c r="G301" s="64"/>
      <c r="P301" s="155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</row>
    <row r="302" spans="4:29" ht="14.25" customHeight="1">
      <c r="D302" s="61"/>
      <c r="E302" s="62"/>
      <c r="F302" s="63"/>
      <c r="G302" s="64"/>
      <c r="P302" s="155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</row>
    <row r="303" spans="4:29" ht="14.25" customHeight="1">
      <c r="D303" s="61"/>
      <c r="E303" s="62"/>
      <c r="F303" s="63"/>
      <c r="G303" s="64"/>
      <c r="P303" s="155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</row>
    <row r="304" spans="4:29" ht="14.25" customHeight="1">
      <c r="D304" s="61"/>
      <c r="E304" s="62"/>
      <c r="F304" s="63"/>
      <c r="G304" s="64"/>
      <c r="P304" s="155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</row>
    <row r="305" spans="4:29" ht="14.25" customHeight="1">
      <c r="D305" s="61"/>
      <c r="E305" s="62"/>
      <c r="F305" s="63"/>
      <c r="G305" s="64"/>
      <c r="P305" s="155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</row>
    <row r="306" spans="4:29" ht="14.25" customHeight="1">
      <c r="D306" s="61"/>
      <c r="E306" s="62"/>
      <c r="F306" s="63"/>
      <c r="G306" s="64"/>
      <c r="P306" s="155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</row>
    <row r="307" spans="4:29" ht="14.25" customHeight="1">
      <c r="D307" s="61"/>
      <c r="E307" s="62"/>
      <c r="F307" s="63"/>
      <c r="G307" s="64"/>
      <c r="P307" s="155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</row>
    <row r="308" spans="4:29" ht="14.25" customHeight="1">
      <c r="D308" s="61"/>
      <c r="E308" s="62"/>
      <c r="F308" s="63"/>
      <c r="G308" s="64"/>
      <c r="P308" s="155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</row>
    <row r="309" spans="4:29" ht="14.25" customHeight="1">
      <c r="D309" s="61"/>
      <c r="E309" s="62"/>
      <c r="F309" s="63"/>
      <c r="G309" s="64"/>
      <c r="P309" s="155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</row>
    <row r="310" spans="4:29" ht="14.25" customHeight="1">
      <c r="D310" s="61"/>
      <c r="E310" s="62"/>
      <c r="F310" s="63"/>
      <c r="G310" s="64"/>
      <c r="P310" s="155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</row>
    <row r="311" spans="4:29" ht="14.25" customHeight="1">
      <c r="D311" s="61"/>
      <c r="E311" s="62"/>
      <c r="F311" s="63"/>
      <c r="G311" s="64"/>
      <c r="P311" s="155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</row>
    <row r="312" spans="4:29" ht="14.25" customHeight="1">
      <c r="D312" s="61"/>
      <c r="E312" s="62"/>
      <c r="F312" s="63"/>
      <c r="G312" s="64"/>
      <c r="P312" s="155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</row>
    <row r="313" spans="4:29" ht="14.25" customHeight="1">
      <c r="D313" s="61"/>
      <c r="E313" s="62"/>
      <c r="F313" s="63"/>
      <c r="G313" s="64"/>
      <c r="P313" s="155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</row>
    <row r="314" spans="4:29" ht="14.25" customHeight="1">
      <c r="D314" s="61"/>
      <c r="E314" s="62"/>
      <c r="F314" s="63"/>
      <c r="G314" s="64"/>
      <c r="P314" s="155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</row>
    <row r="315" spans="4:29" ht="14.25" customHeight="1">
      <c r="D315" s="61"/>
      <c r="E315" s="62"/>
      <c r="F315" s="63"/>
      <c r="G315" s="64"/>
      <c r="P315" s="155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</row>
    <row r="316" spans="4:29" ht="14.25" customHeight="1">
      <c r="D316" s="61"/>
      <c r="E316" s="62"/>
      <c r="F316" s="63"/>
      <c r="G316" s="64"/>
      <c r="P316" s="155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</row>
    <row r="317" spans="4:29" ht="14.25" customHeight="1">
      <c r="D317" s="61"/>
      <c r="E317" s="62"/>
      <c r="F317" s="63"/>
      <c r="G317" s="64"/>
      <c r="P317" s="155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</row>
    <row r="318" spans="4:29" ht="14.25" customHeight="1">
      <c r="D318" s="61"/>
      <c r="E318" s="62"/>
      <c r="F318" s="63"/>
      <c r="G318" s="64"/>
      <c r="P318" s="155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</row>
    <row r="319" spans="4:29" ht="14.25" customHeight="1">
      <c r="D319" s="61"/>
      <c r="E319" s="62"/>
      <c r="F319" s="63"/>
      <c r="G319" s="64"/>
      <c r="P319" s="155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</row>
    <row r="320" spans="4:29" ht="14.25" customHeight="1">
      <c r="D320" s="61"/>
      <c r="E320" s="62"/>
      <c r="F320" s="63"/>
      <c r="G320" s="64"/>
      <c r="P320" s="155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</row>
    <row r="321" spans="4:29" ht="14.25" customHeight="1">
      <c r="D321" s="61"/>
      <c r="E321" s="62"/>
      <c r="F321" s="63"/>
      <c r="G321" s="64"/>
      <c r="P321" s="155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</row>
    <row r="322" spans="4:29" ht="14.25" customHeight="1">
      <c r="D322" s="61"/>
      <c r="E322" s="62"/>
      <c r="F322" s="63"/>
      <c r="G322" s="64"/>
      <c r="P322" s="155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</row>
    <row r="323" spans="4:29" ht="14.25" customHeight="1">
      <c r="D323" s="61"/>
      <c r="E323" s="62"/>
      <c r="F323" s="63"/>
      <c r="G323" s="64"/>
      <c r="P323" s="155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</row>
    <row r="324" spans="4:29" ht="14.25" customHeight="1">
      <c r="D324" s="61"/>
      <c r="E324" s="62"/>
      <c r="F324" s="63"/>
      <c r="G324" s="64"/>
      <c r="P324" s="155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</row>
    <row r="325" spans="4:29" ht="14.25" customHeight="1">
      <c r="D325" s="61"/>
      <c r="E325" s="62"/>
      <c r="F325" s="63"/>
      <c r="G325" s="64"/>
      <c r="P325" s="155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</row>
    <row r="326" spans="4:29" ht="14.25" customHeight="1">
      <c r="D326" s="61"/>
      <c r="E326" s="62"/>
      <c r="F326" s="63"/>
      <c r="G326" s="64"/>
      <c r="P326" s="155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</row>
    <row r="327" spans="4:29" ht="14.25" customHeight="1">
      <c r="D327" s="61"/>
      <c r="E327" s="62"/>
      <c r="F327" s="63"/>
      <c r="G327" s="64"/>
      <c r="P327" s="155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</row>
    <row r="328" spans="4:29" ht="14.25" customHeight="1">
      <c r="D328" s="61"/>
      <c r="E328" s="62"/>
      <c r="F328" s="63"/>
      <c r="G328" s="64"/>
      <c r="P328" s="155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</row>
    <row r="329" spans="4:29" ht="14.25" customHeight="1">
      <c r="D329" s="61"/>
      <c r="E329" s="62"/>
      <c r="F329" s="63"/>
      <c r="G329" s="64"/>
      <c r="P329" s="155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</row>
    <row r="330" spans="4:29" ht="14.25" customHeight="1">
      <c r="D330" s="61"/>
      <c r="E330" s="62"/>
      <c r="F330" s="63"/>
      <c r="G330" s="64"/>
      <c r="P330" s="155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</row>
    <row r="331" spans="4:29" ht="14.25" customHeight="1">
      <c r="D331" s="61"/>
      <c r="E331" s="62"/>
      <c r="F331" s="63"/>
      <c r="G331" s="64"/>
      <c r="P331" s="155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</row>
    <row r="332" spans="4:29" ht="14.25" customHeight="1">
      <c r="D332" s="61"/>
      <c r="E332" s="62"/>
      <c r="F332" s="63"/>
      <c r="G332" s="64"/>
      <c r="P332" s="155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</row>
    <row r="333" spans="4:29" ht="14.25" customHeight="1">
      <c r="D333" s="61"/>
      <c r="E333" s="62"/>
      <c r="F333" s="63"/>
      <c r="G333" s="64"/>
      <c r="P333" s="155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</row>
    <row r="334" spans="4:29" ht="14.25" customHeight="1">
      <c r="D334" s="61"/>
      <c r="E334" s="62"/>
      <c r="F334" s="63"/>
      <c r="G334" s="64"/>
      <c r="P334" s="155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</row>
    <row r="335" spans="4:29" ht="14.25" customHeight="1">
      <c r="D335" s="61"/>
      <c r="E335" s="62"/>
      <c r="F335" s="63"/>
      <c r="G335" s="64"/>
      <c r="P335" s="155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</row>
    <row r="336" spans="4:29" ht="14.25" customHeight="1">
      <c r="D336" s="61"/>
      <c r="E336" s="62"/>
      <c r="F336" s="63"/>
      <c r="G336" s="64"/>
      <c r="P336" s="155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</row>
    <row r="337" spans="4:29" ht="14.25" customHeight="1">
      <c r="D337" s="61"/>
      <c r="E337" s="62"/>
      <c r="F337" s="63"/>
      <c r="G337" s="64"/>
      <c r="P337" s="155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</row>
    <row r="338" spans="4:29" ht="14.25" customHeight="1">
      <c r="D338" s="61"/>
      <c r="E338" s="62"/>
      <c r="F338" s="63"/>
      <c r="G338" s="64"/>
      <c r="P338" s="155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</row>
    <row r="339" spans="4:29" ht="14.25" customHeight="1">
      <c r="D339" s="61"/>
      <c r="E339" s="62"/>
      <c r="F339" s="63"/>
      <c r="G339" s="64"/>
      <c r="P339" s="155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</row>
    <row r="340" spans="4:29" ht="14.25" customHeight="1">
      <c r="D340" s="61"/>
      <c r="E340" s="62"/>
      <c r="F340" s="63"/>
      <c r="G340" s="64"/>
      <c r="P340" s="155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</row>
    <row r="341" spans="4:29" ht="14.25" customHeight="1">
      <c r="D341" s="61"/>
      <c r="E341" s="62"/>
      <c r="F341" s="63"/>
      <c r="G341" s="64"/>
      <c r="P341" s="155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</row>
    <row r="342" spans="4:29" ht="14.25" customHeight="1">
      <c r="D342" s="61"/>
      <c r="E342" s="62"/>
      <c r="F342" s="63"/>
      <c r="G342" s="64"/>
      <c r="P342" s="155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</row>
    <row r="343" spans="4:29" ht="14.25" customHeight="1">
      <c r="D343" s="61"/>
      <c r="E343" s="62"/>
      <c r="F343" s="63"/>
      <c r="G343" s="64"/>
      <c r="P343" s="155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</row>
    <row r="344" spans="4:29" ht="14.25" customHeight="1">
      <c r="D344" s="61"/>
      <c r="E344" s="62"/>
      <c r="F344" s="63"/>
      <c r="G344" s="64"/>
      <c r="P344" s="155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</row>
    <row r="345" spans="4:29" ht="14.25" customHeight="1">
      <c r="D345" s="61"/>
      <c r="E345" s="62"/>
      <c r="F345" s="63"/>
      <c r="G345" s="64"/>
      <c r="P345" s="155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</row>
    <row r="346" spans="4:29" ht="14.25" customHeight="1">
      <c r="D346" s="61"/>
      <c r="E346" s="62"/>
      <c r="F346" s="63"/>
      <c r="G346" s="64"/>
      <c r="P346" s="155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</row>
    <row r="347" spans="4:29" ht="14.25" customHeight="1">
      <c r="D347" s="61"/>
      <c r="E347" s="62"/>
      <c r="F347" s="63"/>
      <c r="G347" s="64"/>
      <c r="P347" s="155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</row>
    <row r="348" spans="4:29" ht="14.25" customHeight="1">
      <c r="D348" s="61"/>
      <c r="E348" s="62"/>
      <c r="F348" s="63"/>
      <c r="G348" s="64"/>
      <c r="P348" s="155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</row>
    <row r="349" spans="4:29" ht="14.25" customHeight="1">
      <c r="D349" s="61"/>
      <c r="E349" s="62"/>
      <c r="F349" s="63"/>
      <c r="G349" s="64"/>
      <c r="P349" s="155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</row>
    <row r="350" spans="4:29" ht="14.25" customHeight="1">
      <c r="D350" s="61"/>
      <c r="E350" s="62"/>
      <c r="F350" s="63"/>
      <c r="G350" s="64"/>
      <c r="P350" s="155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</row>
    <row r="351" spans="4:29" ht="14.25" customHeight="1">
      <c r="D351" s="61"/>
      <c r="E351" s="62"/>
      <c r="F351" s="63"/>
      <c r="G351" s="64"/>
      <c r="P351" s="155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</row>
    <row r="352" spans="4:29" ht="14.25" customHeight="1">
      <c r="D352" s="61"/>
      <c r="E352" s="62"/>
      <c r="F352" s="63"/>
      <c r="G352" s="64"/>
      <c r="P352" s="155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</row>
    <row r="353" spans="4:29" ht="14.25" customHeight="1">
      <c r="D353" s="61"/>
      <c r="E353" s="62"/>
      <c r="F353" s="63"/>
      <c r="G353" s="64"/>
      <c r="P353" s="155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</row>
    <row r="354" spans="4:29" ht="14.25" customHeight="1">
      <c r="D354" s="61"/>
      <c r="E354" s="62"/>
      <c r="F354" s="63"/>
      <c r="G354" s="64"/>
      <c r="P354" s="155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</row>
    <row r="355" spans="4:29" ht="14.25" customHeight="1">
      <c r="D355" s="61"/>
      <c r="E355" s="62"/>
      <c r="F355" s="63"/>
      <c r="G355" s="64"/>
      <c r="P355" s="155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</row>
    <row r="356" spans="4:29" ht="14.25" customHeight="1">
      <c r="D356" s="61"/>
      <c r="E356" s="62"/>
      <c r="F356" s="63"/>
      <c r="G356" s="64"/>
      <c r="P356" s="155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</row>
    <row r="357" spans="4:29" ht="14.25" customHeight="1">
      <c r="D357" s="61"/>
      <c r="E357" s="62"/>
      <c r="F357" s="63"/>
      <c r="G357" s="64"/>
      <c r="P357" s="155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</row>
    <row r="358" spans="4:29" ht="14.25" customHeight="1">
      <c r="D358" s="61"/>
      <c r="E358" s="62"/>
      <c r="F358" s="63"/>
      <c r="G358" s="64"/>
      <c r="P358" s="155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</row>
    <row r="359" spans="4:29" ht="14.25" customHeight="1">
      <c r="D359" s="61"/>
      <c r="E359" s="62"/>
      <c r="F359" s="63"/>
      <c r="G359" s="64"/>
      <c r="P359" s="155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</row>
    <row r="360" spans="4:29" ht="14.25" customHeight="1">
      <c r="D360" s="61"/>
      <c r="E360" s="62"/>
      <c r="F360" s="63"/>
      <c r="G360" s="64"/>
      <c r="P360" s="155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</row>
    <row r="361" spans="4:29" ht="14.25" customHeight="1">
      <c r="D361" s="61"/>
      <c r="E361" s="62"/>
      <c r="F361" s="63"/>
      <c r="G361" s="64"/>
      <c r="P361" s="155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</row>
    <row r="362" spans="4:29" ht="14.25" customHeight="1">
      <c r="D362" s="61"/>
      <c r="E362" s="62"/>
      <c r="F362" s="63"/>
      <c r="G362" s="64"/>
      <c r="P362" s="155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</row>
    <row r="363" spans="4:29" ht="14.25" customHeight="1">
      <c r="D363" s="61"/>
      <c r="E363" s="62"/>
      <c r="F363" s="63"/>
      <c r="G363" s="64"/>
      <c r="P363" s="155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</row>
    <row r="364" spans="4:29" ht="14.25" customHeight="1">
      <c r="D364" s="61"/>
      <c r="E364" s="62"/>
      <c r="F364" s="63"/>
      <c r="G364" s="64"/>
      <c r="P364" s="155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</row>
    <row r="365" spans="4:29" ht="14.25" customHeight="1">
      <c r="D365" s="61"/>
      <c r="E365" s="62"/>
      <c r="F365" s="63"/>
      <c r="G365" s="64"/>
      <c r="P365" s="155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</row>
    <row r="366" spans="4:29" ht="14.25" customHeight="1">
      <c r="D366" s="61"/>
      <c r="E366" s="62"/>
      <c r="F366" s="63"/>
      <c r="G366" s="64"/>
      <c r="P366" s="155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</row>
    <row r="367" spans="4:29" ht="14.25" customHeight="1">
      <c r="D367" s="61"/>
      <c r="E367" s="62"/>
      <c r="F367" s="63"/>
      <c r="G367" s="64"/>
      <c r="P367" s="155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</row>
    <row r="368" spans="4:29" ht="14.25" customHeight="1">
      <c r="D368" s="61"/>
      <c r="E368" s="62"/>
      <c r="F368" s="63"/>
      <c r="G368" s="64"/>
      <c r="P368" s="155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</row>
    <row r="369" spans="4:29" ht="14.25" customHeight="1">
      <c r="D369" s="61"/>
      <c r="E369" s="62"/>
      <c r="F369" s="63"/>
      <c r="G369" s="64"/>
      <c r="P369" s="155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</row>
    <row r="370" spans="4:29" ht="14.25" customHeight="1">
      <c r="D370" s="61"/>
      <c r="E370" s="62"/>
      <c r="F370" s="63"/>
      <c r="G370" s="64"/>
      <c r="P370" s="155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</row>
    <row r="371" spans="4:29" ht="14.25" customHeight="1">
      <c r="D371" s="61"/>
      <c r="E371" s="62"/>
      <c r="F371" s="63"/>
      <c r="G371" s="64"/>
      <c r="P371" s="155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</row>
    <row r="372" spans="4:29" ht="14.25" customHeight="1">
      <c r="D372" s="61"/>
      <c r="E372" s="62"/>
      <c r="F372" s="63"/>
      <c r="G372" s="64"/>
      <c r="P372" s="155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</row>
    <row r="373" spans="4:29" ht="14.25" customHeight="1">
      <c r="D373" s="61"/>
      <c r="E373" s="62"/>
      <c r="F373" s="63"/>
      <c r="G373" s="64"/>
      <c r="P373" s="155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</row>
    <row r="374" spans="4:29" ht="14.25" customHeight="1">
      <c r="D374" s="61"/>
      <c r="E374" s="62"/>
      <c r="F374" s="63"/>
      <c r="G374" s="64"/>
      <c r="P374" s="155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</row>
    <row r="375" spans="4:29" ht="14.25" customHeight="1">
      <c r="D375" s="61"/>
      <c r="E375" s="62"/>
      <c r="F375" s="63"/>
      <c r="G375" s="64"/>
      <c r="P375" s="155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</row>
    <row r="376" spans="4:29" ht="14.25" customHeight="1">
      <c r="D376" s="61"/>
      <c r="E376" s="62"/>
      <c r="F376" s="63"/>
      <c r="G376" s="64"/>
      <c r="P376" s="155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</row>
    <row r="377" spans="4:29" ht="14.25" customHeight="1">
      <c r="D377" s="61"/>
      <c r="E377" s="62"/>
      <c r="F377" s="63"/>
      <c r="G377" s="64"/>
      <c r="P377" s="155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</row>
    <row r="378" spans="4:29" ht="14.25" customHeight="1">
      <c r="D378" s="61"/>
      <c r="E378" s="62"/>
      <c r="F378" s="63"/>
      <c r="G378" s="64"/>
      <c r="P378" s="155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</row>
    <row r="379" spans="4:29" ht="14.25" customHeight="1">
      <c r="D379" s="61"/>
      <c r="E379" s="62"/>
      <c r="F379" s="63"/>
      <c r="G379" s="64"/>
      <c r="P379" s="155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</row>
    <row r="380" spans="4:29" ht="14.25" customHeight="1">
      <c r="D380" s="61"/>
      <c r="E380" s="62"/>
      <c r="F380" s="63"/>
      <c r="G380" s="64"/>
      <c r="P380" s="155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</row>
    <row r="381" spans="4:29" ht="14.25" customHeight="1">
      <c r="D381" s="61"/>
      <c r="E381" s="62"/>
      <c r="F381" s="63"/>
      <c r="G381" s="64"/>
      <c r="P381" s="155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</row>
    <row r="382" spans="4:29" ht="14.25" customHeight="1">
      <c r="D382" s="61"/>
      <c r="E382" s="62"/>
      <c r="F382" s="63"/>
      <c r="G382" s="64"/>
      <c r="P382" s="155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</row>
    <row r="383" spans="4:29" ht="14.25" customHeight="1">
      <c r="D383" s="61"/>
      <c r="E383" s="62"/>
      <c r="F383" s="63"/>
      <c r="G383" s="64"/>
      <c r="P383" s="155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</row>
    <row r="384" spans="4:29" ht="14.25" customHeight="1">
      <c r="D384" s="61"/>
      <c r="E384" s="62"/>
      <c r="F384" s="63"/>
      <c r="G384" s="64"/>
      <c r="P384" s="155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</row>
    <row r="385" spans="4:29" ht="14.25" customHeight="1">
      <c r="D385" s="61"/>
      <c r="E385" s="62"/>
      <c r="F385" s="63"/>
      <c r="G385" s="64"/>
      <c r="P385" s="155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</row>
    <row r="386" spans="4:29" ht="14.25" customHeight="1">
      <c r="D386" s="61"/>
      <c r="E386" s="62"/>
      <c r="F386" s="63"/>
      <c r="G386" s="64"/>
      <c r="P386" s="155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</row>
    <row r="387" spans="4:29" ht="14.25" customHeight="1">
      <c r="D387" s="61"/>
      <c r="E387" s="62"/>
      <c r="F387" s="63"/>
      <c r="G387" s="64"/>
      <c r="P387" s="155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</row>
    <row r="388" spans="4:29" ht="14.25" customHeight="1">
      <c r="D388" s="61"/>
      <c r="E388" s="62"/>
      <c r="F388" s="63"/>
      <c r="G388" s="64"/>
      <c r="P388" s="155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</row>
    <row r="389" spans="4:29" ht="14.25" customHeight="1">
      <c r="D389" s="61"/>
      <c r="E389" s="62"/>
      <c r="F389" s="63"/>
      <c r="G389" s="64"/>
      <c r="P389" s="155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</row>
    <row r="390" spans="4:29" ht="14.25" customHeight="1">
      <c r="D390" s="61"/>
      <c r="E390" s="62"/>
      <c r="F390" s="63"/>
      <c r="G390" s="64"/>
      <c r="P390" s="155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</row>
    <row r="391" spans="4:29" ht="14.25" customHeight="1">
      <c r="D391" s="61"/>
      <c r="E391" s="62"/>
      <c r="F391" s="63"/>
      <c r="G391" s="64"/>
      <c r="P391" s="155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</row>
    <row r="392" spans="4:29" ht="14.25" customHeight="1">
      <c r="D392" s="61"/>
      <c r="E392" s="62"/>
      <c r="F392" s="63"/>
      <c r="G392" s="64"/>
      <c r="P392" s="155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</row>
    <row r="393" spans="4:29" ht="14.25" customHeight="1">
      <c r="D393" s="61"/>
      <c r="E393" s="62"/>
      <c r="F393" s="63"/>
      <c r="G393" s="64"/>
      <c r="P393" s="155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</row>
    <row r="394" spans="4:29" ht="14.25" customHeight="1">
      <c r="D394" s="61"/>
      <c r="E394" s="62"/>
      <c r="F394" s="63"/>
      <c r="G394" s="64"/>
      <c r="P394" s="155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</row>
    <row r="395" spans="4:29" ht="14.25" customHeight="1">
      <c r="D395" s="61"/>
      <c r="E395" s="62"/>
      <c r="F395" s="63"/>
      <c r="G395" s="64"/>
      <c r="P395" s="155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</row>
    <row r="396" spans="4:29" ht="14.25" customHeight="1">
      <c r="D396" s="61"/>
      <c r="E396" s="62"/>
      <c r="F396" s="63"/>
      <c r="G396" s="64"/>
      <c r="P396" s="155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</row>
    <row r="397" spans="4:29" ht="14.25" customHeight="1">
      <c r="D397" s="61"/>
      <c r="E397" s="62"/>
      <c r="F397" s="63"/>
      <c r="G397" s="64"/>
      <c r="P397" s="155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</row>
    <row r="398" spans="4:29" ht="14.25" customHeight="1">
      <c r="D398" s="61"/>
      <c r="E398" s="62"/>
      <c r="F398" s="63"/>
      <c r="G398" s="64"/>
      <c r="P398" s="155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</row>
    <row r="399" spans="4:29" ht="14.25" customHeight="1">
      <c r="D399" s="61"/>
      <c r="E399" s="62"/>
      <c r="F399" s="63"/>
      <c r="G399" s="64"/>
      <c r="P399" s="155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</row>
    <row r="400" spans="4:29" ht="14.25" customHeight="1">
      <c r="D400" s="61"/>
      <c r="E400" s="62"/>
      <c r="F400" s="63"/>
      <c r="G400" s="64"/>
      <c r="P400" s="155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</row>
    <row r="401" spans="4:29" ht="14.25" customHeight="1">
      <c r="D401" s="61"/>
      <c r="E401" s="62"/>
      <c r="F401" s="63"/>
      <c r="G401" s="64"/>
      <c r="P401" s="155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</row>
    <row r="402" spans="4:29" ht="14.25" customHeight="1">
      <c r="D402" s="61"/>
      <c r="E402" s="62"/>
      <c r="F402" s="63"/>
      <c r="G402" s="64"/>
      <c r="P402" s="155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</row>
    <row r="403" spans="4:29" ht="14.25" customHeight="1">
      <c r="D403" s="61"/>
      <c r="E403" s="62"/>
      <c r="F403" s="63"/>
      <c r="G403" s="64"/>
      <c r="P403" s="155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</row>
    <row r="404" spans="4:29" ht="14.25" customHeight="1">
      <c r="D404" s="61"/>
      <c r="E404" s="62"/>
      <c r="F404" s="63"/>
      <c r="G404" s="64"/>
      <c r="P404" s="155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</row>
    <row r="405" spans="4:29" ht="14.25" customHeight="1">
      <c r="D405" s="61"/>
      <c r="E405" s="62"/>
      <c r="F405" s="63"/>
      <c r="G405" s="64"/>
      <c r="P405" s="155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</row>
    <row r="406" spans="4:29" ht="14.25" customHeight="1">
      <c r="D406" s="61"/>
      <c r="E406" s="62"/>
      <c r="F406" s="63"/>
      <c r="G406" s="64"/>
      <c r="P406" s="155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</row>
    <row r="407" spans="4:29" ht="14.25" customHeight="1">
      <c r="D407" s="61"/>
      <c r="E407" s="62"/>
      <c r="F407" s="63"/>
      <c r="G407" s="64"/>
      <c r="P407" s="155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</row>
    <row r="408" spans="4:29" ht="14.25" customHeight="1">
      <c r="D408" s="61"/>
      <c r="E408" s="62"/>
      <c r="F408" s="63"/>
      <c r="G408" s="64"/>
      <c r="P408" s="155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</row>
    <row r="409" spans="4:29" ht="14.25" customHeight="1">
      <c r="D409" s="61"/>
      <c r="E409" s="62"/>
      <c r="F409" s="63"/>
      <c r="G409" s="64"/>
      <c r="P409" s="155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</row>
    <row r="410" spans="4:29" ht="14.25" customHeight="1">
      <c r="D410" s="61"/>
      <c r="E410" s="62"/>
      <c r="F410" s="63"/>
      <c r="G410" s="64"/>
      <c r="P410" s="155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</row>
    <row r="411" spans="4:29" ht="14.25" customHeight="1">
      <c r="D411" s="61"/>
      <c r="E411" s="62"/>
      <c r="F411" s="63"/>
      <c r="G411" s="64"/>
      <c r="P411" s="155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</row>
    <row r="412" spans="4:29" ht="14.25" customHeight="1">
      <c r="D412" s="61"/>
      <c r="E412" s="62"/>
      <c r="F412" s="63"/>
      <c r="G412" s="64"/>
      <c r="P412" s="155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</row>
    <row r="413" spans="4:29" ht="14.25" customHeight="1">
      <c r="D413" s="61"/>
      <c r="E413" s="62"/>
      <c r="F413" s="63"/>
      <c r="G413" s="64"/>
      <c r="P413" s="155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</row>
    <row r="414" spans="4:29" ht="14.25" customHeight="1">
      <c r="D414" s="61"/>
      <c r="E414" s="62"/>
      <c r="F414" s="63"/>
      <c r="G414" s="64"/>
      <c r="P414" s="155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</row>
    <row r="415" spans="4:29" ht="14.25" customHeight="1">
      <c r="D415" s="61"/>
      <c r="E415" s="62"/>
      <c r="F415" s="63"/>
      <c r="G415" s="64"/>
      <c r="P415" s="155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</row>
    <row r="416" spans="4:29" ht="14.25" customHeight="1">
      <c r="D416" s="61"/>
      <c r="E416" s="62"/>
      <c r="F416" s="63"/>
      <c r="G416" s="64"/>
      <c r="P416" s="155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</row>
    <row r="417" spans="4:29" ht="14.25" customHeight="1">
      <c r="D417" s="61"/>
      <c r="E417" s="62"/>
      <c r="F417" s="63"/>
      <c r="G417" s="64"/>
      <c r="P417" s="155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</row>
    <row r="418" spans="4:29" ht="14.25" customHeight="1">
      <c r="D418" s="61"/>
      <c r="E418" s="62"/>
      <c r="F418" s="63"/>
      <c r="G418" s="64"/>
      <c r="P418" s="155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</row>
    <row r="419" spans="4:29" ht="14.25" customHeight="1">
      <c r="D419" s="61"/>
      <c r="E419" s="62"/>
      <c r="F419" s="63"/>
      <c r="G419" s="64"/>
      <c r="P419" s="155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</row>
    <row r="420" spans="4:29" ht="14.25" customHeight="1">
      <c r="D420" s="61"/>
      <c r="E420" s="62"/>
      <c r="F420" s="63"/>
      <c r="G420" s="64"/>
      <c r="P420" s="155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</row>
    <row r="421" spans="4:29" ht="14.25" customHeight="1">
      <c r="D421" s="61"/>
      <c r="E421" s="62"/>
      <c r="F421" s="63"/>
      <c r="G421" s="64"/>
      <c r="P421" s="155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</row>
    <row r="422" spans="4:29" ht="14.25" customHeight="1">
      <c r="D422" s="61"/>
      <c r="E422" s="62"/>
      <c r="F422" s="63"/>
      <c r="G422" s="64"/>
      <c r="P422" s="155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</row>
    <row r="423" spans="4:29" ht="14.25" customHeight="1">
      <c r="D423" s="61"/>
      <c r="E423" s="62"/>
      <c r="F423" s="63"/>
      <c r="G423" s="64"/>
      <c r="P423" s="155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</row>
    <row r="424" spans="4:29" ht="14.25" customHeight="1">
      <c r="D424" s="61"/>
      <c r="E424" s="62"/>
      <c r="F424" s="63"/>
      <c r="G424" s="64"/>
      <c r="P424" s="155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</row>
    <row r="425" spans="4:29" ht="14.25" customHeight="1">
      <c r="D425" s="61"/>
      <c r="E425" s="62"/>
      <c r="F425" s="63"/>
      <c r="G425" s="64"/>
      <c r="P425" s="155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</row>
    <row r="426" spans="4:29" ht="14.25" customHeight="1">
      <c r="D426" s="61"/>
      <c r="E426" s="62"/>
      <c r="F426" s="63"/>
      <c r="G426" s="64"/>
      <c r="P426" s="155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</row>
    <row r="427" spans="4:29" ht="14.25" customHeight="1">
      <c r="D427" s="61"/>
      <c r="E427" s="62"/>
      <c r="F427" s="63"/>
      <c r="G427" s="64"/>
      <c r="P427" s="155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</row>
    <row r="428" spans="4:29" ht="14.25" customHeight="1">
      <c r="D428" s="61"/>
      <c r="E428" s="62"/>
      <c r="F428" s="63"/>
      <c r="G428" s="64"/>
      <c r="P428" s="155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</row>
    <row r="429" spans="4:29" ht="14.25" customHeight="1">
      <c r="D429" s="61"/>
      <c r="E429" s="62"/>
      <c r="F429" s="63"/>
      <c r="G429" s="64"/>
      <c r="P429" s="155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</row>
    <row r="430" spans="4:29" ht="14.25" customHeight="1">
      <c r="D430" s="61"/>
      <c r="E430" s="62"/>
      <c r="F430" s="63"/>
      <c r="G430" s="64"/>
      <c r="P430" s="155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</row>
    <row r="431" spans="4:29" ht="14.25" customHeight="1">
      <c r="D431" s="61"/>
      <c r="E431" s="62"/>
      <c r="F431" s="63"/>
      <c r="G431" s="64"/>
      <c r="P431" s="155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</row>
    <row r="432" spans="4:29" ht="14.25" customHeight="1">
      <c r="D432" s="61"/>
      <c r="E432" s="62"/>
      <c r="F432" s="63"/>
      <c r="G432" s="64"/>
      <c r="P432" s="155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</row>
    <row r="433" spans="4:29" ht="14.25" customHeight="1">
      <c r="D433" s="61"/>
      <c r="E433" s="62"/>
      <c r="F433" s="63"/>
      <c r="G433" s="64"/>
      <c r="P433" s="155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</row>
    <row r="434" spans="4:29" ht="14.25" customHeight="1">
      <c r="D434" s="61"/>
      <c r="E434" s="62"/>
      <c r="F434" s="63"/>
      <c r="G434" s="64"/>
      <c r="P434" s="155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</row>
    <row r="435" spans="4:29" ht="14.25" customHeight="1">
      <c r="D435" s="61"/>
      <c r="E435" s="62"/>
      <c r="F435" s="63"/>
      <c r="G435" s="64"/>
      <c r="P435" s="155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</row>
    <row r="436" spans="4:29" ht="14.25" customHeight="1">
      <c r="D436" s="61"/>
      <c r="E436" s="62"/>
      <c r="F436" s="63"/>
      <c r="G436" s="64"/>
      <c r="P436" s="155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</row>
    <row r="437" spans="4:29" ht="14.25" customHeight="1">
      <c r="D437" s="61"/>
      <c r="E437" s="62"/>
      <c r="F437" s="63"/>
      <c r="G437" s="64"/>
      <c r="P437" s="155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</row>
    <row r="438" spans="4:29" ht="14.25" customHeight="1">
      <c r="D438" s="61"/>
      <c r="E438" s="62"/>
      <c r="F438" s="63"/>
      <c r="G438" s="64"/>
      <c r="P438" s="155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</row>
    <row r="439" spans="4:29" ht="14.25" customHeight="1">
      <c r="D439" s="61"/>
      <c r="E439" s="62"/>
      <c r="F439" s="63"/>
      <c r="G439" s="64"/>
      <c r="P439" s="155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</row>
    <row r="440" spans="4:29" ht="14.25" customHeight="1">
      <c r="D440" s="61"/>
      <c r="E440" s="62"/>
      <c r="F440" s="63"/>
      <c r="G440" s="64"/>
      <c r="P440" s="155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</row>
    <row r="441" spans="4:29" ht="14.25" customHeight="1">
      <c r="D441" s="61"/>
      <c r="E441" s="62"/>
      <c r="F441" s="63"/>
      <c r="G441" s="64"/>
      <c r="P441" s="155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</row>
    <row r="442" spans="4:29" ht="14.25" customHeight="1">
      <c r="D442" s="61"/>
      <c r="E442" s="62"/>
      <c r="F442" s="63"/>
      <c r="G442" s="64"/>
      <c r="P442" s="155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</row>
    <row r="443" spans="4:29" ht="14.25" customHeight="1">
      <c r="D443" s="61"/>
      <c r="E443" s="62"/>
      <c r="F443" s="63"/>
      <c r="G443" s="64"/>
      <c r="P443" s="155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</row>
    <row r="444" spans="4:29" ht="14.25" customHeight="1">
      <c r="D444" s="61"/>
      <c r="E444" s="62"/>
      <c r="F444" s="63"/>
      <c r="G444" s="64"/>
      <c r="P444" s="155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</row>
    <row r="445" spans="4:29" ht="14.25" customHeight="1">
      <c r="D445" s="61"/>
      <c r="E445" s="62"/>
      <c r="F445" s="63"/>
      <c r="G445" s="64"/>
      <c r="P445" s="155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</row>
    <row r="446" spans="4:29" ht="14.25" customHeight="1">
      <c r="D446" s="61"/>
      <c r="E446" s="62"/>
      <c r="F446" s="63"/>
      <c r="G446" s="64"/>
      <c r="P446" s="155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</row>
    <row r="447" spans="4:29" ht="14.25" customHeight="1">
      <c r="D447" s="61"/>
      <c r="E447" s="62"/>
      <c r="F447" s="63"/>
      <c r="G447" s="64"/>
      <c r="P447" s="155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</row>
    <row r="448" spans="4:29" ht="14.25" customHeight="1">
      <c r="D448" s="61"/>
      <c r="E448" s="62"/>
      <c r="F448" s="63"/>
      <c r="G448" s="64"/>
      <c r="P448" s="155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</row>
    <row r="449" spans="4:29" ht="14.25" customHeight="1">
      <c r="D449" s="61"/>
      <c r="E449" s="62"/>
      <c r="F449" s="63"/>
      <c r="G449" s="64"/>
      <c r="P449" s="155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</row>
    <row r="450" spans="4:29" ht="14.25" customHeight="1">
      <c r="D450" s="61"/>
      <c r="E450" s="62"/>
      <c r="F450" s="63"/>
      <c r="G450" s="64"/>
      <c r="P450" s="155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</row>
    <row r="451" spans="4:29" ht="14.25" customHeight="1">
      <c r="D451" s="61"/>
      <c r="E451" s="62"/>
      <c r="F451" s="63"/>
      <c r="G451" s="64"/>
      <c r="P451" s="155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</row>
    <row r="452" spans="4:29" ht="14.25" customHeight="1">
      <c r="D452" s="61"/>
      <c r="E452" s="62"/>
      <c r="F452" s="63"/>
      <c r="G452" s="64"/>
      <c r="P452" s="155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</row>
    <row r="453" spans="4:29" ht="14.25" customHeight="1">
      <c r="D453" s="61"/>
      <c r="E453" s="62"/>
      <c r="F453" s="63"/>
      <c r="G453" s="64"/>
      <c r="P453" s="155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</row>
    <row r="454" spans="4:29" ht="14.25" customHeight="1">
      <c r="D454" s="61"/>
      <c r="E454" s="62"/>
      <c r="F454" s="63"/>
      <c r="G454" s="64"/>
      <c r="P454" s="155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</row>
    <row r="455" spans="4:29" ht="14.25" customHeight="1">
      <c r="D455" s="61"/>
      <c r="E455" s="62"/>
      <c r="F455" s="63"/>
      <c r="G455" s="64"/>
      <c r="P455" s="155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</row>
    <row r="456" spans="4:29" ht="14.25" customHeight="1">
      <c r="D456" s="61"/>
      <c r="E456" s="62"/>
      <c r="F456" s="63"/>
      <c r="G456" s="64"/>
      <c r="P456" s="155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</row>
    <row r="457" spans="4:29" ht="14.25" customHeight="1">
      <c r="D457" s="61"/>
      <c r="E457" s="62"/>
      <c r="F457" s="63"/>
      <c r="G457" s="64"/>
      <c r="P457" s="155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</row>
    <row r="458" spans="4:29" ht="14.25" customHeight="1">
      <c r="D458" s="61"/>
      <c r="E458" s="62"/>
      <c r="F458" s="63"/>
      <c r="G458" s="64"/>
      <c r="P458" s="155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</row>
    <row r="459" spans="4:29" ht="14.25" customHeight="1">
      <c r="D459" s="61"/>
      <c r="E459" s="62"/>
      <c r="F459" s="63"/>
      <c r="G459" s="64"/>
      <c r="P459" s="155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</row>
    <row r="460" spans="4:29" ht="14.25" customHeight="1">
      <c r="D460" s="61"/>
      <c r="E460" s="62"/>
      <c r="F460" s="63"/>
      <c r="G460" s="64"/>
      <c r="P460" s="155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</row>
    <row r="461" spans="4:29" ht="14.25" customHeight="1">
      <c r="D461" s="61"/>
      <c r="E461" s="62"/>
      <c r="F461" s="63"/>
      <c r="G461" s="64"/>
      <c r="P461" s="155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</row>
    <row r="462" spans="4:29" ht="14.25" customHeight="1">
      <c r="D462" s="61"/>
      <c r="E462" s="62"/>
      <c r="F462" s="63"/>
      <c r="G462" s="64"/>
      <c r="P462" s="155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</row>
    <row r="463" spans="4:29" ht="14.25" customHeight="1">
      <c r="D463" s="61"/>
      <c r="E463" s="62"/>
      <c r="F463" s="63"/>
      <c r="G463" s="64"/>
      <c r="P463" s="155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</row>
    <row r="464" spans="4:29" ht="14.25" customHeight="1">
      <c r="D464" s="61"/>
      <c r="E464" s="62"/>
      <c r="F464" s="63"/>
      <c r="G464" s="64"/>
      <c r="P464" s="155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</row>
    <row r="465" spans="4:29" ht="14.25" customHeight="1">
      <c r="D465" s="61"/>
      <c r="E465" s="62"/>
      <c r="F465" s="63"/>
      <c r="G465" s="64"/>
      <c r="P465" s="155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</row>
    <row r="466" spans="4:29" ht="14.25" customHeight="1">
      <c r="D466" s="61"/>
      <c r="E466" s="62"/>
      <c r="F466" s="63"/>
      <c r="G466" s="64"/>
      <c r="P466" s="155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</row>
    <row r="467" spans="4:29" ht="14.25" customHeight="1">
      <c r="D467" s="61"/>
      <c r="E467" s="62"/>
      <c r="F467" s="63"/>
      <c r="G467" s="64"/>
      <c r="P467" s="155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</row>
    <row r="468" spans="4:29" ht="14.25" customHeight="1">
      <c r="D468" s="61"/>
      <c r="E468" s="62"/>
      <c r="F468" s="63"/>
      <c r="G468" s="64"/>
      <c r="P468" s="155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</row>
    <row r="469" spans="4:29" ht="14.25" customHeight="1">
      <c r="D469" s="61"/>
      <c r="E469" s="62"/>
      <c r="F469" s="63"/>
      <c r="G469" s="64"/>
      <c r="P469" s="155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</row>
    <row r="470" spans="4:29" ht="14.25" customHeight="1">
      <c r="D470" s="61"/>
      <c r="E470" s="62"/>
      <c r="F470" s="63"/>
      <c r="G470" s="64"/>
      <c r="P470" s="155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</row>
    <row r="471" spans="4:29" ht="14.25" customHeight="1">
      <c r="D471" s="61"/>
      <c r="E471" s="62"/>
      <c r="F471" s="63"/>
      <c r="G471" s="64"/>
      <c r="P471" s="155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</row>
    <row r="472" spans="4:29" ht="14.25" customHeight="1">
      <c r="D472" s="61"/>
      <c r="E472" s="62"/>
      <c r="F472" s="63"/>
      <c r="G472" s="64"/>
      <c r="P472" s="155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</row>
    <row r="473" spans="4:29" ht="14.25" customHeight="1">
      <c r="D473" s="61"/>
      <c r="E473" s="62"/>
      <c r="F473" s="63"/>
      <c r="G473" s="64"/>
      <c r="P473" s="155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</row>
    <row r="474" spans="4:29" ht="14.25" customHeight="1">
      <c r="D474" s="61"/>
      <c r="E474" s="62"/>
      <c r="F474" s="63"/>
      <c r="G474" s="64"/>
      <c r="P474" s="155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</row>
    <row r="475" spans="4:29" ht="14.25" customHeight="1">
      <c r="D475" s="61"/>
      <c r="E475" s="62"/>
      <c r="F475" s="63"/>
      <c r="G475" s="64"/>
      <c r="P475" s="155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</row>
    <row r="476" spans="4:29" ht="14.25" customHeight="1">
      <c r="D476" s="61"/>
      <c r="E476" s="62"/>
      <c r="F476" s="63"/>
      <c r="G476" s="64"/>
      <c r="P476" s="155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</row>
    <row r="477" spans="4:29" ht="14.25" customHeight="1">
      <c r="D477" s="61"/>
      <c r="E477" s="62"/>
      <c r="F477" s="63"/>
      <c r="G477" s="64"/>
      <c r="P477" s="155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</row>
    <row r="478" spans="4:29" ht="14.25" customHeight="1">
      <c r="D478" s="61"/>
      <c r="E478" s="62"/>
      <c r="F478" s="63"/>
      <c r="G478" s="64"/>
      <c r="P478" s="155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</row>
    <row r="479" spans="4:29" ht="14.25" customHeight="1">
      <c r="D479" s="61"/>
      <c r="E479" s="62"/>
      <c r="F479" s="63"/>
      <c r="G479" s="64"/>
      <c r="P479" s="155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</row>
    <row r="480" spans="4:29" ht="14.25" customHeight="1">
      <c r="D480" s="61"/>
      <c r="E480" s="62"/>
      <c r="F480" s="63"/>
      <c r="G480" s="64"/>
      <c r="P480" s="155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</row>
    <row r="481" spans="4:29" ht="14.25" customHeight="1">
      <c r="D481" s="61"/>
      <c r="E481" s="62"/>
      <c r="F481" s="63"/>
      <c r="G481" s="64"/>
      <c r="P481" s="155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</row>
    <row r="482" spans="4:29" ht="14.25" customHeight="1">
      <c r="D482" s="61"/>
      <c r="E482" s="62"/>
      <c r="F482" s="63"/>
      <c r="G482" s="64"/>
      <c r="P482" s="155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</row>
    <row r="483" spans="4:29" ht="14.25" customHeight="1">
      <c r="D483" s="61"/>
      <c r="E483" s="62"/>
      <c r="F483" s="63"/>
      <c r="G483" s="64"/>
      <c r="P483" s="155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</row>
    <row r="484" spans="4:29" ht="14.25" customHeight="1">
      <c r="D484" s="61"/>
      <c r="E484" s="62"/>
      <c r="F484" s="63"/>
      <c r="G484" s="64"/>
      <c r="P484" s="155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</row>
    <row r="485" spans="4:29" ht="14.25" customHeight="1">
      <c r="D485" s="61"/>
      <c r="E485" s="62"/>
      <c r="F485" s="63"/>
      <c r="G485" s="64"/>
      <c r="P485" s="155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</row>
    <row r="486" spans="4:29" ht="14.25" customHeight="1">
      <c r="D486" s="61"/>
      <c r="E486" s="62"/>
      <c r="F486" s="63"/>
      <c r="G486" s="64"/>
      <c r="P486" s="155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</row>
    <row r="487" spans="4:29" ht="14.25" customHeight="1">
      <c r="D487" s="61"/>
      <c r="E487" s="62"/>
      <c r="F487" s="63"/>
      <c r="G487" s="64"/>
      <c r="P487" s="155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</row>
    <row r="488" spans="4:29" ht="14.25" customHeight="1">
      <c r="D488" s="61"/>
      <c r="E488" s="62"/>
      <c r="F488" s="63"/>
      <c r="G488" s="64"/>
      <c r="P488" s="155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</row>
    <row r="489" spans="4:29" ht="14.25" customHeight="1">
      <c r="D489" s="61"/>
      <c r="E489" s="62"/>
      <c r="F489" s="63"/>
      <c r="G489" s="64"/>
      <c r="P489" s="155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</row>
    <row r="490" spans="4:29" ht="14.25" customHeight="1">
      <c r="D490" s="61"/>
      <c r="E490" s="62"/>
      <c r="F490" s="63"/>
      <c r="G490" s="64"/>
      <c r="P490" s="155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</row>
    <row r="491" spans="4:29" ht="14.25" customHeight="1">
      <c r="D491" s="61"/>
      <c r="E491" s="62"/>
      <c r="F491" s="63"/>
      <c r="G491" s="64"/>
      <c r="P491" s="155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</row>
    <row r="492" spans="4:29" ht="14.25" customHeight="1">
      <c r="D492" s="61"/>
      <c r="E492" s="62"/>
      <c r="F492" s="63"/>
      <c r="G492" s="64"/>
      <c r="P492" s="155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</row>
    <row r="493" spans="4:29" ht="14.25" customHeight="1">
      <c r="D493" s="61"/>
      <c r="E493" s="62"/>
      <c r="F493" s="63"/>
      <c r="G493" s="64"/>
      <c r="P493" s="155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</row>
    <row r="494" spans="4:29" ht="14.25" customHeight="1">
      <c r="D494" s="61"/>
      <c r="E494" s="62"/>
      <c r="F494" s="63"/>
      <c r="G494" s="64"/>
      <c r="P494" s="155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</row>
    <row r="495" spans="4:29" ht="14.25" customHeight="1">
      <c r="D495" s="61"/>
      <c r="E495" s="62"/>
      <c r="F495" s="63"/>
      <c r="G495" s="64"/>
      <c r="P495" s="155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</row>
    <row r="496" spans="4:29" ht="14.25" customHeight="1">
      <c r="D496" s="61"/>
      <c r="E496" s="62"/>
      <c r="F496" s="63"/>
      <c r="G496" s="64"/>
      <c r="P496" s="155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</row>
    <row r="497" spans="4:29" ht="14.25" customHeight="1">
      <c r="D497" s="61"/>
      <c r="E497" s="62"/>
      <c r="F497" s="63"/>
      <c r="G497" s="64"/>
      <c r="P497" s="155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</row>
    <row r="498" spans="4:29" ht="14.25" customHeight="1">
      <c r="D498" s="61"/>
      <c r="E498" s="62"/>
      <c r="F498" s="63"/>
      <c r="G498" s="64"/>
      <c r="P498" s="155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</row>
    <row r="499" spans="4:29" ht="14.25" customHeight="1">
      <c r="D499" s="61"/>
      <c r="E499" s="62"/>
      <c r="F499" s="63"/>
      <c r="G499" s="64"/>
      <c r="P499" s="155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</row>
    <row r="500" spans="4:29" ht="14.25" customHeight="1">
      <c r="D500" s="61"/>
      <c r="E500" s="62"/>
      <c r="F500" s="63"/>
      <c r="G500" s="64"/>
      <c r="P500" s="155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</row>
    <row r="501" spans="4:29" ht="14.25" customHeight="1">
      <c r="D501" s="61"/>
      <c r="E501" s="62"/>
      <c r="F501" s="63"/>
      <c r="G501" s="64"/>
      <c r="P501" s="155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</row>
    <row r="502" spans="4:29" ht="14.25" customHeight="1">
      <c r="D502" s="61"/>
      <c r="E502" s="62"/>
      <c r="F502" s="63"/>
      <c r="G502" s="64"/>
      <c r="P502" s="155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</row>
    <row r="503" spans="4:29" ht="14.25" customHeight="1">
      <c r="D503" s="61"/>
      <c r="E503" s="62"/>
      <c r="F503" s="63"/>
      <c r="G503" s="64"/>
      <c r="P503" s="155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</row>
    <row r="504" spans="4:29" ht="14.25" customHeight="1">
      <c r="D504" s="61"/>
      <c r="E504" s="62"/>
      <c r="F504" s="63"/>
      <c r="G504" s="64"/>
      <c r="P504" s="155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</row>
    <row r="505" spans="4:29" ht="14.25" customHeight="1">
      <c r="D505" s="61"/>
      <c r="E505" s="62"/>
      <c r="F505" s="63"/>
      <c r="G505" s="64"/>
      <c r="P505" s="155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</row>
    <row r="506" spans="4:29" ht="14.25" customHeight="1">
      <c r="D506" s="61"/>
      <c r="E506" s="62"/>
      <c r="F506" s="63"/>
      <c r="G506" s="64"/>
      <c r="P506" s="155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</row>
    <row r="507" spans="4:29" ht="14.25" customHeight="1">
      <c r="D507" s="61"/>
      <c r="E507" s="62"/>
      <c r="F507" s="63"/>
      <c r="G507" s="64"/>
      <c r="P507" s="155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</row>
    <row r="508" spans="4:29" ht="14.25" customHeight="1">
      <c r="D508" s="61"/>
      <c r="E508" s="62"/>
      <c r="F508" s="63"/>
      <c r="G508" s="64"/>
      <c r="P508" s="155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</row>
    <row r="509" spans="4:29" ht="14.25" customHeight="1">
      <c r="D509" s="61"/>
      <c r="E509" s="62"/>
      <c r="F509" s="63"/>
      <c r="G509" s="64"/>
      <c r="P509" s="155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</row>
    <row r="510" spans="4:29" ht="14.25" customHeight="1">
      <c r="D510" s="61"/>
      <c r="E510" s="62"/>
      <c r="F510" s="63"/>
      <c r="G510" s="64"/>
      <c r="P510" s="155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</row>
    <row r="511" spans="4:29" ht="14.25" customHeight="1">
      <c r="D511" s="61"/>
      <c r="E511" s="62"/>
      <c r="F511" s="63"/>
      <c r="G511" s="64"/>
      <c r="P511" s="155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</row>
    <row r="512" spans="4:29" ht="14.25" customHeight="1">
      <c r="D512" s="61"/>
      <c r="E512" s="62"/>
      <c r="F512" s="63"/>
      <c r="G512" s="64"/>
      <c r="P512" s="155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</row>
    <row r="513" spans="4:29" ht="14.25" customHeight="1">
      <c r="D513" s="61"/>
      <c r="E513" s="62"/>
      <c r="F513" s="63"/>
      <c r="G513" s="64"/>
      <c r="P513" s="155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</row>
    <row r="514" spans="4:29" ht="14.25" customHeight="1">
      <c r="D514" s="61"/>
      <c r="E514" s="62"/>
      <c r="F514" s="63"/>
      <c r="G514" s="64"/>
      <c r="P514" s="155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</row>
    <row r="515" spans="4:29" ht="14.25" customHeight="1">
      <c r="D515" s="61"/>
      <c r="E515" s="62"/>
      <c r="F515" s="63"/>
      <c r="G515" s="64"/>
      <c r="P515" s="155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</row>
    <row r="516" spans="4:29" ht="14.25" customHeight="1">
      <c r="D516" s="61"/>
      <c r="E516" s="62"/>
      <c r="F516" s="63"/>
      <c r="G516" s="64"/>
      <c r="P516" s="155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</row>
    <row r="517" spans="4:29" ht="14.25" customHeight="1">
      <c r="D517" s="61"/>
      <c r="E517" s="62"/>
      <c r="F517" s="63"/>
      <c r="G517" s="64"/>
      <c r="P517" s="155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</row>
    <row r="518" spans="4:29" ht="14.25" customHeight="1">
      <c r="D518" s="61"/>
      <c r="E518" s="62"/>
      <c r="F518" s="63"/>
      <c r="G518" s="64"/>
      <c r="P518" s="155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</row>
    <row r="519" spans="4:29" ht="14.25" customHeight="1">
      <c r="D519" s="61"/>
      <c r="E519" s="62"/>
      <c r="F519" s="63"/>
      <c r="G519" s="64"/>
      <c r="P519" s="155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</row>
    <row r="520" spans="4:29" ht="14.25" customHeight="1">
      <c r="D520" s="61"/>
      <c r="E520" s="62"/>
      <c r="F520" s="63"/>
      <c r="G520" s="64"/>
      <c r="P520" s="155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</row>
    <row r="521" spans="4:29" ht="14.25" customHeight="1">
      <c r="D521" s="61"/>
      <c r="E521" s="62"/>
      <c r="F521" s="63"/>
      <c r="G521" s="64"/>
      <c r="P521" s="155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</row>
    <row r="522" spans="4:29" ht="14.25" customHeight="1">
      <c r="D522" s="61"/>
      <c r="E522" s="62"/>
      <c r="F522" s="63"/>
      <c r="G522" s="64"/>
      <c r="P522" s="155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</row>
    <row r="523" spans="4:29" ht="14.25" customHeight="1">
      <c r="D523" s="61"/>
      <c r="E523" s="62"/>
      <c r="F523" s="63"/>
      <c r="G523" s="64"/>
      <c r="P523" s="155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</row>
    <row r="524" spans="4:29" ht="14.25" customHeight="1">
      <c r="D524" s="61"/>
      <c r="E524" s="62"/>
      <c r="F524" s="63"/>
      <c r="G524" s="64"/>
      <c r="P524" s="155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</row>
    <row r="525" spans="4:29" ht="14.25" customHeight="1">
      <c r="D525" s="61"/>
      <c r="E525" s="62"/>
      <c r="F525" s="63"/>
      <c r="G525" s="64"/>
      <c r="P525" s="155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</row>
    <row r="526" spans="4:29" ht="14.25" customHeight="1">
      <c r="D526" s="61"/>
      <c r="E526" s="62"/>
      <c r="F526" s="63"/>
      <c r="G526" s="64"/>
      <c r="P526" s="155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</row>
    <row r="527" spans="4:29" ht="14.25" customHeight="1">
      <c r="D527" s="61"/>
      <c r="E527" s="62"/>
      <c r="F527" s="63"/>
      <c r="G527" s="64"/>
      <c r="P527" s="155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</row>
    <row r="528" spans="4:29" ht="14.25" customHeight="1">
      <c r="D528" s="61"/>
      <c r="E528" s="62"/>
      <c r="F528" s="63"/>
      <c r="G528" s="64"/>
      <c r="P528" s="155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</row>
    <row r="529" spans="4:29" ht="14.25" customHeight="1">
      <c r="D529" s="61"/>
      <c r="E529" s="62"/>
      <c r="F529" s="63"/>
      <c r="G529" s="64"/>
      <c r="P529" s="155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</row>
    <row r="530" spans="4:29" ht="14.25" customHeight="1">
      <c r="D530" s="61"/>
      <c r="E530" s="62"/>
      <c r="F530" s="63"/>
      <c r="G530" s="64"/>
      <c r="P530" s="155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</row>
    <row r="531" spans="4:29" ht="14.25" customHeight="1">
      <c r="D531" s="61"/>
      <c r="E531" s="62"/>
      <c r="F531" s="63"/>
      <c r="G531" s="64"/>
      <c r="P531" s="155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</row>
    <row r="532" spans="4:29" ht="14.25" customHeight="1">
      <c r="D532" s="61"/>
      <c r="E532" s="62"/>
      <c r="F532" s="63"/>
      <c r="G532" s="64"/>
      <c r="P532" s="155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</row>
    <row r="533" spans="4:29" ht="14.25" customHeight="1">
      <c r="D533" s="61"/>
      <c r="E533" s="62"/>
      <c r="F533" s="63"/>
      <c r="G533" s="64"/>
      <c r="P533" s="155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</row>
    <row r="534" spans="4:29" ht="14.25" customHeight="1">
      <c r="D534" s="61"/>
      <c r="E534" s="62"/>
      <c r="F534" s="63"/>
      <c r="G534" s="64"/>
      <c r="P534" s="155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</row>
    <row r="535" spans="4:29" ht="14.25" customHeight="1">
      <c r="D535" s="61"/>
      <c r="E535" s="62"/>
      <c r="F535" s="63"/>
      <c r="G535" s="64"/>
      <c r="P535" s="155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</row>
    <row r="536" spans="4:29" ht="14.25" customHeight="1">
      <c r="D536" s="61"/>
      <c r="E536" s="62"/>
      <c r="F536" s="63"/>
      <c r="G536" s="64"/>
      <c r="P536" s="155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</row>
    <row r="537" spans="4:29" ht="14.25" customHeight="1">
      <c r="D537" s="61"/>
      <c r="E537" s="62"/>
      <c r="F537" s="63"/>
      <c r="G537" s="64"/>
      <c r="P537" s="155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</row>
    <row r="538" spans="4:29" ht="14.25" customHeight="1">
      <c r="D538" s="61"/>
      <c r="E538" s="62"/>
      <c r="F538" s="63"/>
      <c r="G538" s="64"/>
      <c r="P538" s="155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</row>
    <row r="539" spans="4:29" ht="14.25" customHeight="1">
      <c r="D539" s="61"/>
      <c r="E539" s="62"/>
      <c r="F539" s="63"/>
      <c r="G539" s="64"/>
      <c r="P539" s="155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</row>
    <row r="540" spans="4:29" ht="14.25" customHeight="1">
      <c r="D540" s="61"/>
      <c r="E540" s="62"/>
      <c r="F540" s="63"/>
      <c r="G540" s="64"/>
      <c r="P540" s="155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</row>
    <row r="541" spans="4:29" ht="14.25" customHeight="1">
      <c r="D541" s="61"/>
      <c r="E541" s="62"/>
      <c r="F541" s="63"/>
      <c r="G541" s="64"/>
      <c r="P541" s="155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</row>
    <row r="542" spans="4:29" ht="14.25" customHeight="1">
      <c r="D542" s="61"/>
      <c r="E542" s="62"/>
      <c r="F542" s="63"/>
      <c r="G542" s="64"/>
      <c r="P542" s="155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</row>
    <row r="543" spans="4:29" ht="14.25" customHeight="1">
      <c r="D543" s="61"/>
      <c r="E543" s="62"/>
      <c r="F543" s="63"/>
      <c r="G543" s="64"/>
      <c r="P543" s="155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</row>
    <row r="544" spans="4:29" ht="14.25" customHeight="1">
      <c r="D544" s="61"/>
      <c r="E544" s="62"/>
      <c r="F544" s="63"/>
      <c r="G544" s="64"/>
      <c r="P544" s="155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</row>
    <row r="545" spans="4:29" ht="14.25" customHeight="1">
      <c r="D545" s="61"/>
      <c r="E545" s="62"/>
      <c r="F545" s="63"/>
      <c r="G545" s="64"/>
      <c r="P545" s="155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</row>
    <row r="546" spans="4:29" ht="14.25" customHeight="1">
      <c r="D546" s="61"/>
      <c r="E546" s="62"/>
      <c r="F546" s="63"/>
      <c r="G546" s="64"/>
      <c r="P546" s="155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</row>
    <row r="547" spans="4:29" ht="14.25" customHeight="1">
      <c r="D547" s="61"/>
      <c r="E547" s="62"/>
      <c r="F547" s="63"/>
      <c r="G547" s="64"/>
      <c r="P547" s="155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</row>
    <row r="548" spans="4:29" ht="14.25" customHeight="1">
      <c r="D548" s="61"/>
      <c r="E548" s="62"/>
      <c r="F548" s="63"/>
      <c r="G548" s="64"/>
      <c r="P548" s="155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</row>
    <row r="549" spans="4:29" ht="14.25" customHeight="1">
      <c r="D549" s="61"/>
      <c r="E549" s="62"/>
      <c r="F549" s="63"/>
      <c r="G549" s="64"/>
      <c r="P549" s="155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</row>
    <row r="550" spans="4:29" ht="14.25" customHeight="1">
      <c r="D550" s="61"/>
      <c r="E550" s="62"/>
      <c r="F550" s="63"/>
      <c r="G550" s="64"/>
      <c r="P550" s="155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</row>
    <row r="551" spans="4:29" ht="14.25" customHeight="1">
      <c r="D551" s="61"/>
      <c r="E551" s="62"/>
      <c r="F551" s="63"/>
      <c r="G551" s="64"/>
      <c r="P551" s="155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</row>
    <row r="552" spans="4:29" ht="14.25" customHeight="1">
      <c r="D552" s="61"/>
      <c r="E552" s="62"/>
      <c r="F552" s="63"/>
      <c r="G552" s="64"/>
      <c r="P552" s="155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</row>
    <row r="553" spans="4:29" ht="14.25" customHeight="1">
      <c r="D553" s="61"/>
      <c r="E553" s="62"/>
      <c r="F553" s="63"/>
      <c r="G553" s="64"/>
      <c r="P553" s="155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</row>
    <row r="554" spans="4:29" ht="14.25" customHeight="1">
      <c r="D554" s="61"/>
      <c r="E554" s="62"/>
      <c r="F554" s="63"/>
      <c r="G554" s="64"/>
      <c r="P554" s="155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</row>
    <row r="555" spans="4:29" ht="14.25" customHeight="1">
      <c r="D555" s="61"/>
      <c r="E555" s="62"/>
      <c r="F555" s="63"/>
      <c r="G555" s="64"/>
      <c r="P555" s="155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</row>
    <row r="556" spans="4:29" ht="14.25" customHeight="1">
      <c r="D556" s="61"/>
      <c r="E556" s="62"/>
      <c r="F556" s="63"/>
      <c r="G556" s="64"/>
      <c r="P556" s="155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</row>
    <row r="557" spans="4:29" ht="14.25" customHeight="1">
      <c r="D557" s="61"/>
      <c r="E557" s="62"/>
      <c r="F557" s="63"/>
      <c r="G557" s="64"/>
      <c r="P557" s="155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</row>
    <row r="558" spans="4:29" ht="14.25" customHeight="1">
      <c r="D558" s="61"/>
      <c r="E558" s="62"/>
      <c r="F558" s="63"/>
      <c r="G558" s="64"/>
      <c r="P558" s="155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</row>
    <row r="559" spans="4:29" ht="14.25" customHeight="1">
      <c r="D559" s="61"/>
      <c r="E559" s="62"/>
      <c r="F559" s="63"/>
      <c r="G559" s="64"/>
      <c r="P559" s="155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</row>
    <row r="560" spans="4:29" ht="14.25" customHeight="1">
      <c r="D560" s="61"/>
      <c r="E560" s="62"/>
      <c r="F560" s="63"/>
      <c r="G560" s="64"/>
      <c r="P560" s="155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</row>
    <row r="561" spans="4:29" ht="14.25" customHeight="1">
      <c r="D561" s="61"/>
      <c r="E561" s="62"/>
      <c r="F561" s="63"/>
      <c r="G561" s="64"/>
      <c r="P561" s="155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</row>
    <row r="562" spans="4:29" ht="14.25" customHeight="1">
      <c r="D562" s="61"/>
      <c r="E562" s="62"/>
      <c r="F562" s="63"/>
      <c r="G562" s="64"/>
      <c r="P562" s="155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</row>
    <row r="563" spans="4:29" ht="14.25" customHeight="1">
      <c r="D563" s="61"/>
      <c r="E563" s="62"/>
      <c r="F563" s="63"/>
      <c r="G563" s="64"/>
      <c r="P563" s="155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</row>
    <row r="564" spans="4:29" ht="14.25" customHeight="1">
      <c r="D564" s="61"/>
      <c r="E564" s="62"/>
      <c r="F564" s="63"/>
      <c r="G564" s="64"/>
      <c r="P564" s="155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</row>
    <row r="565" spans="4:29" ht="14.25" customHeight="1">
      <c r="D565" s="61"/>
      <c r="E565" s="62"/>
      <c r="F565" s="63"/>
      <c r="G565" s="64"/>
      <c r="P565" s="155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</row>
    <row r="566" spans="4:29" ht="14.25" customHeight="1">
      <c r="D566" s="61"/>
      <c r="E566" s="62"/>
      <c r="F566" s="63"/>
      <c r="G566" s="64"/>
      <c r="P566" s="155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</row>
    <row r="567" spans="4:29" ht="14.25" customHeight="1">
      <c r="D567" s="61"/>
      <c r="E567" s="62"/>
      <c r="F567" s="63"/>
      <c r="G567" s="64"/>
      <c r="P567" s="155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</row>
    <row r="568" spans="4:29" ht="14.25" customHeight="1">
      <c r="D568" s="61"/>
      <c r="E568" s="62"/>
      <c r="F568" s="63"/>
      <c r="G568" s="64"/>
      <c r="P568" s="155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</row>
    <row r="569" spans="4:29" ht="14.25" customHeight="1">
      <c r="D569" s="61"/>
      <c r="E569" s="62"/>
      <c r="F569" s="63"/>
      <c r="G569" s="64"/>
      <c r="P569" s="155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</row>
    <row r="570" spans="4:29" ht="14.25" customHeight="1">
      <c r="D570" s="61"/>
      <c r="E570" s="62"/>
      <c r="F570" s="63"/>
      <c r="G570" s="64"/>
      <c r="P570" s="155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</row>
    <row r="571" spans="4:29" ht="14.25" customHeight="1">
      <c r="D571" s="61"/>
      <c r="E571" s="62"/>
      <c r="F571" s="63"/>
      <c r="G571" s="64"/>
      <c r="P571" s="155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</row>
    <row r="572" spans="4:29" ht="14.25" customHeight="1">
      <c r="D572" s="61"/>
      <c r="E572" s="62"/>
      <c r="F572" s="63"/>
      <c r="G572" s="64"/>
      <c r="P572" s="155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</row>
    <row r="573" spans="4:29" ht="14.25" customHeight="1">
      <c r="D573" s="61"/>
      <c r="E573" s="62"/>
      <c r="F573" s="63"/>
      <c r="G573" s="64"/>
      <c r="P573" s="155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</row>
    <row r="574" spans="4:29" ht="14.25" customHeight="1">
      <c r="D574" s="61"/>
      <c r="E574" s="62"/>
      <c r="F574" s="63"/>
      <c r="G574" s="64"/>
      <c r="P574" s="155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</row>
    <row r="575" spans="4:29" ht="14.25" customHeight="1">
      <c r="D575" s="61"/>
      <c r="E575" s="62"/>
      <c r="F575" s="63"/>
      <c r="G575" s="64"/>
      <c r="P575" s="155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</row>
    <row r="576" spans="4:29" ht="14.25" customHeight="1">
      <c r="D576" s="61"/>
      <c r="E576" s="62"/>
      <c r="F576" s="63"/>
      <c r="G576" s="64"/>
      <c r="P576" s="155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</row>
    <row r="577" spans="4:29" ht="14.25" customHeight="1">
      <c r="D577" s="61"/>
      <c r="E577" s="62"/>
      <c r="F577" s="63"/>
      <c r="G577" s="64"/>
      <c r="P577" s="155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</row>
    <row r="578" spans="4:29" ht="14.25" customHeight="1">
      <c r="D578" s="61"/>
      <c r="E578" s="62"/>
      <c r="F578" s="63"/>
      <c r="G578" s="64"/>
      <c r="P578" s="155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</row>
    <row r="579" spans="4:29" ht="14.25" customHeight="1">
      <c r="D579" s="61"/>
      <c r="E579" s="62"/>
      <c r="F579" s="63"/>
      <c r="G579" s="64"/>
      <c r="P579" s="155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</row>
    <row r="580" spans="4:29" ht="14.25" customHeight="1">
      <c r="D580" s="61"/>
      <c r="E580" s="62"/>
      <c r="F580" s="63"/>
      <c r="G580" s="64"/>
      <c r="P580" s="155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</row>
    <row r="581" spans="4:29" ht="14.25" customHeight="1">
      <c r="D581" s="61"/>
      <c r="E581" s="62"/>
      <c r="F581" s="63"/>
      <c r="G581" s="64"/>
      <c r="P581" s="155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</row>
    <row r="582" spans="4:29" ht="14.25" customHeight="1">
      <c r="D582" s="61"/>
      <c r="E582" s="62"/>
      <c r="F582" s="63"/>
      <c r="G582" s="64"/>
      <c r="P582" s="155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</row>
    <row r="583" spans="4:29" ht="14.25" customHeight="1">
      <c r="D583" s="61"/>
      <c r="E583" s="62"/>
      <c r="F583" s="63"/>
      <c r="G583" s="64"/>
      <c r="P583" s="155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</row>
    <row r="584" spans="4:29" ht="14.25" customHeight="1">
      <c r="D584" s="61"/>
      <c r="E584" s="62"/>
      <c r="F584" s="63"/>
      <c r="G584" s="64"/>
      <c r="P584" s="155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</row>
    <row r="585" spans="4:29" ht="14.25" customHeight="1">
      <c r="D585" s="61"/>
      <c r="E585" s="62"/>
      <c r="F585" s="63"/>
      <c r="G585" s="64"/>
      <c r="P585" s="155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</row>
    <row r="586" spans="4:29" ht="14.25" customHeight="1">
      <c r="D586" s="61"/>
      <c r="E586" s="62"/>
      <c r="F586" s="63"/>
      <c r="G586" s="64"/>
      <c r="P586" s="155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</row>
    <row r="587" spans="4:29" ht="14.25" customHeight="1">
      <c r="D587" s="61"/>
      <c r="E587" s="62"/>
      <c r="F587" s="63"/>
      <c r="G587" s="64"/>
      <c r="P587" s="155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</row>
    <row r="588" spans="4:29" ht="14.25" customHeight="1">
      <c r="D588" s="61"/>
      <c r="E588" s="62"/>
      <c r="F588" s="63"/>
      <c r="G588" s="64"/>
      <c r="P588" s="155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</row>
    <row r="589" spans="4:29" ht="14.25" customHeight="1">
      <c r="D589" s="61"/>
      <c r="E589" s="62"/>
      <c r="F589" s="63"/>
      <c r="G589" s="64"/>
      <c r="P589" s="155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</row>
    <row r="590" spans="4:29" ht="14.25" customHeight="1">
      <c r="D590" s="61"/>
      <c r="E590" s="62"/>
      <c r="F590" s="63"/>
      <c r="G590" s="64"/>
      <c r="P590" s="155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</row>
    <row r="591" spans="4:29" ht="14.25" customHeight="1">
      <c r="D591" s="61"/>
      <c r="E591" s="62"/>
      <c r="F591" s="63"/>
      <c r="G591" s="64"/>
      <c r="P591" s="155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</row>
    <row r="592" spans="4:29" ht="14.25" customHeight="1">
      <c r="D592" s="61"/>
      <c r="E592" s="62"/>
      <c r="F592" s="63"/>
      <c r="G592" s="64"/>
      <c r="P592" s="155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</row>
    <row r="593" spans="4:29" ht="14.25" customHeight="1">
      <c r="D593" s="61"/>
      <c r="E593" s="62"/>
      <c r="F593" s="63"/>
      <c r="G593" s="64"/>
      <c r="P593" s="155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</row>
    <row r="594" spans="4:29" ht="14.25" customHeight="1">
      <c r="D594" s="61"/>
      <c r="E594" s="62"/>
      <c r="F594" s="63"/>
      <c r="G594" s="64"/>
      <c r="P594" s="155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</row>
    <row r="595" spans="4:29" ht="14.25" customHeight="1">
      <c r="D595" s="61"/>
      <c r="E595" s="62"/>
      <c r="F595" s="63"/>
      <c r="G595" s="64"/>
      <c r="P595" s="155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</row>
    <row r="596" spans="4:29" ht="14.25" customHeight="1">
      <c r="D596" s="61"/>
      <c r="E596" s="62"/>
      <c r="F596" s="63"/>
      <c r="G596" s="64"/>
      <c r="P596" s="155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</row>
    <row r="597" spans="4:29" ht="14.25" customHeight="1">
      <c r="D597" s="61"/>
      <c r="E597" s="62"/>
      <c r="F597" s="63"/>
      <c r="G597" s="64"/>
      <c r="P597" s="155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</row>
    <row r="598" spans="4:29" ht="14.25" customHeight="1">
      <c r="D598" s="61"/>
      <c r="E598" s="62"/>
      <c r="F598" s="63"/>
      <c r="G598" s="64"/>
      <c r="P598" s="155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</row>
    <row r="599" spans="4:29" ht="14.25" customHeight="1">
      <c r="D599" s="61"/>
      <c r="E599" s="62"/>
      <c r="F599" s="63"/>
      <c r="G599" s="64"/>
      <c r="P599" s="155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</row>
    <row r="600" spans="4:29" ht="14.25" customHeight="1">
      <c r="D600" s="61"/>
      <c r="E600" s="62"/>
      <c r="F600" s="63"/>
      <c r="G600" s="64"/>
      <c r="P600" s="155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</row>
    <row r="601" spans="4:29" ht="14.25" customHeight="1">
      <c r="D601" s="61"/>
      <c r="E601" s="62"/>
      <c r="F601" s="63"/>
      <c r="G601" s="64"/>
      <c r="P601" s="155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</row>
    <row r="602" spans="4:29" ht="14.25" customHeight="1">
      <c r="D602" s="61"/>
      <c r="E602" s="62"/>
      <c r="F602" s="63"/>
      <c r="G602" s="64"/>
      <c r="P602" s="155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</row>
    <row r="603" spans="4:29" ht="14.25" customHeight="1">
      <c r="D603" s="61"/>
      <c r="E603" s="62"/>
      <c r="F603" s="63"/>
      <c r="G603" s="64"/>
      <c r="P603" s="155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</row>
    <row r="604" spans="4:29" ht="14.25" customHeight="1">
      <c r="D604" s="61"/>
      <c r="E604" s="62"/>
      <c r="F604" s="63"/>
      <c r="G604" s="64"/>
      <c r="P604" s="155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</row>
    <row r="605" spans="4:29" ht="14.25" customHeight="1">
      <c r="D605" s="61"/>
      <c r="E605" s="62"/>
      <c r="F605" s="63"/>
      <c r="G605" s="64"/>
      <c r="P605" s="155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</row>
    <row r="606" spans="4:29" ht="14.25" customHeight="1">
      <c r="D606" s="61"/>
      <c r="E606" s="62"/>
      <c r="F606" s="63"/>
      <c r="G606" s="64"/>
      <c r="P606" s="155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</row>
    <row r="607" spans="4:29" ht="14.25" customHeight="1">
      <c r="D607" s="61"/>
      <c r="E607" s="62"/>
      <c r="F607" s="63"/>
      <c r="G607" s="64"/>
      <c r="P607" s="155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</row>
    <row r="608" spans="4:29" ht="14.25" customHeight="1">
      <c r="D608" s="61"/>
      <c r="E608" s="62"/>
      <c r="F608" s="63"/>
      <c r="G608" s="64"/>
      <c r="P608" s="155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</row>
    <row r="609" spans="4:29" ht="14.25" customHeight="1">
      <c r="D609" s="61"/>
      <c r="E609" s="62"/>
      <c r="F609" s="63"/>
      <c r="G609" s="64"/>
      <c r="P609" s="155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</row>
    <row r="610" spans="4:29" ht="14.25" customHeight="1">
      <c r="D610" s="61"/>
      <c r="E610" s="62"/>
      <c r="F610" s="63"/>
      <c r="G610" s="64"/>
      <c r="P610" s="155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</row>
    <row r="611" spans="4:29" ht="14.25" customHeight="1">
      <c r="D611" s="61"/>
      <c r="E611" s="62"/>
      <c r="F611" s="63"/>
      <c r="G611" s="64"/>
      <c r="P611" s="155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</row>
    <row r="612" spans="4:29" ht="14.25" customHeight="1">
      <c r="D612" s="61"/>
      <c r="E612" s="62"/>
      <c r="F612" s="63"/>
      <c r="G612" s="64"/>
      <c r="P612" s="155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</row>
    <row r="613" spans="4:29" ht="14.25" customHeight="1">
      <c r="D613" s="61"/>
      <c r="E613" s="62"/>
      <c r="F613" s="63"/>
      <c r="G613" s="64"/>
      <c r="P613" s="155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</row>
    <row r="614" spans="4:29" ht="14.25" customHeight="1">
      <c r="D614" s="61"/>
      <c r="E614" s="62"/>
      <c r="F614" s="63"/>
      <c r="G614" s="64"/>
      <c r="P614" s="155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</row>
    <row r="615" spans="4:29" ht="14.25" customHeight="1">
      <c r="D615" s="61"/>
      <c r="E615" s="62"/>
      <c r="F615" s="63"/>
      <c r="G615" s="64"/>
      <c r="P615" s="155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</row>
    <row r="616" spans="4:29" ht="14.25" customHeight="1">
      <c r="D616" s="61"/>
      <c r="E616" s="62"/>
      <c r="F616" s="63"/>
      <c r="G616" s="64"/>
      <c r="P616" s="155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</row>
    <row r="617" spans="4:29" ht="14.25" customHeight="1">
      <c r="D617" s="61"/>
      <c r="E617" s="62"/>
      <c r="F617" s="63"/>
      <c r="G617" s="64"/>
      <c r="P617" s="155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</row>
    <row r="618" spans="4:29" ht="14.25" customHeight="1">
      <c r="D618" s="61"/>
      <c r="E618" s="62"/>
      <c r="F618" s="63"/>
      <c r="G618" s="64"/>
      <c r="P618" s="155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</row>
    <row r="619" spans="4:29" ht="14.25" customHeight="1">
      <c r="D619" s="61"/>
      <c r="E619" s="62"/>
      <c r="F619" s="63"/>
      <c r="G619" s="64"/>
      <c r="P619" s="155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</row>
    <row r="620" spans="4:29" ht="14.25" customHeight="1">
      <c r="D620" s="61"/>
      <c r="E620" s="62"/>
      <c r="F620" s="63"/>
      <c r="G620" s="64"/>
      <c r="P620" s="155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</row>
    <row r="621" spans="4:29" ht="14.25" customHeight="1">
      <c r="D621" s="61"/>
      <c r="E621" s="62"/>
      <c r="F621" s="63"/>
      <c r="G621" s="64"/>
      <c r="P621" s="155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</row>
    <row r="622" spans="4:29" ht="14.25" customHeight="1">
      <c r="D622" s="61"/>
      <c r="E622" s="62"/>
      <c r="F622" s="63"/>
      <c r="G622" s="64"/>
      <c r="P622" s="155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</row>
    <row r="623" spans="4:29" ht="14.25" customHeight="1">
      <c r="D623" s="61"/>
      <c r="E623" s="62"/>
      <c r="F623" s="63"/>
      <c r="G623" s="64"/>
      <c r="P623" s="155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</row>
    <row r="624" spans="4:29" ht="14.25" customHeight="1">
      <c r="D624" s="61"/>
      <c r="E624" s="62"/>
      <c r="F624" s="63"/>
      <c r="G624" s="64"/>
      <c r="P624" s="155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</row>
    <row r="625" spans="4:29" ht="14.25" customHeight="1">
      <c r="D625" s="61"/>
      <c r="E625" s="62"/>
      <c r="F625" s="63"/>
      <c r="G625" s="64"/>
      <c r="P625" s="155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</row>
    <row r="626" spans="4:29" ht="14.25" customHeight="1">
      <c r="D626" s="61"/>
      <c r="E626" s="62"/>
      <c r="F626" s="63"/>
      <c r="G626" s="64"/>
      <c r="P626" s="155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</row>
    <row r="627" spans="4:29" ht="14.25" customHeight="1">
      <c r="D627" s="61"/>
      <c r="E627" s="62"/>
      <c r="F627" s="63"/>
      <c r="G627" s="64"/>
      <c r="P627" s="155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</row>
    <row r="628" spans="4:29" ht="14.25" customHeight="1">
      <c r="D628" s="61"/>
      <c r="E628" s="62"/>
      <c r="F628" s="63"/>
      <c r="G628" s="64"/>
      <c r="P628" s="155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</row>
    <row r="629" spans="4:29" ht="14.25" customHeight="1">
      <c r="D629" s="61"/>
      <c r="E629" s="62"/>
      <c r="F629" s="63"/>
      <c r="G629" s="64"/>
      <c r="P629" s="155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</row>
    <row r="630" spans="4:29" ht="14.25" customHeight="1">
      <c r="D630" s="61"/>
      <c r="E630" s="62"/>
      <c r="F630" s="63"/>
      <c r="G630" s="64"/>
      <c r="P630" s="155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</row>
    <row r="631" spans="4:29" ht="14.25" customHeight="1">
      <c r="D631" s="61"/>
      <c r="E631" s="62"/>
      <c r="F631" s="63"/>
      <c r="G631" s="64"/>
      <c r="P631" s="155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</row>
    <row r="632" spans="4:29" ht="14.25" customHeight="1">
      <c r="D632" s="61"/>
      <c r="E632" s="62"/>
      <c r="F632" s="63"/>
      <c r="G632" s="64"/>
      <c r="P632" s="155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</row>
    <row r="633" spans="4:29" ht="14.25" customHeight="1">
      <c r="D633" s="61"/>
      <c r="E633" s="62"/>
      <c r="F633" s="63"/>
      <c r="G633" s="64"/>
      <c r="P633" s="155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</row>
    <row r="634" spans="4:29" ht="14.25" customHeight="1">
      <c r="D634" s="61"/>
      <c r="E634" s="62"/>
      <c r="F634" s="63"/>
      <c r="G634" s="64"/>
      <c r="P634" s="155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</row>
    <row r="635" spans="4:29" ht="14.25" customHeight="1">
      <c r="D635" s="61"/>
      <c r="E635" s="62"/>
      <c r="F635" s="63"/>
      <c r="G635" s="64"/>
      <c r="P635" s="155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</row>
    <row r="636" spans="4:29" ht="14.25" customHeight="1">
      <c r="D636" s="61"/>
      <c r="E636" s="62"/>
      <c r="F636" s="63"/>
      <c r="G636" s="64"/>
      <c r="P636" s="155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</row>
    <row r="637" spans="4:29" ht="14.25" customHeight="1">
      <c r="D637" s="61"/>
      <c r="E637" s="62"/>
      <c r="F637" s="63"/>
      <c r="G637" s="64"/>
      <c r="P637" s="155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</row>
    <row r="638" spans="4:29" ht="14.25" customHeight="1">
      <c r="D638" s="61"/>
      <c r="E638" s="62"/>
      <c r="F638" s="63"/>
      <c r="G638" s="64"/>
      <c r="P638" s="155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</row>
    <row r="639" spans="4:29" ht="14.25" customHeight="1">
      <c r="D639" s="61"/>
      <c r="E639" s="62"/>
      <c r="F639" s="63"/>
      <c r="G639" s="64"/>
      <c r="P639" s="155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</row>
    <row r="640" spans="4:29" ht="14.25" customHeight="1">
      <c r="D640" s="61"/>
      <c r="E640" s="62"/>
      <c r="F640" s="63"/>
      <c r="G640" s="64"/>
      <c r="P640" s="155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</row>
    <row r="641" spans="4:29" ht="14.25" customHeight="1">
      <c r="D641" s="61"/>
      <c r="E641" s="62"/>
      <c r="F641" s="63"/>
      <c r="G641" s="64"/>
      <c r="P641" s="155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</row>
    <row r="642" spans="4:29" ht="14.25" customHeight="1">
      <c r="D642" s="61"/>
      <c r="E642" s="62"/>
      <c r="F642" s="63"/>
      <c r="G642" s="64"/>
      <c r="P642" s="155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</row>
    <row r="643" spans="4:29" ht="14.25" customHeight="1">
      <c r="D643" s="61"/>
      <c r="E643" s="62"/>
      <c r="F643" s="63"/>
      <c r="G643" s="64"/>
      <c r="P643" s="155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</row>
    <row r="644" spans="4:29" ht="14.25" customHeight="1">
      <c r="D644" s="61"/>
      <c r="E644" s="62"/>
      <c r="F644" s="63"/>
      <c r="G644" s="64"/>
      <c r="P644" s="155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</row>
    <row r="645" spans="4:29" ht="14.25" customHeight="1">
      <c r="D645" s="61"/>
      <c r="E645" s="62"/>
      <c r="F645" s="63"/>
      <c r="G645" s="64"/>
      <c r="P645" s="155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</row>
    <row r="646" spans="4:29" ht="14.25" customHeight="1">
      <c r="D646" s="61"/>
      <c r="E646" s="62"/>
      <c r="F646" s="63"/>
      <c r="G646" s="64"/>
      <c r="P646" s="155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</row>
    <row r="647" spans="4:29" ht="14.25" customHeight="1">
      <c r="D647" s="61"/>
      <c r="E647" s="62"/>
      <c r="F647" s="63"/>
      <c r="G647" s="64"/>
      <c r="P647" s="155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</row>
    <row r="648" spans="4:29" ht="14.25" customHeight="1">
      <c r="D648" s="61"/>
      <c r="E648" s="62"/>
      <c r="F648" s="63"/>
      <c r="G648" s="64"/>
      <c r="P648" s="155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</row>
    <row r="649" spans="4:29" ht="14.25" customHeight="1">
      <c r="D649" s="61"/>
      <c r="E649" s="62"/>
      <c r="F649" s="63"/>
      <c r="G649" s="64"/>
      <c r="P649" s="155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</row>
    <row r="650" spans="4:29" ht="14.25" customHeight="1">
      <c r="D650" s="61"/>
      <c r="E650" s="62"/>
      <c r="F650" s="63"/>
      <c r="G650" s="64"/>
      <c r="P650" s="155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</row>
    <row r="651" spans="4:29" ht="14.25" customHeight="1">
      <c r="D651" s="61"/>
      <c r="E651" s="62"/>
      <c r="F651" s="63"/>
      <c r="G651" s="64"/>
      <c r="P651" s="155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</row>
    <row r="652" spans="4:29" ht="14.25" customHeight="1">
      <c r="D652" s="61"/>
      <c r="E652" s="62"/>
      <c r="F652" s="63"/>
      <c r="G652" s="64"/>
      <c r="P652" s="155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</row>
    <row r="653" spans="4:29" ht="14.25" customHeight="1">
      <c r="D653" s="61"/>
      <c r="E653" s="62"/>
      <c r="F653" s="63"/>
      <c r="G653" s="64"/>
      <c r="P653" s="155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</row>
    <row r="654" spans="4:29" ht="14.25" customHeight="1">
      <c r="D654" s="61"/>
      <c r="E654" s="62"/>
      <c r="F654" s="63"/>
      <c r="G654" s="64"/>
      <c r="P654" s="155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</row>
    <row r="655" spans="4:29" ht="14.25" customHeight="1">
      <c r="D655" s="61"/>
      <c r="E655" s="62"/>
      <c r="F655" s="63"/>
      <c r="G655" s="64"/>
      <c r="P655" s="155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</row>
    <row r="656" spans="4:29" ht="14.25" customHeight="1">
      <c r="D656" s="61"/>
      <c r="E656" s="62"/>
      <c r="F656" s="63"/>
      <c r="G656" s="64"/>
      <c r="P656" s="155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</row>
    <row r="657" spans="4:29" ht="14.25" customHeight="1">
      <c r="D657" s="61"/>
      <c r="E657" s="62"/>
      <c r="F657" s="63"/>
      <c r="G657" s="64"/>
      <c r="P657" s="155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</row>
    <row r="658" spans="4:29" ht="14.25" customHeight="1">
      <c r="D658" s="61"/>
      <c r="E658" s="62"/>
      <c r="F658" s="63"/>
      <c r="G658" s="64"/>
      <c r="P658" s="155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</row>
    <row r="659" spans="4:29" ht="14.25" customHeight="1">
      <c r="D659" s="61"/>
      <c r="E659" s="62"/>
      <c r="F659" s="63"/>
      <c r="G659" s="64"/>
      <c r="P659" s="155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</row>
    <row r="660" spans="4:29" ht="14.25" customHeight="1">
      <c r="D660" s="61"/>
      <c r="E660" s="62"/>
      <c r="F660" s="63"/>
      <c r="G660" s="64"/>
      <c r="P660" s="155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</row>
    <row r="661" spans="4:29" ht="14.25" customHeight="1">
      <c r="D661" s="61"/>
      <c r="E661" s="62"/>
      <c r="F661" s="63"/>
      <c r="G661" s="64"/>
      <c r="P661" s="155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</row>
    <row r="662" spans="4:29" ht="14.25" customHeight="1">
      <c r="D662" s="61"/>
      <c r="E662" s="62"/>
      <c r="F662" s="63"/>
      <c r="G662" s="64"/>
      <c r="P662" s="155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</row>
    <row r="663" spans="4:29" ht="14.25" customHeight="1">
      <c r="D663" s="61"/>
      <c r="E663" s="62"/>
      <c r="F663" s="63"/>
      <c r="G663" s="64"/>
      <c r="P663" s="155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</row>
    <row r="664" spans="4:29" ht="14.25" customHeight="1">
      <c r="D664" s="61"/>
      <c r="E664" s="62"/>
      <c r="F664" s="63"/>
      <c r="G664" s="64"/>
      <c r="P664" s="155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</row>
    <row r="665" spans="4:29" ht="14.25" customHeight="1">
      <c r="D665" s="61"/>
      <c r="E665" s="62"/>
      <c r="F665" s="63"/>
      <c r="G665" s="64"/>
      <c r="P665" s="155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</row>
    <row r="666" spans="4:29" ht="14.25" customHeight="1">
      <c r="D666" s="61"/>
      <c r="E666" s="62"/>
      <c r="F666" s="63"/>
      <c r="G666" s="64"/>
      <c r="P666" s="155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</row>
    <row r="667" spans="4:29" ht="14.25" customHeight="1">
      <c r="D667" s="61"/>
      <c r="E667" s="62"/>
      <c r="F667" s="63"/>
      <c r="G667" s="64"/>
      <c r="P667" s="155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</row>
    <row r="668" spans="4:29" ht="14.25" customHeight="1">
      <c r="D668" s="61"/>
      <c r="E668" s="62"/>
      <c r="F668" s="63"/>
      <c r="G668" s="64"/>
      <c r="P668" s="155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</row>
    <row r="669" spans="4:29" ht="14.25" customHeight="1">
      <c r="D669" s="61"/>
      <c r="E669" s="62"/>
      <c r="F669" s="63"/>
      <c r="G669" s="64"/>
      <c r="P669" s="155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</row>
    <row r="670" spans="4:29" ht="14.25" customHeight="1">
      <c r="D670" s="61"/>
      <c r="E670" s="62"/>
      <c r="F670" s="63"/>
      <c r="G670" s="64"/>
      <c r="P670" s="155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</row>
    <row r="671" spans="4:29" ht="14.25" customHeight="1">
      <c r="D671" s="61"/>
      <c r="E671" s="62"/>
      <c r="F671" s="63"/>
      <c r="G671" s="64"/>
      <c r="P671" s="155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</row>
    <row r="672" spans="4:29" ht="14.25" customHeight="1">
      <c r="D672" s="61"/>
      <c r="E672" s="62"/>
      <c r="F672" s="63"/>
      <c r="G672" s="64"/>
      <c r="P672" s="155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</row>
    <row r="673" spans="4:29" ht="14.25" customHeight="1">
      <c r="D673" s="61"/>
      <c r="E673" s="62"/>
      <c r="F673" s="63"/>
      <c r="G673" s="64"/>
      <c r="P673" s="155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</row>
    <row r="674" spans="4:29" ht="14.25" customHeight="1">
      <c r="D674" s="61"/>
      <c r="E674" s="62"/>
      <c r="F674" s="63"/>
      <c r="G674" s="64"/>
      <c r="P674" s="155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</row>
    <row r="675" spans="4:29" ht="14.25" customHeight="1">
      <c r="D675" s="61"/>
      <c r="E675" s="62"/>
      <c r="F675" s="63"/>
      <c r="G675" s="64"/>
      <c r="P675" s="155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</row>
    <row r="676" spans="4:29" ht="14.25" customHeight="1">
      <c r="D676" s="61"/>
      <c r="E676" s="62"/>
      <c r="F676" s="63"/>
      <c r="G676" s="64"/>
      <c r="P676" s="155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</row>
    <row r="677" spans="4:29" ht="14.25" customHeight="1">
      <c r="D677" s="61"/>
      <c r="E677" s="62"/>
      <c r="F677" s="63"/>
      <c r="G677" s="64"/>
      <c r="P677" s="155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</row>
    <row r="678" spans="4:29" ht="14.25" customHeight="1">
      <c r="D678" s="61"/>
      <c r="E678" s="62"/>
      <c r="F678" s="63"/>
      <c r="G678" s="64"/>
      <c r="P678" s="155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</row>
    <row r="679" spans="4:29" ht="14.25" customHeight="1">
      <c r="D679" s="61"/>
      <c r="E679" s="62"/>
      <c r="F679" s="63"/>
      <c r="G679" s="64"/>
      <c r="P679" s="155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</row>
    <row r="680" spans="4:29" ht="14.25" customHeight="1">
      <c r="D680" s="61"/>
      <c r="E680" s="62"/>
      <c r="F680" s="63"/>
      <c r="G680" s="64"/>
      <c r="P680" s="155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</row>
    <row r="681" spans="4:29" ht="14.25" customHeight="1">
      <c r="D681" s="61"/>
      <c r="E681" s="62"/>
      <c r="F681" s="63"/>
      <c r="G681" s="64"/>
      <c r="P681" s="155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</row>
    <row r="682" spans="4:29" ht="14.25" customHeight="1">
      <c r="D682" s="61"/>
      <c r="E682" s="62"/>
      <c r="F682" s="63"/>
      <c r="G682" s="64"/>
      <c r="P682" s="155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</row>
    <row r="683" spans="4:29" ht="14.25" customHeight="1">
      <c r="D683" s="61"/>
      <c r="E683" s="62"/>
      <c r="F683" s="63"/>
      <c r="G683" s="64"/>
      <c r="P683" s="155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</row>
    <row r="684" spans="4:29" ht="14.25" customHeight="1">
      <c r="D684" s="61"/>
      <c r="E684" s="62"/>
      <c r="F684" s="63"/>
      <c r="G684" s="64"/>
      <c r="P684" s="155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</row>
    <row r="685" spans="4:29" ht="14.25" customHeight="1">
      <c r="D685" s="61"/>
      <c r="E685" s="62"/>
      <c r="F685" s="63"/>
      <c r="G685" s="64"/>
      <c r="P685" s="155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</row>
    <row r="686" spans="4:29" ht="14.25" customHeight="1">
      <c r="D686" s="61"/>
      <c r="E686" s="62"/>
      <c r="F686" s="63"/>
      <c r="G686" s="64"/>
      <c r="P686" s="155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</row>
    <row r="687" spans="4:29" ht="14.25" customHeight="1">
      <c r="D687" s="61"/>
      <c r="E687" s="62"/>
      <c r="F687" s="63"/>
      <c r="G687" s="64"/>
      <c r="P687" s="155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</row>
    <row r="688" spans="4:29" ht="14.25" customHeight="1">
      <c r="D688" s="61"/>
      <c r="E688" s="62"/>
      <c r="F688" s="63"/>
      <c r="G688" s="64"/>
      <c r="P688" s="155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</row>
    <row r="689" spans="4:29" ht="14.25" customHeight="1">
      <c r="D689" s="61"/>
      <c r="E689" s="62"/>
      <c r="F689" s="63"/>
      <c r="G689" s="64"/>
      <c r="P689" s="155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</row>
    <row r="690" spans="4:29" ht="14.25" customHeight="1">
      <c r="D690" s="61"/>
      <c r="E690" s="62"/>
      <c r="F690" s="63"/>
      <c r="G690" s="64"/>
      <c r="P690" s="155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</row>
    <row r="691" spans="4:29" ht="14.25" customHeight="1">
      <c r="D691" s="61"/>
      <c r="E691" s="62"/>
      <c r="F691" s="63"/>
      <c r="G691" s="64"/>
      <c r="P691" s="155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</row>
    <row r="692" spans="4:29" ht="14.25" customHeight="1">
      <c r="D692" s="61"/>
      <c r="E692" s="62"/>
      <c r="F692" s="63"/>
      <c r="G692" s="64"/>
      <c r="P692" s="155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</row>
    <row r="693" spans="4:29" ht="14.25" customHeight="1">
      <c r="D693" s="61"/>
      <c r="E693" s="62"/>
      <c r="F693" s="63"/>
      <c r="G693" s="64"/>
      <c r="P693" s="155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</row>
    <row r="694" spans="4:29" ht="14.25" customHeight="1">
      <c r="D694" s="61"/>
      <c r="E694" s="62"/>
      <c r="F694" s="63"/>
      <c r="G694" s="64"/>
      <c r="P694" s="155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</row>
    <row r="695" spans="4:29" ht="14.25" customHeight="1">
      <c r="D695" s="61"/>
      <c r="E695" s="62"/>
      <c r="F695" s="63"/>
      <c r="G695" s="64"/>
      <c r="P695" s="155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</row>
    <row r="696" spans="4:29" ht="14.25" customHeight="1">
      <c r="D696" s="61"/>
      <c r="E696" s="62"/>
      <c r="F696" s="63"/>
      <c r="G696" s="64"/>
      <c r="P696" s="155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</row>
    <row r="697" spans="4:29" ht="14.25" customHeight="1">
      <c r="D697" s="61"/>
      <c r="E697" s="62"/>
      <c r="F697" s="63"/>
      <c r="G697" s="64"/>
      <c r="P697" s="155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</row>
    <row r="698" spans="4:29" ht="14.25" customHeight="1">
      <c r="D698" s="61"/>
      <c r="E698" s="62"/>
      <c r="F698" s="63"/>
      <c r="G698" s="64"/>
      <c r="P698" s="155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</row>
    <row r="699" spans="4:29" ht="14.25" customHeight="1">
      <c r="D699" s="61"/>
      <c r="E699" s="62"/>
      <c r="F699" s="63"/>
      <c r="G699" s="64"/>
      <c r="P699" s="155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</row>
    <row r="700" spans="4:29" ht="14.25" customHeight="1">
      <c r="D700" s="61"/>
      <c r="E700" s="62"/>
      <c r="F700" s="63"/>
      <c r="G700" s="64"/>
      <c r="P700" s="155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</row>
    <row r="701" spans="4:29" ht="14.25" customHeight="1">
      <c r="D701" s="61"/>
      <c r="E701" s="62"/>
      <c r="F701" s="63"/>
      <c r="G701" s="64"/>
      <c r="P701" s="155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</row>
    <row r="702" spans="4:29" ht="14.25" customHeight="1">
      <c r="D702" s="61"/>
      <c r="E702" s="62"/>
      <c r="F702" s="63"/>
      <c r="G702" s="64"/>
      <c r="P702" s="155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</row>
    <row r="703" spans="4:29" ht="14.25" customHeight="1">
      <c r="D703" s="61"/>
      <c r="E703" s="62"/>
      <c r="F703" s="63"/>
      <c r="G703" s="64"/>
      <c r="P703" s="155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</row>
    <row r="704" spans="4:29" ht="14.25" customHeight="1">
      <c r="D704" s="61"/>
      <c r="E704" s="62"/>
      <c r="F704" s="63"/>
      <c r="G704" s="64"/>
      <c r="P704" s="155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</row>
    <row r="705" spans="4:29" ht="14.25" customHeight="1">
      <c r="D705" s="61"/>
      <c r="E705" s="62"/>
      <c r="F705" s="63"/>
      <c r="G705" s="64"/>
      <c r="P705" s="155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</row>
    <row r="706" spans="4:29" ht="14.25" customHeight="1">
      <c r="D706" s="61"/>
      <c r="E706" s="62"/>
      <c r="F706" s="63"/>
      <c r="G706" s="64"/>
      <c r="P706" s="155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</row>
    <row r="707" spans="4:29" ht="14.25" customHeight="1">
      <c r="D707" s="61"/>
      <c r="E707" s="62"/>
      <c r="F707" s="63"/>
      <c r="G707" s="64"/>
      <c r="P707" s="155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</row>
    <row r="708" spans="4:29" ht="14.25" customHeight="1">
      <c r="D708" s="61"/>
      <c r="E708" s="62"/>
      <c r="F708" s="63"/>
      <c r="G708" s="64"/>
      <c r="P708" s="155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</row>
    <row r="709" spans="4:29" ht="14.25" customHeight="1">
      <c r="D709" s="61"/>
      <c r="E709" s="62"/>
      <c r="F709" s="63"/>
      <c r="G709" s="64"/>
      <c r="P709" s="155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</row>
    <row r="710" spans="4:29" ht="14.25" customHeight="1">
      <c r="D710" s="61"/>
      <c r="E710" s="62"/>
      <c r="F710" s="63"/>
      <c r="G710" s="64"/>
      <c r="P710" s="155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</row>
    <row r="711" spans="4:29" ht="14.25" customHeight="1">
      <c r="D711" s="61"/>
      <c r="E711" s="62"/>
      <c r="F711" s="63"/>
      <c r="G711" s="64"/>
      <c r="P711" s="155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</row>
    <row r="712" spans="4:29" ht="14.25" customHeight="1">
      <c r="D712" s="61"/>
      <c r="E712" s="62"/>
      <c r="F712" s="63"/>
      <c r="G712" s="64"/>
      <c r="P712" s="155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</row>
    <row r="713" spans="4:29" ht="14.25" customHeight="1">
      <c r="D713" s="61"/>
      <c r="E713" s="62"/>
      <c r="F713" s="63"/>
      <c r="G713" s="64"/>
      <c r="P713" s="155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</row>
    <row r="714" spans="4:29" ht="14.25" customHeight="1">
      <c r="D714" s="61"/>
      <c r="E714" s="62"/>
      <c r="F714" s="63"/>
      <c r="G714" s="64"/>
      <c r="P714" s="155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</row>
    <row r="715" spans="4:29" ht="14.25" customHeight="1">
      <c r="D715" s="61"/>
      <c r="E715" s="62"/>
      <c r="F715" s="63"/>
      <c r="G715" s="64"/>
      <c r="P715" s="155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</row>
    <row r="716" spans="4:29" ht="14.25" customHeight="1">
      <c r="D716" s="61"/>
      <c r="E716" s="62"/>
      <c r="F716" s="63"/>
      <c r="G716" s="64"/>
      <c r="P716" s="155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</row>
    <row r="717" spans="4:29" ht="14.25" customHeight="1">
      <c r="D717" s="61"/>
      <c r="E717" s="62"/>
      <c r="F717" s="63"/>
      <c r="G717" s="64"/>
      <c r="P717" s="155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</row>
    <row r="718" spans="4:29" ht="14.25" customHeight="1">
      <c r="D718" s="61"/>
      <c r="E718" s="62"/>
      <c r="F718" s="63"/>
      <c r="G718" s="64"/>
      <c r="P718" s="155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</row>
    <row r="719" spans="4:29" ht="14.25" customHeight="1">
      <c r="D719" s="61"/>
      <c r="E719" s="62"/>
      <c r="F719" s="63"/>
      <c r="G719" s="64"/>
      <c r="P719" s="155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</row>
    <row r="720" spans="4:29" ht="14.25" customHeight="1">
      <c r="D720" s="61"/>
      <c r="E720" s="62"/>
      <c r="F720" s="63"/>
      <c r="G720" s="64"/>
      <c r="P720" s="155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</row>
    <row r="721" spans="4:29" ht="14.25" customHeight="1">
      <c r="D721" s="61"/>
      <c r="E721" s="62"/>
      <c r="F721" s="63"/>
      <c r="G721" s="64"/>
      <c r="P721" s="155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</row>
    <row r="722" spans="4:29" ht="14.25" customHeight="1">
      <c r="D722" s="61"/>
      <c r="E722" s="62"/>
      <c r="F722" s="63"/>
      <c r="G722" s="64"/>
      <c r="P722" s="155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</row>
    <row r="723" spans="4:29" ht="14.25" customHeight="1">
      <c r="D723" s="61"/>
      <c r="E723" s="62"/>
      <c r="F723" s="63"/>
      <c r="G723" s="64"/>
      <c r="P723" s="155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</row>
    <row r="724" spans="4:29" ht="14.25" customHeight="1">
      <c r="D724" s="61"/>
      <c r="E724" s="62"/>
      <c r="F724" s="63"/>
      <c r="G724" s="64"/>
      <c r="P724" s="155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</row>
    <row r="725" spans="4:29" ht="14.25" customHeight="1">
      <c r="D725" s="61"/>
      <c r="E725" s="62"/>
      <c r="F725" s="63"/>
      <c r="G725" s="64"/>
      <c r="P725" s="155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</row>
    <row r="726" spans="4:29" ht="14.25" customHeight="1">
      <c r="D726" s="61"/>
      <c r="E726" s="62"/>
      <c r="F726" s="63"/>
      <c r="G726" s="64"/>
      <c r="P726" s="155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</row>
    <row r="727" spans="4:29" ht="14.25" customHeight="1">
      <c r="D727" s="61"/>
      <c r="E727" s="62"/>
      <c r="F727" s="63"/>
      <c r="G727" s="64"/>
      <c r="P727" s="155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</row>
    <row r="728" spans="4:29" ht="14.25" customHeight="1">
      <c r="D728" s="61"/>
      <c r="E728" s="62"/>
      <c r="F728" s="63"/>
      <c r="G728" s="64"/>
      <c r="P728" s="155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</row>
    <row r="729" spans="4:29" ht="14.25" customHeight="1">
      <c r="D729" s="61"/>
      <c r="E729" s="62"/>
      <c r="F729" s="63"/>
      <c r="G729" s="64"/>
      <c r="P729" s="155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</row>
    <row r="730" spans="4:29" ht="14.25" customHeight="1">
      <c r="D730" s="61"/>
      <c r="E730" s="62"/>
      <c r="F730" s="63"/>
      <c r="G730" s="64"/>
      <c r="P730" s="155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</row>
    <row r="731" spans="4:29" ht="14.25" customHeight="1">
      <c r="D731" s="61"/>
      <c r="E731" s="62"/>
      <c r="F731" s="63"/>
      <c r="G731" s="64"/>
      <c r="P731" s="155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</row>
    <row r="732" spans="4:29" ht="14.25" customHeight="1">
      <c r="D732" s="61"/>
      <c r="E732" s="62"/>
      <c r="F732" s="63"/>
      <c r="G732" s="64"/>
      <c r="P732" s="155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</row>
    <row r="733" spans="4:29" ht="14.25" customHeight="1">
      <c r="D733" s="61"/>
      <c r="E733" s="62"/>
      <c r="F733" s="63"/>
      <c r="G733" s="64"/>
      <c r="P733" s="155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</row>
    <row r="734" spans="4:29" ht="14.25" customHeight="1">
      <c r="D734" s="61"/>
      <c r="E734" s="62"/>
      <c r="F734" s="63"/>
      <c r="G734" s="64"/>
      <c r="P734" s="155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</row>
    <row r="735" spans="4:29" ht="14.25" customHeight="1">
      <c r="D735" s="61"/>
      <c r="E735" s="62"/>
      <c r="F735" s="63"/>
      <c r="G735" s="64"/>
      <c r="P735" s="155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</row>
    <row r="736" spans="4:29" ht="14.25" customHeight="1">
      <c r="D736" s="61"/>
      <c r="E736" s="62"/>
      <c r="F736" s="63"/>
      <c r="G736" s="64"/>
      <c r="P736" s="155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</row>
    <row r="737" spans="4:29" ht="14.25" customHeight="1">
      <c r="D737" s="61"/>
      <c r="E737" s="62"/>
      <c r="F737" s="63"/>
      <c r="G737" s="64"/>
      <c r="P737" s="155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</row>
    <row r="738" spans="4:29" ht="14.25" customHeight="1">
      <c r="D738" s="61"/>
      <c r="E738" s="62"/>
      <c r="F738" s="63"/>
      <c r="G738" s="64"/>
      <c r="P738" s="155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</row>
    <row r="739" spans="4:29" ht="14.25" customHeight="1">
      <c r="D739" s="61"/>
      <c r="E739" s="62"/>
      <c r="F739" s="63"/>
      <c r="G739" s="64"/>
      <c r="P739" s="155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</row>
    <row r="740" spans="4:29" ht="14.25" customHeight="1">
      <c r="D740" s="61"/>
      <c r="E740" s="62"/>
      <c r="F740" s="63"/>
      <c r="G740" s="64"/>
      <c r="P740" s="155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</row>
    <row r="741" spans="4:29" ht="14.25" customHeight="1">
      <c r="D741" s="61"/>
      <c r="E741" s="62"/>
      <c r="F741" s="63"/>
      <c r="G741" s="64"/>
      <c r="P741" s="155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</row>
    <row r="742" spans="4:29" ht="14.25" customHeight="1">
      <c r="D742" s="61"/>
      <c r="E742" s="62"/>
      <c r="F742" s="63"/>
      <c r="G742" s="64"/>
      <c r="P742" s="155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</row>
    <row r="743" spans="4:29" ht="14.25" customHeight="1">
      <c r="D743" s="61"/>
      <c r="E743" s="62"/>
      <c r="F743" s="63"/>
      <c r="G743" s="64"/>
      <c r="P743" s="155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</row>
    <row r="744" spans="4:29" ht="14.25" customHeight="1">
      <c r="D744" s="61"/>
      <c r="E744" s="62"/>
      <c r="F744" s="63"/>
      <c r="G744" s="64"/>
      <c r="P744" s="155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</row>
    <row r="745" spans="4:29" ht="14.25" customHeight="1">
      <c r="D745" s="61"/>
      <c r="E745" s="62"/>
      <c r="F745" s="63"/>
      <c r="G745" s="64"/>
      <c r="P745" s="155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</row>
    <row r="746" spans="4:29" ht="14.25" customHeight="1">
      <c r="D746" s="61"/>
      <c r="E746" s="62"/>
      <c r="F746" s="63"/>
      <c r="G746" s="64"/>
      <c r="P746" s="155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</row>
    <row r="747" spans="4:29" ht="14.25" customHeight="1">
      <c r="D747" s="61"/>
      <c r="E747" s="62"/>
      <c r="F747" s="63"/>
      <c r="G747" s="64"/>
      <c r="P747" s="155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</row>
    <row r="748" spans="4:29" ht="14.25" customHeight="1">
      <c r="D748" s="61"/>
      <c r="E748" s="62"/>
      <c r="F748" s="63"/>
      <c r="G748" s="64"/>
      <c r="P748" s="155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</row>
    <row r="749" spans="4:29" ht="14.25" customHeight="1">
      <c r="D749" s="61"/>
      <c r="E749" s="62"/>
      <c r="F749" s="63"/>
      <c r="G749" s="64"/>
      <c r="P749" s="155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</row>
    <row r="750" spans="4:29" ht="14.25" customHeight="1">
      <c r="D750" s="61"/>
      <c r="E750" s="62"/>
      <c r="F750" s="63"/>
      <c r="G750" s="64"/>
      <c r="P750" s="155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</row>
    <row r="751" spans="4:29" ht="14.25" customHeight="1">
      <c r="D751" s="61"/>
      <c r="E751" s="62"/>
      <c r="F751" s="63"/>
      <c r="G751" s="64"/>
      <c r="P751" s="155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</row>
    <row r="752" spans="4:29" ht="14.25" customHeight="1">
      <c r="D752" s="61"/>
      <c r="E752" s="62"/>
      <c r="F752" s="63"/>
      <c r="G752" s="64"/>
      <c r="P752" s="155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</row>
    <row r="753" spans="4:29" ht="14.25" customHeight="1">
      <c r="D753" s="61"/>
      <c r="E753" s="62"/>
      <c r="F753" s="63"/>
      <c r="G753" s="64"/>
      <c r="P753" s="155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</row>
    <row r="754" spans="4:29" ht="14.25" customHeight="1">
      <c r="D754" s="61"/>
      <c r="E754" s="62"/>
      <c r="F754" s="63"/>
      <c r="G754" s="64"/>
      <c r="P754" s="155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</row>
    <row r="755" spans="4:29" ht="14.25" customHeight="1">
      <c r="D755" s="61"/>
      <c r="E755" s="62"/>
      <c r="F755" s="63"/>
      <c r="G755" s="64"/>
      <c r="P755" s="155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</row>
    <row r="756" spans="4:29" ht="14.25" customHeight="1">
      <c r="D756" s="61"/>
      <c r="E756" s="62"/>
      <c r="F756" s="63"/>
      <c r="G756" s="64"/>
      <c r="P756" s="155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</row>
    <row r="757" spans="4:29" ht="14.25" customHeight="1">
      <c r="D757" s="61"/>
      <c r="E757" s="62"/>
      <c r="F757" s="63"/>
      <c r="G757" s="64"/>
      <c r="P757" s="155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</row>
    <row r="758" spans="4:29" ht="14.25" customHeight="1">
      <c r="D758" s="61"/>
      <c r="E758" s="62"/>
      <c r="F758" s="63"/>
      <c r="G758" s="64"/>
      <c r="P758" s="155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</row>
    <row r="759" spans="4:29" ht="14.25" customHeight="1">
      <c r="D759" s="61"/>
      <c r="E759" s="62"/>
      <c r="F759" s="63"/>
      <c r="G759" s="64"/>
      <c r="P759" s="155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</row>
    <row r="760" spans="4:29" ht="14.25" customHeight="1">
      <c r="D760" s="61"/>
      <c r="E760" s="62"/>
      <c r="F760" s="63"/>
      <c r="G760" s="64"/>
      <c r="P760" s="155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</row>
    <row r="761" spans="4:29" ht="14.25" customHeight="1">
      <c r="D761" s="61"/>
      <c r="E761" s="62"/>
      <c r="F761" s="63"/>
      <c r="G761" s="64"/>
      <c r="P761" s="155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</row>
    <row r="762" spans="4:29" ht="14.25" customHeight="1">
      <c r="D762" s="61"/>
      <c r="E762" s="62"/>
      <c r="F762" s="63"/>
      <c r="G762" s="64"/>
      <c r="P762" s="155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</row>
    <row r="763" spans="4:29" ht="14.25" customHeight="1">
      <c r="D763" s="61"/>
      <c r="E763" s="62"/>
      <c r="F763" s="63"/>
      <c r="G763" s="64"/>
      <c r="P763" s="155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</row>
    <row r="764" spans="4:29" ht="14.25" customHeight="1">
      <c r="D764" s="61"/>
      <c r="E764" s="62"/>
      <c r="F764" s="63"/>
      <c r="G764" s="64"/>
      <c r="P764" s="155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</row>
    <row r="765" spans="4:29" ht="14.25" customHeight="1">
      <c r="D765" s="61"/>
      <c r="E765" s="62"/>
      <c r="F765" s="63"/>
      <c r="G765" s="64"/>
      <c r="P765" s="155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</row>
    <row r="766" spans="4:29" ht="14.25" customHeight="1">
      <c r="D766" s="61"/>
      <c r="E766" s="62"/>
      <c r="F766" s="63"/>
      <c r="G766" s="64"/>
      <c r="P766" s="155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</row>
    <row r="767" spans="4:29" ht="14.25" customHeight="1">
      <c r="D767" s="61"/>
      <c r="E767" s="62"/>
      <c r="F767" s="63"/>
      <c r="G767" s="64"/>
      <c r="P767" s="155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</row>
    <row r="768" spans="4:29" ht="14.25" customHeight="1">
      <c r="D768" s="61"/>
      <c r="E768" s="62"/>
      <c r="F768" s="63"/>
      <c r="G768" s="64"/>
      <c r="P768" s="155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</row>
    <row r="769" spans="4:29" ht="14.25" customHeight="1">
      <c r="D769" s="61"/>
      <c r="E769" s="62"/>
      <c r="F769" s="63"/>
      <c r="G769" s="64"/>
      <c r="P769" s="155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</row>
    <row r="770" spans="4:29" ht="14.25" customHeight="1">
      <c r="D770" s="61"/>
      <c r="E770" s="62"/>
      <c r="F770" s="63"/>
      <c r="G770" s="64"/>
      <c r="P770" s="155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</row>
    <row r="771" spans="4:29" ht="14.25" customHeight="1">
      <c r="D771" s="61"/>
      <c r="E771" s="62"/>
      <c r="F771" s="63"/>
      <c r="G771" s="64"/>
      <c r="P771" s="155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</row>
    <row r="772" spans="4:29" ht="14.25" customHeight="1">
      <c r="D772" s="61"/>
      <c r="E772" s="62"/>
      <c r="F772" s="63"/>
      <c r="G772" s="64"/>
      <c r="P772" s="155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</row>
    <row r="773" spans="4:29" ht="14.25" customHeight="1">
      <c r="D773" s="61"/>
      <c r="E773" s="62"/>
      <c r="F773" s="63"/>
      <c r="G773" s="64"/>
      <c r="P773" s="155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</row>
    <row r="774" spans="4:29" ht="14.25" customHeight="1">
      <c r="D774" s="61"/>
      <c r="E774" s="62"/>
      <c r="F774" s="63"/>
      <c r="G774" s="64"/>
      <c r="P774" s="155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</row>
    <row r="775" spans="4:29" ht="14.25" customHeight="1">
      <c r="D775" s="61"/>
      <c r="E775" s="62"/>
      <c r="F775" s="63"/>
      <c r="G775" s="64"/>
      <c r="P775" s="155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</row>
    <row r="776" spans="4:29" ht="14.25" customHeight="1">
      <c r="D776" s="61"/>
      <c r="E776" s="62"/>
      <c r="F776" s="63"/>
      <c r="G776" s="64"/>
      <c r="P776" s="155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</row>
    <row r="777" spans="4:29" ht="14.25" customHeight="1">
      <c r="D777" s="61"/>
      <c r="E777" s="62"/>
      <c r="F777" s="63"/>
      <c r="G777" s="64"/>
      <c r="P777" s="155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</row>
    <row r="778" spans="4:29" ht="14.25" customHeight="1">
      <c r="D778" s="61"/>
      <c r="E778" s="62"/>
      <c r="F778" s="63"/>
      <c r="G778" s="64"/>
      <c r="P778" s="155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</row>
    <row r="779" spans="4:29" ht="14.25" customHeight="1">
      <c r="D779" s="61"/>
      <c r="E779" s="62"/>
      <c r="F779" s="63"/>
      <c r="G779" s="64"/>
      <c r="P779" s="155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</row>
    <row r="780" spans="4:29" ht="14.25" customHeight="1">
      <c r="D780" s="61"/>
      <c r="E780" s="62"/>
      <c r="F780" s="63"/>
      <c r="G780" s="64"/>
      <c r="P780" s="155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</row>
    <row r="781" spans="4:29" ht="14.25" customHeight="1">
      <c r="D781" s="61"/>
      <c r="E781" s="62"/>
      <c r="F781" s="63"/>
      <c r="G781" s="64"/>
      <c r="P781" s="155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</row>
    <row r="782" spans="4:29" ht="14.25" customHeight="1">
      <c r="D782" s="61"/>
      <c r="E782" s="62"/>
      <c r="F782" s="63"/>
      <c r="G782" s="64"/>
      <c r="P782" s="155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</row>
    <row r="783" spans="4:29" ht="14.25" customHeight="1">
      <c r="D783" s="61"/>
      <c r="E783" s="62"/>
      <c r="F783" s="63"/>
      <c r="G783" s="64"/>
      <c r="P783" s="155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</row>
    <row r="784" spans="4:29" ht="14.25" customHeight="1">
      <c r="D784" s="61"/>
      <c r="E784" s="62"/>
      <c r="F784" s="63"/>
      <c r="G784" s="64"/>
      <c r="P784" s="155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</row>
    <row r="785" spans="4:29" ht="14.25" customHeight="1">
      <c r="D785" s="61"/>
      <c r="E785" s="62"/>
      <c r="F785" s="63"/>
      <c r="G785" s="64"/>
      <c r="P785" s="155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</row>
    <row r="786" spans="4:29" ht="14.25" customHeight="1">
      <c r="D786" s="61"/>
      <c r="E786" s="62"/>
      <c r="F786" s="63"/>
      <c r="G786" s="64"/>
      <c r="P786" s="155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</row>
    <row r="787" spans="4:29" ht="14.25" customHeight="1">
      <c r="D787" s="61"/>
      <c r="E787" s="62"/>
      <c r="F787" s="63"/>
      <c r="G787" s="64"/>
      <c r="P787" s="155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</row>
    <row r="788" spans="4:29" ht="14.25" customHeight="1">
      <c r="D788" s="61"/>
      <c r="E788" s="62"/>
      <c r="F788" s="63"/>
      <c r="G788" s="64"/>
      <c r="P788" s="155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</row>
    <row r="789" spans="4:29" ht="14.25" customHeight="1">
      <c r="D789" s="61"/>
      <c r="E789" s="62"/>
      <c r="F789" s="63"/>
      <c r="G789" s="64"/>
      <c r="P789" s="155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</row>
    <row r="790" spans="4:29" ht="14.25" customHeight="1">
      <c r="D790" s="61"/>
      <c r="E790" s="62"/>
      <c r="F790" s="63"/>
      <c r="G790" s="64"/>
      <c r="P790" s="155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</row>
    <row r="791" spans="4:29" ht="14.25" customHeight="1">
      <c r="D791" s="61"/>
      <c r="E791" s="62"/>
      <c r="F791" s="63"/>
      <c r="G791" s="64"/>
      <c r="P791" s="155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</row>
    <row r="792" spans="4:29" ht="14.25" customHeight="1">
      <c r="D792" s="61"/>
      <c r="E792" s="62"/>
      <c r="F792" s="63"/>
      <c r="G792" s="64"/>
      <c r="P792" s="155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</row>
    <row r="793" spans="4:29" ht="14.25" customHeight="1">
      <c r="D793" s="61"/>
      <c r="E793" s="62"/>
      <c r="F793" s="63"/>
      <c r="G793" s="64"/>
      <c r="P793" s="155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</row>
    <row r="794" spans="4:29" ht="14.25" customHeight="1">
      <c r="D794" s="61"/>
      <c r="E794" s="62"/>
      <c r="F794" s="63"/>
      <c r="G794" s="64"/>
      <c r="P794" s="155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</row>
    <row r="795" spans="4:29" ht="14.25" customHeight="1">
      <c r="D795" s="61"/>
      <c r="E795" s="62"/>
      <c r="F795" s="63"/>
      <c r="G795" s="64"/>
      <c r="P795" s="155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</row>
    <row r="796" spans="4:29" ht="14.25" customHeight="1">
      <c r="D796" s="61"/>
      <c r="E796" s="62"/>
      <c r="F796" s="63"/>
      <c r="G796" s="64"/>
      <c r="P796" s="155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</row>
    <row r="797" spans="4:29" ht="14.25" customHeight="1">
      <c r="D797" s="61"/>
      <c r="E797" s="62"/>
      <c r="F797" s="63"/>
      <c r="G797" s="64"/>
      <c r="P797" s="155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</row>
    <row r="798" spans="4:29" ht="14.25" customHeight="1">
      <c r="D798" s="61"/>
      <c r="E798" s="62"/>
      <c r="F798" s="63"/>
      <c r="G798" s="64"/>
      <c r="P798" s="155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</row>
    <row r="799" spans="4:29" ht="14.25" customHeight="1">
      <c r="D799" s="61"/>
      <c r="E799" s="62"/>
      <c r="F799" s="63"/>
      <c r="G799" s="64"/>
      <c r="P799" s="155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</row>
    <row r="800" spans="4:29" ht="14.25" customHeight="1">
      <c r="D800" s="61"/>
      <c r="E800" s="62"/>
      <c r="F800" s="63"/>
      <c r="G800" s="64"/>
      <c r="P800" s="155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</row>
    <row r="801" spans="4:29" ht="14.25" customHeight="1">
      <c r="D801" s="61"/>
      <c r="E801" s="62"/>
      <c r="F801" s="63"/>
      <c r="G801" s="64"/>
      <c r="P801" s="155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</row>
    <row r="802" spans="4:29" ht="14.25" customHeight="1">
      <c r="D802" s="61"/>
      <c r="E802" s="62"/>
      <c r="F802" s="63"/>
      <c r="G802" s="64"/>
      <c r="P802" s="155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</row>
    <row r="803" spans="4:29" ht="14.25" customHeight="1">
      <c r="D803" s="61"/>
      <c r="E803" s="62"/>
      <c r="F803" s="63"/>
      <c r="G803" s="64"/>
      <c r="P803" s="155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</row>
    <row r="804" spans="4:29" ht="14.25" customHeight="1">
      <c r="D804" s="61"/>
      <c r="E804" s="62"/>
      <c r="F804" s="63"/>
      <c r="G804" s="64"/>
      <c r="P804" s="155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</row>
    <row r="805" spans="4:29" ht="14.25" customHeight="1">
      <c r="D805" s="61"/>
      <c r="E805" s="62"/>
      <c r="F805" s="63"/>
      <c r="G805" s="64"/>
      <c r="P805" s="155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</row>
    <row r="806" spans="4:29" ht="14.25" customHeight="1">
      <c r="D806" s="61"/>
      <c r="E806" s="62"/>
      <c r="F806" s="63"/>
      <c r="G806" s="64"/>
      <c r="P806" s="155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</row>
    <row r="807" spans="4:29" ht="14.25" customHeight="1">
      <c r="D807" s="61"/>
      <c r="E807" s="62"/>
      <c r="F807" s="63"/>
      <c r="G807" s="64"/>
      <c r="P807" s="155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</row>
    <row r="808" spans="4:29" ht="14.25" customHeight="1">
      <c r="D808" s="61"/>
      <c r="E808" s="62"/>
      <c r="F808" s="63"/>
      <c r="G808" s="64"/>
      <c r="P808" s="155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</row>
    <row r="809" spans="4:29" ht="14.25" customHeight="1">
      <c r="D809" s="61"/>
      <c r="E809" s="62"/>
      <c r="F809" s="63"/>
      <c r="G809" s="64"/>
      <c r="P809" s="155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</row>
    <row r="810" spans="4:29" ht="14.25" customHeight="1">
      <c r="D810" s="61"/>
      <c r="E810" s="62"/>
      <c r="F810" s="63"/>
      <c r="G810" s="64"/>
      <c r="P810" s="155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</row>
    <row r="811" spans="4:29" ht="14.25" customHeight="1">
      <c r="D811" s="61"/>
      <c r="E811" s="62"/>
      <c r="F811" s="63"/>
      <c r="G811" s="64"/>
      <c r="P811" s="155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</row>
    <row r="812" spans="4:29" ht="14.25" customHeight="1">
      <c r="D812" s="61"/>
      <c r="E812" s="62"/>
      <c r="F812" s="63"/>
      <c r="G812" s="64"/>
      <c r="P812" s="155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</row>
    <row r="813" spans="4:29" ht="14.25" customHeight="1">
      <c r="D813" s="61"/>
      <c r="E813" s="62"/>
      <c r="F813" s="63"/>
      <c r="G813" s="64"/>
      <c r="P813" s="155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</row>
    <row r="814" spans="4:29" ht="14.25" customHeight="1">
      <c r="D814" s="61"/>
      <c r="E814" s="62"/>
      <c r="F814" s="63"/>
      <c r="G814" s="64"/>
      <c r="P814" s="155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</row>
    <row r="815" spans="4:29" ht="14.25" customHeight="1">
      <c r="D815" s="61"/>
      <c r="E815" s="62"/>
      <c r="F815" s="63"/>
      <c r="G815" s="64"/>
      <c r="P815" s="155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</row>
    <row r="816" spans="4:29" ht="14.25" customHeight="1">
      <c r="D816" s="61"/>
      <c r="E816" s="62"/>
      <c r="F816" s="63"/>
      <c r="G816" s="64"/>
      <c r="P816" s="155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</row>
    <row r="817" spans="4:29" ht="14.25" customHeight="1">
      <c r="D817" s="61"/>
      <c r="E817" s="62"/>
      <c r="F817" s="63"/>
      <c r="G817" s="64"/>
      <c r="P817" s="155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</row>
    <row r="818" spans="4:29" ht="14.25" customHeight="1">
      <c r="D818" s="61"/>
      <c r="E818" s="62"/>
      <c r="F818" s="63"/>
      <c r="G818" s="64"/>
      <c r="P818" s="155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</row>
    <row r="819" spans="4:29" ht="14.25" customHeight="1">
      <c r="D819" s="61"/>
      <c r="E819" s="62"/>
      <c r="F819" s="63"/>
      <c r="G819" s="64"/>
      <c r="P819" s="155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</row>
    <row r="820" spans="4:29" ht="14.25" customHeight="1">
      <c r="D820" s="61"/>
      <c r="E820" s="62"/>
      <c r="F820" s="63"/>
      <c r="G820" s="64"/>
      <c r="P820" s="155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</row>
    <row r="821" spans="4:29" ht="14.25" customHeight="1">
      <c r="D821" s="61"/>
      <c r="E821" s="62"/>
      <c r="F821" s="63"/>
      <c r="G821" s="64"/>
      <c r="P821" s="155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</row>
    <row r="822" spans="4:29" ht="14.25" customHeight="1">
      <c r="D822" s="61"/>
      <c r="E822" s="62"/>
      <c r="F822" s="63"/>
      <c r="G822" s="64"/>
      <c r="P822" s="155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</row>
    <row r="823" spans="4:29" ht="14.25" customHeight="1">
      <c r="D823" s="61"/>
      <c r="E823" s="62"/>
      <c r="F823" s="63"/>
      <c r="G823" s="64"/>
      <c r="P823" s="155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</row>
    <row r="824" spans="4:29" ht="14.25" customHeight="1">
      <c r="D824" s="61"/>
      <c r="E824" s="62"/>
      <c r="F824" s="63"/>
      <c r="G824" s="64"/>
      <c r="P824" s="155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</row>
    <row r="825" spans="4:29" ht="14.25" customHeight="1">
      <c r="D825" s="61"/>
      <c r="E825" s="62"/>
      <c r="F825" s="63"/>
      <c r="G825" s="64"/>
      <c r="P825" s="155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</row>
    <row r="826" spans="4:29" ht="14.25" customHeight="1">
      <c r="D826" s="61"/>
      <c r="E826" s="62"/>
      <c r="F826" s="63"/>
      <c r="G826" s="64"/>
      <c r="P826" s="155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</row>
    <row r="827" spans="4:29" ht="14.25" customHeight="1">
      <c r="D827" s="61"/>
      <c r="E827" s="62"/>
      <c r="F827" s="63"/>
      <c r="G827" s="64"/>
      <c r="P827" s="155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</row>
    <row r="828" spans="4:29" ht="14.25" customHeight="1">
      <c r="D828" s="61"/>
      <c r="E828" s="62"/>
      <c r="F828" s="63"/>
      <c r="G828" s="64"/>
      <c r="P828" s="155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</row>
    <row r="829" spans="4:29" ht="14.25" customHeight="1">
      <c r="D829" s="61"/>
      <c r="E829" s="62"/>
      <c r="F829" s="63"/>
      <c r="G829" s="64"/>
      <c r="P829" s="155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</row>
    <row r="830" spans="4:29" ht="14.25" customHeight="1">
      <c r="D830" s="61"/>
      <c r="E830" s="62"/>
      <c r="F830" s="63"/>
      <c r="G830" s="64"/>
      <c r="P830" s="155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</row>
    <row r="831" spans="4:29" ht="14.25" customHeight="1">
      <c r="D831" s="61"/>
      <c r="E831" s="62"/>
      <c r="F831" s="63"/>
      <c r="G831" s="64"/>
      <c r="P831" s="155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</row>
    <row r="832" spans="4:29" ht="14.25" customHeight="1">
      <c r="D832" s="61"/>
      <c r="E832" s="62"/>
      <c r="F832" s="63"/>
      <c r="G832" s="64"/>
      <c r="P832" s="155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</row>
    <row r="833" spans="4:29" ht="14.25" customHeight="1">
      <c r="D833" s="61"/>
      <c r="E833" s="62"/>
      <c r="F833" s="63"/>
      <c r="G833" s="64"/>
      <c r="P833" s="155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</row>
    <row r="834" spans="4:29" ht="14.25" customHeight="1">
      <c r="D834" s="61"/>
      <c r="E834" s="62"/>
      <c r="F834" s="63"/>
      <c r="G834" s="64"/>
      <c r="P834" s="155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</row>
    <row r="835" spans="4:29" ht="14.25" customHeight="1">
      <c r="D835" s="61"/>
      <c r="E835" s="62"/>
      <c r="F835" s="63"/>
      <c r="G835" s="64"/>
      <c r="P835" s="155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</row>
    <row r="836" spans="4:29" ht="14.25" customHeight="1">
      <c r="D836" s="61"/>
      <c r="E836" s="62"/>
      <c r="F836" s="63"/>
      <c r="G836" s="64"/>
      <c r="P836" s="155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</row>
    <row r="837" spans="4:29" ht="14.25" customHeight="1">
      <c r="D837" s="61"/>
      <c r="E837" s="62"/>
      <c r="F837" s="63"/>
      <c r="G837" s="64"/>
      <c r="P837" s="155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</row>
    <row r="838" spans="4:29" ht="14.25" customHeight="1">
      <c r="D838" s="61"/>
      <c r="E838" s="62"/>
      <c r="F838" s="63"/>
      <c r="G838" s="64"/>
      <c r="P838" s="155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</row>
    <row r="839" spans="4:29" ht="14.25" customHeight="1">
      <c r="D839" s="61"/>
      <c r="E839" s="62"/>
      <c r="F839" s="63"/>
      <c r="G839" s="64"/>
      <c r="P839" s="155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</row>
    <row r="840" spans="4:29" ht="14.25" customHeight="1">
      <c r="D840" s="61"/>
      <c r="E840" s="62"/>
      <c r="F840" s="63"/>
      <c r="G840" s="64"/>
      <c r="P840" s="155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</row>
    <row r="841" spans="4:29" ht="14.25" customHeight="1">
      <c r="D841" s="61"/>
      <c r="E841" s="62"/>
      <c r="F841" s="63"/>
      <c r="G841" s="64"/>
      <c r="P841" s="155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</row>
    <row r="842" spans="4:29" ht="14.25" customHeight="1">
      <c r="D842" s="61"/>
      <c r="E842" s="62"/>
      <c r="F842" s="63"/>
      <c r="G842" s="64"/>
      <c r="P842" s="155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</row>
    <row r="843" spans="4:29" ht="14.25" customHeight="1">
      <c r="D843" s="61"/>
      <c r="E843" s="62"/>
      <c r="F843" s="63"/>
      <c r="G843" s="64"/>
      <c r="P843" s="155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</row>
    <row r="844" spans="4:29" ht="14.25" customHeight="1">
      <c r="D844" s="61"/>
      <c r="E844" s="62"/>
      <c r="F844" s="63"/>
      <c r="G844" s="64"/>
      <c r="P844" s="155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</row>
    <row r="845" spans="4:29" ht="14.25" customHeight="1">
      <c r="D845" s="61"/>
      <c r="E845" s="62"/>
      <c r="F845" s="63"/>
      <c r="G845" s="64"/>
      <c r="P845" s="155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</row>
    <row r="846" spans="4:29" ht="14.25" customHeight="1">
      <c r="D846" s="61"/>
      <c r="E846" s="62"/>
      <c r="F846" s="63"/>
      <c r="G846" s="64"/>
      <c r="P846" s="155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</row>
    <row r="847" spans="4:29" ht="14.25" customHeight="1">
      <c r="D847" s="61"/>
      <c r="E847" s="62"/>
      <c r="F847" s="63"/>
      <c r="G847" s="64"/>
      <c r="P847" s="155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</row>
    <row r="848" spans="4:29" ht="14.25" customHeight="1">
      <c r="D848" s="61"/>
      <c r="E848" s="62"/>
      <c r="F848" s="63"/>
      <c r="G848" s="64"/>
      <c r="P848" s="155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</row>
    <row r="849" spans="4:29" ht="14.25" customHeight="1">
      <c r="D849" s="61"/>
      <c r="E849" s="62"/>
      <c r="F849" s="63"/>
      <c r="G849" s="64"/>
      <c r="P849" s="155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</row>
    <row r="850" spans="4:29" ht="14.25" customHeight="1">
      <c r="D850" s="61"/>
      <c r="E850" s="62"/>
      <c r="F850" s="63"/>
      <c r="G850" s="64"/>
      <c r="P850" s="155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</row>
    <row r="851" spans="4:29" ht="14.25" customHeight="1">
      <c r="D851" s="61"/>
      <c r="E851" s="62"/>
      <c r="F851" s="63"/>
      <c r="G851" s="64"/>
      <c r="P851" s="155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</row>
    <row r="852" spans="4:29" ht="14.25" customHeight="1">
      <c r="D852" s="61"/>
      <c r="E852" s="62"/>
      <c r="F852" s="63"/>
      <c r="G852" s="64"/>
      <c r="P852" s="155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</row>
    <row r="853" spans="4:29" ht="14.25" customHeight="1">
      <c r="D853" s="61"/>
      <c r="E853" s="62"/>
      <c r="F853" s="63"/>
      <c r="G853" s="64"/>
      <c r="P853" s="155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</row>
    <row r="854" spans="4:29" ht="14.25" customHeight="1">
      <c r="D854" s="61"/>
      <c r="E854" s="62"/>
      <c r="F854" s="63"/>
      <c r="G854" s="64"/>
      <c r="P854" s="155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</row>
    <row r="855" spans="4:29" ht="14.25" customHeight="1">
      <c r="D855" s="61"/>
      <c r="E855" s="62"/>
      <c r="F855" s="63"/>
      <c r="G855" s="64"/>
      <c r="P855" s="155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</row>
    <row r="856" spans="4:29" ht="14.25" customHeight="1">
      <c r="D856" s="61"/>
      <c r="E856" s="62"/>
      <c r="F856" s="63"/>
      <c r="G856" s="64"/>
      <c r="P856" s="155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</row>
    <row r="857" spans="4:29" ht="14.25" customHeight="1">
      <c r="D857" s="61"/>
      <c r="E857" s="62"/>
      <c r="F857" s="63"/>
      <c r="G857" s="64"/>
      <c r="P857" s="155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</row>
    <row r="858" spans="4:29" ht="14.25" customHeight="1">
      <c r="D858" s="61"/>
      <c r="E858" s="62"/>
      <c r="F858" s="63"/>
      <c r="G858" s="64"/>
      <c r="P858" s="155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</row>
    <row r="859" spans="4:29" ht="14.25" customHeight="1">
      <c r="D859" s="61"/>
      <c r="E859" s="62"/>
      <c r="F859" s="63"/>
      <c r="G859" s="64"/>
      <c r="P859" s="155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</row>
    <row r="860" spans="4:29" ht="14.25" customHeight="1">
      <c r="D860" s="61"/>
      <c r="E860" s="62"/>
      <c r="F860" s="63"/>
      <c r="G860" s="64"/>
      <c r="P860" s="155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</row>
    <row r="861" spans="4:29" ht="14.25" customHeight="1">
      <c r="D861" s="61"/>
      <c r="E861" s="62"/>
      <c r="F861" s="63"/>
      <c r="G861" s="64"/>
      <c r="P861" s="155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</row>
    <row r="862" spans="4:29" ht="14.25" customHeight="1">
      <c r="D862" s="61"/>
      <c r="E862" s="62"/>
      <c r="F862" s="63"/>
      <c r="G862" s="64"/>
      <c r="P862" s="155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</row>
    <row r="863" spans="4:29" ht="14.25" customHeight="1">
      <c r="D863" s="61"/>
      <c r="E863" s="62"/>
      <c r="F863" s="63"/>
      <c r="G863" s="64"/>
      <c r="P863" s="155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</row>
    <row r="864" spans="4:29" ht="14.25" customHeight="1">
      <c r="D864" s="61"/>
      <c r="E864" s="62"/>
      <c r="F864" s="63"/>
      <c r="G864" s="64"/>
      <c r="P864" s="155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</row>
    <row r="865" spans="4:29" ht="14.25" customHeight="1">
      <c r="D865" s="61"/>
      <c r="E865" s="62"/>
      <c r="F865" s="63"/>
      <c r="G865" s="64"/>
      <c r="P865" s="155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</row>
    <row r="866" spans="4:29" ht="14.25" customHeight="1">
      <c r="D866" s="61"/>
      <c r="E866" s="62"/>
      <c r="F866" s="63"/>
      <c r="G866" s="64"/>
      <c r="P866" s="155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</row>
    <row r="867" spans="4:29" ht="14.25" customHeight="1">
      <c r="D867" s="61"/>
      <c r="E867" s="62"/>
      <c r="F867" s="63"/>
      <c r="G867" s="64"/>
      <c r="P867" s="155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</row>
    <row r="868" spans="4:29" ht="14.25" customHeight="1">
      <c r="D868" s="61"/>
      <c r="E868" s="62"/>
      <c r="F868" s="63"/>
      <c r="G868" s="64"/>
      <c r="P868" s="155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</row>
    <row r="869" spans="4:29" ht="14.25" customHeight="1">
      <c r="D869" s="61"/>
      <c r="E869" s="62"/>
      <c r="F869" s="63"/>
      <c r="G869" s="64"/>
      <c r="P869" s="155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</row>
    <row r="870" spans="4:29" ht="14.25" customHeight="1">
      <c r="D870" s="61"/>
      <c r="E870" s="62"/>
      <c r="F870" s="63"/>
      <c r="G870" s="64"/>
      <c r="P870" s="155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</row>
    <row r="871" spans="4:29" ht="14.25" customHeight="1">
      <c r="D871" s="61"/>
      <c r="E871" s="62"/>
      <c r="F871" s="63"/>
      <c r="G871" s="64"/>
      <c r="P871" s="155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</row>
    <row r="872" spans="4:29" ht="14.25" customHeight="1">
      <c r="D872" s="61"/>
      <c r="E872" s="62"/>
      <c r="F872" s="63"/>
      <c r="G872" s="64"/>
      <c r="P872" s="155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</row>
    <row r="873" spans="4:29" ht="14.25" customHeight="1">
      <c r="D873" s="61"/>
      <c r="E873" s="62"/>
      <c r="F873" s="63"/>
      <c r="G873" s="64"/>
      <c r="P873" s="155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</row>
    <row r="874" spans="4:29" ht="14.25" customHeight="1">
      <c r="D874" s="61"/>
      <c r="E874" s="62"/>
      <c r="F874" s="63"/>
      <c r="G874" s="64"/>
      <c r="P874" s="155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</row>
    <row r="875" spans="4:29" ht="14.25" customHeight="1">
      <c r="D875" s="61"/>
      <c r="E875" s="62"/>
      <c r="F875" s="63"/>
      <c r="G875" s="64"/>
      <c r="P875" s="155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</row>
    <row r="876" spans="4:29" ht="14.25" customHeight="1">
      <c r="D876" s="61"/>
      <c r="E876" s="62"/>
      <c r="F876" s="63"/>
      <c r="G876" s="64"/>
      <c r="P876" s="155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</row>
    <row r="877" spans="4:29" ht="14.25" customHeight="1">
      <c r="D877" s="61"/>
      <c r="E877" s="62"/>
      <c r="F877" s="63"/>
      <c r="G877" s="64"/>
      <c r="P877" s="155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</row>
    <row r="878" spans="4:29" ht="14.25" customHeight="1">
      <c r="D878" s="61"/>
      <c r="E878" s="62"/>
      <c r="F878" s="63"/>
      <c r="G878" s="64"/>
      <c r="P878" s="155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</row>
    <row r="879" spans="4:29" ht="14.25" customHeight="1">
      <c r="D879" s="61"/>
      <c r="E879" s="62"/>
      <c r="F879" s="63"/>
      <c r="G879" s="64"/>
      <c r="P879" s="155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</row>
    <row r="880" spans="4:29" ht="14.25" customHeight="1">
      <c r="D880" s="61"/>
      <c r="E880" s="62"/>
      <c r="F880" s="63"/>
      <c r="G880" s="64"/>
      <c r="P880" s="155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</row>
    <row r="881" spans="4:29" ht="14.25" customHeight="1">
      <c r="D881" s="61"/>
      <c r="E881" s="62"/>
      <c r="F881" s="63"/>
      <c r="G881" s="64"/>
      <c r="P881" s="155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</row>
    <row r="882" spans="4:29" ht="14.25" customHeight="1">
      <c r="D882" s="61"/>
      <c r="E882" s="62"/>
      <c r="F882" s="63"/>
      <c r="G882" s="64"/>
      <c r="P882" s="155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</row>
    <row r="883" spans="4:29" ht="14.25" customHeight="1">
      <c r="D883" s="61"/>
      <c r="E883" s="62"/>
      <c r="F883" s="63"/>
      <c r="G883" s="64"/>
      <c r="P883" s="155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</row>
    <row r="884" spans="4:29" ht="14.25" customHeight="1">
      <c r="D884" s="61"/>
      <c r="E884" s="62"/>
      <c r="F884" s="63"/>
      <c r="G884" s="64"/>
      <c r="P884" s="155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</row>
    <row r="885" spans="4:29" ht="14.25" customHeight="1">
      <c r="D885" s="61"/>
      <c r="E885" s="62"/>
      <c r="F885" s="63"/>
      <c r="G885" s="64"/>
      <c r="P885" s="155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</row>
    <row r="886" spans="4:29" ht="14.25" customHeight="1">
      <c r="D886" s="61"/>
      <c r="E886" s="62"/>
      <c r="F886" s="63"/>
      <c r="G886" s="64"/>
      <c r="P886" s="155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</row>
    <row r="887" spans="4:29" ht="14.25" customHeight="1">
      <c r="D887" s="61"/>
      <c r="E887" s="62"/>
      <c r="F887" s="63"/>
      <c r="G887" s="64"/>
      <c r="P887" s="155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</row>
    <row r="888" spans="4:29" ht="14.25" customHeight="1">
      <c r="D888" s="61"/>
      <c r="E888" s="62"/>
      <c r="F888" s="63"/>
      <c r="G888" s="64"/>
      <c r="P888" s="155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</row>
    <row r="889" spans="4:29" ht="14.25" customHeight="1">
      <c r="D889" s="61"/>
      <c r="E889" s="62"/>
      <c r="F889" s="63"/>
      <c r="G889" s="64"/>
      <c r="P889" s="155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</row>
    <row r="890" spans="4:29" ht="14.25" customHeight="1">
      <c r="D890" s="61"/>
      <c r="E890" s="62"/>
      <c r="F890" s="63"/>
      <c r="G890" s="64"/>
      <c r="P890" s="155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</row>
    <row r="891" spans="4:29" ht="14.25" customHeight="1">
      <c r="D891" s="61"/>
      <c r="E891" s="62"/>
      <c r="F891" s="63"/>
      <c r="G891" s="64"/>
      <c r="P891" s="155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</row>
    <row r="892" spans="4:29" ht="14.25" customHeight="1">
      <c r="D892" s="61"/>
      <c r="E892" s="62"/>
      <c r="F892" s="63"/>
      <c r="G892" s="64"/>
      <c r="P892" s="155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</row>
    <row r="893" spans="4:29" ht="14.25" customHeight="1">
      <c r="D893" s="61"/>
      <c r="E893" s="62"/>
      <c r="F893" s="63"/>
      <c r="G893" s="64"/>
      <c r="P893" s="155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</row>
    <row r="894" spans="4:29" ht="14.25" customHeight="1">
      <c r="D894" s="61"/>
      <c r="E894" s="62"/>
      <c r="F894" s="63"/>
      <c r="G894" s="64"/>
      <c r="P894" s="155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</row>
    <row r="895" spans="4:29" ht="14.25" customHeight="1">
      <c r="D895" s="61"/>
      <c r="E895" s="62"/>
      <c r="F895" s="63"/>
      <c r="G895" s="64"/>
      <c r="P895" s="155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</row>
    <row r="896" spans="4:29" ht="14.25" customHeight="1">
      <c r="D896" s="61"/>
      <c r="E896" s="62"/>
      <c r="F896" s="63"/>
      <c r="G896" s="64"/>
      <c r="P896" s="155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</row>
    <row r="897" spans="4:29" ht="14.25" customHeight="1">
      <c r="D897" s="61"/>
      <c r="E897" s="62"/>
      <c r="F897" s="63"/>
      <c r="G897" s="64"/>
      <c r="P897" s="155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</row>
    <row r="898" spans="4:29" ht="14.25" customHeight="1">
      <c r="D898" s="61"/>
      <c r="E898" s="62"/>
      <c r="F898" s="63"/>
      <c r="G898" s="64"/>
      <c r="P898" s="155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</row>
    <row r="899" spans="4:29" ht="14.25" customHeight="1">
      <c r="D899" s="61"/>
      <c r="E899" s="62"/>
      <c r="F899" s="63"/>
      <c r="G899" s="64"/>
      <c r="P899" s="155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</row>
    <row r="900" spans="4:29" ht="14.25" customHeight="1">
      <c r="D900" s="61"/>
      <c r="E900" s="62"/>
      <c r="F900" s="63"/>
      <c r="G900" s="64"/>
      <c r="P900" s="155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</row>
    <row r="901" spans="4:29" ht="14.25" customHeight="1">
      <c r="D901" s="61"/>
      <c r="E901" s="62"/>
      <c r="F901" s="63"/>
      <c r="G901" s="64"/>
      <c r="P901" s="155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</row>
    <row r="902" spans="4:29" ht="14.25" customHeight="1">
      <c r="D902" s="61"/>
      <c r="E902" s="62"/>
      <c r="F902" s="63"/>
      <c r="G902" s="64"/>
      <c r="P902" s="155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</row>
    <row r="903" spans="4:29" ht="14.25" customHeight="1">
      <c r="D903" s="61"/>
      <c r="E903" s="62"/>
      <c r="F903" s="63"/>
      <c r="G903" s="64"/>
      <c r="P903" s="155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</row>
    <row r="904" spans="4:29" ht="14.25" customHeight="1">
      <c r="D904" s="61"/>
      <c r="E904" s="62"/>
      <c r="F904" s="63"/>
      <c r="G904" s="64"/>
      <c r="P904" s="155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</row>
    <row r="905" spans="4:29" ht="14.25" customHeight="1">
      <c r="D905" s="61"/>
      <c r="E905" s="62"/>
      <c r="F905" s="63"/>
      <c r="G905" s="64"/>
      <c r="P905" s="155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</row>
    <row r="906" spans="4:29" ht="14.25" customHeight="1">
      <c r="D906" s="61"/>
      <c r="E906" s="62"/>
      <c r="F906" s="63"/>
      <c r="G906" s="64"/>
      <c r="P906" s="155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</row>
    <row r="907" spans="4:29" ht="14.25" customHeight="1">
      <c r="D907" s="61"/>
      <c r="E907" s="62"/>
      <c r="F907" s="63"/>
      <c r="G907" s="64"/>
      <c r="P907" s="155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</row>
    <row r="908" spans="4:29" ht="14.25" customHeight="1">
      <c r="D908" s="61"/>
      <c r="E908" s="62"/>
      <c r="F908" s="63"/>
      <c r="G908" s="64"/>
      <c r="P908" s="155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</row>
    <row r="909" spans="4:29" ht="14.25" customHeight="1">
      <c r="D909" s="61"/>
      <c r="E909" s="62"/>
      <c r="F909" s="63"/>
      <c r="G909" s="64"/>
      <c r="P909" s="155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</row>
    <row r="910" spans="4:29" ht="14.25" customHeight="1">
      <c r="D910" s="61"/>
      <c r="E910" s="62"/>
      <c r="F910" s="63"/>
      <c r="G910" s="64"/>
      <c r="P910" s="155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</row>
    <row r="911" spans="4:29" ht="14.25" customHeight="1">
      <c r="D911" s="61"/>
      <c r="E911" s="62"/>
      <c r="F911" s="63"/>
      <c r="G911" s="64"/>
      <c r="P911" s="155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</row>
    <row r="912" spans="4:29" ht="14.25" customHeight="1">
      <c r="D912" s="61"/>
      <c r="E912" s="62"/>
      <c r="F912" s="63"/>
      <c r="G912" s="64"/>
      <c r="P912" s="155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</row>
    <row r="913" spans="4:29" ht="14.25" customHeight="1">
      <c r="D913" s="61"/>
      <c r="E913" s="62"/>
      <c r="F913" s="63"/>
      <c r="G913" s="64"/>
      <c r="P913" s="155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</row>
    <row r="914" spans="4:29" ht="14.25" customHeight="1">
      <c r="D914" s="61"/>
      <c r="E914" s="62"/>
      <c r="F914" s="63"/>
      <c r="G914" s="64"/>
      <c r="P914" s="155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</row>
    <row r="915" spans="4:29" ht="14.25" customHeight="1">
      <c r="D915" s="61"/>
      <c r="E915" s="62"/>
      <c r="F915" s="63"/>
      <c r="G915" s="64"/>
      <c r="P915" s="155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</row>
    <row r="916" spans="4:29" ht="14.25" customHeight="1">
      <c r="D916" s="61"/>
      <c r="E916" s="62"/>
      <c r="F916" s="63"/>
      <c r="G916" s="64"/>
      <c r="P916" s="155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</row>
    <row r="917" spans="4:29" ht="14.25" customHeight="1">
      <c r="D917" s="61"/>
      <c r="E917" s="62"/>
      <c r="F917" s="63"/>
      <c r="G917" s="64"/>
      <c r="P917" s="155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</row>
    <row r="918" spans="4:29" ht="14.25" customHeight="1">
      <c r="D918" s="61"/>
      <c r="E918" s="62"/>
      <c r="F918" s="63"/>
      <c r="G918" s="64"/>
      <c r="P918" s="155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</row>
    <row r="919" spans="4:29" ht="14.25" customHeight="1">
      <c r="D919" s="61"/>
      <c r="E919" s="62"/>
      <c r="F919" s="63"/>
      <c r="G919" s="64"/>
      <c r="P919" s="155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</row>
    <row r="920" spans="4:29" ht="14.25" customHeight="1">
      <c r="D920" s="61"/>
      <c r="E920" s="62"/>
      <c r="F920" s="63"/>
      <c r="G920" s="64"/>
      <c r="P920" s="155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</row>
    <row r="921" spans="4:29" ht="14.25" customHeight="1">
      <c r="D921" s="61"/>
      <c r="E921" s="62"/>
      <c r="F921" s="63"/>
      <c r="G921" s="64"/>
      <c r="P921" s="155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</row>
    <row r="922" spans="4:29" ht="14.25" customHeight="1">
      <c r="D922" s="61"/>
      <c r="E922" s="62"/>
      <c r="F922" s="63"/>
      <c r="G922" s="64"/>
      <c r="P922" s="155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</row>
    <row r="923" spans="4:29" ht="14.25" customHeight="1">
      <c r="D923" s="61"/>
      <c r="E923" s="62"/>
      <c r="F923" s="63"/>
      <c r="G923" s="64"/>
      <c r="P923" s="155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</row>
    <row r="924" spans="4:29" ht="14.25" customHeight="1">
      <c r="D924" s="61"/>
      <c r="E924" s="62"/>
      <c r="F924" s="63"/>
      <c r="G924" s="64"/>
      <c r="P924" s="155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</row>
    <row r="925" spans="4:29" ht="14.25" customHeight="1">
      <c r="D925" s="61"/>
      <c r="E925" s="62"/>
      <c r="F925" s="63"/>
      <c r="G925" s="64"/>
      <c r="P925" s="155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</row>
    <row r="926" spans="4:29" ht="14.25" customHeight="1">
      <c r="D926" s="61"/>
      <c r="E926" s="62"/>
      <c r="F926" s="63"/>
      <c r="G926" s="64"/>
      <c r="P926" s="155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</row>
    <row r="927" spans="4:29" ht="14.25" customHeight="1">
      <c r="D927" s="61"/>
      <c r="E927" s="62"/>
      <c r="F927" s="63"/>
      <c r="G927" s="64"/>
      <c r="P927" s="155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</row>
    <row r="928" spans="4:29" ht="14.25" customHeight="1">
      <c r="D928" s="61"/>
      <c r="E928" s="62"/>
      <c r="F928" s="63"/>
      <c r="G928" s="64"/>
      <c r="P928" s="155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</row>
    <row r="929" spans="4:29" ht="14.25" customHeight="1">
      <c r="D929" s="61"/>
      <c r="E929" s="62"/>
      <c r="F929" s="63"/>
      <c r="G929" s="64"/>
      <c r="P929" s="155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</row>
    <row r="930" spans="4:29" ht="14.25" customHeight="1">
      <c r="D930" s="61"/>
      <c r="E930" s="62"/>
      <c r="F930" s="63"/>
      <c r="G930" s="64"/>
      <c r="P930" s="155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</row>
    <row r="931" spans="4:29" ht="14.25" customHeight="1">
      <c r="D931" s="61"/>
      <c r="E931" s="62"/>
      <c r="F931" s="63"/>
      <c r="G931" s="64"/>
      <c r="P931" s="155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</row>
    <row r="932" spans="4:29" ht="14.25" customHeight="1">
      <c r="D932" s="61"/>
      <c r="E932" s="62"/>
      <c r="F932" s="63"/>
      <c r="G932" s="64"/>
      <c r="P932" s="155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</row>
    <row r="933" spans="4:29" ht="14.25" customHeight="1">
      <c r="D933" s="61"/>
      <c r="E933" s="62"/>
      <c r="F933" s="63"/>
      <c r="G933" s="64"/>
      <c r="P933" s="155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</row>
    <row r="934" spans="4:29" ht="14.25" customHeight="1">
      <c r="D934" s="61"/>
      <c r="E934" s="62"/>
      <c r="F934" s="63"/>
      <c r="G934" s="64"/>
      <c r="P934" s="155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</row>
    <row r="935" spans="4:29" ht="14.25" customHeight="1">
      <c r="D935" s="61"/>
      <c r="E935" s="62"/>
      <c r="F935" s="63"/>
      <c r="G935" s="64"/>
      <c r="P935" s="155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</row>
    <row r="936" spans="4:29" ht="14.25" customHeight="1">
      <c r="D936" s="61"/>
      <c r="E936" s="62"/>
      <c r="F936" s="63"/>
      <c r="G936" s="64"/>
      <c r="P936" s="155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</row>
    <row r="937" spans="4:29" ht="14.25" customHeight="1">
      <c r="D937" s="61"/>
      <c r="E937" s="62"/>
      <c r="F937" s="63"/>
      <c r="G937" s="64"/>
      <c r="P937" s="155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</row>
    <row r="938" spans="4:29" ht="14.25" customHeight="1">
      <c r="D938" s="61"/>
      <c r="E938" s="62"/>
      <c r="F938" s="63"/>
      <c r="G938" s="64"/>
      <c r="P938" s="155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</row>
    <row r="939" spans="4:29" ht="14.25" customHeight="1">
      <c r="D939" s="61"/>
      <c r="E939" s="62"/>
      <c r="F939" s="63"/>
      <c r="G939" s="64"/>
      <c r="P939" s="155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</row>
    <row r="940" spans="4:29" ht="14.25" customHeight="1">
      <c r="D940" s="61"/>
      <c r="E940" s="62"/>
      <c r="F940" s="63"/>
      <c r="G940" s="64"/>
      <c r="P940" s="155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</row>
    <row r="941" spans="4:29" ht="14.25" customHeight="1">
      <c r="D941" s="61"/>
      <c r="E941" s="62"/>
      <c r="F941" s="63"/>
      <c r="G941" s="64"/>
      <c r="P941" s="155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</row>
    <row r="942" spans="4:29" ht="14.25" customHeight="1">
      <c r="D942" s="61"/>
      <c r="E942" s="62"/>
      <c r="F942" s="63"/>
      <c r="G942" s="64"/>
      <c r="P942" s="155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</row>
    <row r="943" spans="4:29" ht="14.25" customHeight="1">
      <c r="D943" s="61"/>
      <c r="E943" s="62"/>
      <c r="F943" s="63"/>
      <c r="G943" s="64"/>
      <c r="P943" s="155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</row>
    <row r="944" spans="4:29" ht="14.25" customHeight="1">
      <c r="D944" s="61"/>
      <c r="E944" s="62"/>
      <c r="F944" s="63"/>
      <c r="G944" s="64"/>
      <c r="P944" s="155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</row>
    <row r="945" spans="4:29" ht="14.25" customHeight="1">
      <c r="D945" s="61"/>
      <c r="E945" s="62"/>
      <c r="F945" s="63"/>
      <c r="G945" s="64"/>
      <c r="P945" s="155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</row>
    <row r="946" spans="4:29" ht="14.25" customHeight="1">
      <c r="D946" s="61"/>
      <c r="E946" s="62"/>
      <c r="F946" s="63"/>
      <c r="G946" s="64"/>
      <c r="P946" s="155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</row>
    <row r="947" spans="4:29" ht="14.25" customHeight="1">
      <c r="D947" s="61"/>
      <c r="E947" s="62"/>
      <c r="F947" s="63"/>
      <c r="G947" s="64"/>
      <c r="P947" s="155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</row>
    <row r="948" spans="4:29" ht="14.25" customHeight="1">
      <c r="D948" s="61"/>
      <c r="E948" s="62"/>
      <c r="F948" s="63"/>
      <c r="G948" s="64"/>
      <c r="P948" s="155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</row>
    <row r="949" spans="4:29" ht="14.25" customHeight="1">
      <c r="D949" s="61"/>
      <c r="E949" s="62"/>
      <c r="F949" s="63"/>
      <c r="G949" s="64"/>
      <c r="P949" s="155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</row>
    <row r="950" spans="4:29" ht="14.25" customHeight="1">
      <c r="D950" s="61"/>
      <c r="E950" s="62"/>
      <c r="F950" s="63"/>
      <c r="G950" s="64"/>
      <c r="P950" s="155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</row>
    <row r="951" spans="4:29" ht="14.25" customHeight="1">
      <c r="D951" s="61"/>
      <c r="E951" s="62"/>
      <c r="F951" s="63"/>
      <c r="G951" s="64"/>
      <c r="P951" s="155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</row>
    <row r="952" spans="4:29" ht="14.25" customHeight="1">
      <c r="D952" s="61"/>
      <c r="E952" s="62"/>
      <c r="F952" s="63"/>
      <c r="G952" s="64"/>
      <c r="P952" s="155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</row>
    <row r="953" spans="4:29" ht="14.25" customHeight="1">
      <c r="D953" s="61"/>
      <c r="E953" s="62"/>
      <c r="F953" s="63"/>
      <c r="G953" s="64"/>
      <c r="P953" s="155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</row>
    <row r="954" spans="4:29" ht="14.25" customHeight="1">
      <c r="D954" s="61"/>
      <c r="E954" s="62"/>
      <c r="F954" s="63"/>
      <c r="G954" s="64"/>
      <c r="P954" s="155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</row>
    <row r="955" spans="4:29" ht="14.25" customHeight="1">
      <c r="D955" s="61"/>
      <c r="E955" s="62"/>
      <c r="F955" s="63"/>
      <c r="G955" s="64"/>
      <c r="P955" s="155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</row>
    <row r="956" spans="4:29" ht="14.25" customHeight="1">
      <c r="D956" s="61"/>
      <c r="E956" s="62"/>
      <c r="F956" s="63"/>
      <c r="G956" s="64"/>
      <c r="P956" s="155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</row>
    <row r="957" spans="4:29" ht="14.25" customHeight="1">
      <c r="D957" s="61"/>
      <c r="E957" s="62"/>
      <c r="F957" s="63"/>
      <c r="G957" s="64"/>
      <c r="P957" s="155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</row>
    <row r="958" spans="4:29" ht="14.25" customHeight="1">
      <c r="D958" s="61"/>
      <c r="E958" s="62"/>
      <c r="F958" s="63"/>
      <c r="G958" s="64"/>
      <c r="P958" s="155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</row>
    <row r="959" spans="4:29" ht="14.25" customHeight="1">
      <c r="D959" s="61"/>
      <c r="E959" s="62"/>
      <c r="F959" s="63"/>
      <c r="G959" s="64"/>
      <c r="P959" s="155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</row>
    <row r="960" spans="4:29" ht="14.25" customHeight="1">
      <c r="D960" s="61"/>
      <c r="E960" s="62"/>
      <c r="F960" s="63"/>
      <c r="G960" s="64"/>
      <c r="P960" s="155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</row>
    <row r="961" spans="4:29" ht="14.25" customHeight="1">
      <c r="D961" s="61"/>
      <c r="E961" s="62"/>
      <c r="F961" s="63"/>
      <c r="G961" s="64"/>
      <c r="P961" s="155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</row>
    <row r="962" spans="4:29" ht="14.25" customHeight="1">
      <c r="D962" s="61"/>
      <c r="E962" s="62"/>
      <c r="F962" s="63"/>
      <c r="G962" s="64"/>
      <c r="P962" s="155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</row>
    <row r="963" spans="4:29" ht="14.25" customHeight="1">
      <c r="D963" s="61"/>
      <c r="E963" s="62"/>
      <c r="F963" s="63"/>
      <c r="G963" s="64"/>
      <c r="P963" s="155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</row>
    <row r="964" spans="4:29" ht="14.25" customHeight="1">
      <c r="D964" s="61"/>
      <c r="E964" s="62"/>
      <c r="F964" s="63"/>
      <c r="G964" s="64"/>
      <c r="P964" s="155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</row>
    <row r="965" spans="4:29" ht="14.25" customHeight="1">
      <c r="D965" s="61"/>
      <c r="E965" s="62"/>
      <c r="F965" s="63"/>
      <c r="G965" s="64"/>
      <c r="P965" s="155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</row>
    <row r="966" spans="4:29" ht="14.25" customHeight="1">
      <c r="D966" s="61"/>
      <c r="E966" s="62"/>
      <c r="F966" s="63"/>
      <c r="G966" s="64"/>
      <c r="P966" s="155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</row>
    <row r="967" spans="4:29" ht="14.25" customHeight="1">
      <c r="D967" s="61"/>
      <c r="E967" s="62"/>
      <c r="F967" s="63"/>
      <c r="G967" s="64"/>
      <c r="P967" s="155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</row>
    <row r="968" spans="4:29" ht="14.25" customHeight="1">
      <c r="D968" s="61"/>
      <c r="E968" s="62"/>
      <c r="F968" s="63"/>
      <c r="G968" s="64"/>
      <c r="P968" s="155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</row>
    <row r="969" spans="4:29" ht="14.25" customHeight="1">
      <c r="D969" s="61"/>
      <c r="E969" s="62"/>
      <c r="F969" s="63"/>
      <c r="G969" s="64"/>
      <c r="P969" s="155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</row>
    <row r="970" spans="4:29" ht="14.25" customHeight="1">
      <c r="D970" s="61"/>
      <c r="E970" s="62"/>
      <c r="F970" s="63"/>
      <c r="G970" s="64"/>
      <c r="P970" s="155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</row>
    <row r="971" spans="4:29" ht="14.25" customHeight="1">
      <c r="D971" s="61"/>
      <c r="E971" s="62"/>
      <c r="F971" s="63"/>
      <c r="G971" s="64"/>
      <c r="P971" s="155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</row>
    <row r="972" spans="4:29" ht="14.25" customHeight="1">
      <c r="D972" s="61"/>
      <c r="E972" s="62"/>
      <c r="F972" s="63"/>
      <c r="G972" s="64"/>
      <c r="P972" s="155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</row>
    <row r="973" spans="4:29" ht="14.25" customHeight="1">
      <c r="D973" s="61"/>
      <c r="E973" s="62"/>
      <c r="F973" s="63"/>
      <c r="G973" s="64"/>
      <c r="P973" s="155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</row>
    <row r="974" spans="4:29" ht="14.25" customHeight="1">
      <c r="D974" s="61"/>
      <c r="E974" s="62"/>
      <c r="F974" s="63"/>
      <c r="G974" s="64"/>
      <c r="P974" s="155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</row>
    <row r="975" spans="4:29" ht="14.25" customHeight="1">
      <c r="D975" s="61"/>
      <c r="E975" s="62"/>
      <c r="F975" s="63"/>
      <c r="G975" s="64"/>
      <c r="P975" s="155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</row>
    <row r="976" spans="4:29" ht="14.25" customHeight="1">
      <c r="D976" s="61"/>
      <c r="E976" s="62"/>
      <c r="F976" s="63"/>
      <c r="G976" s="64"/>
      <c r="P976" s="155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</row>
    <row r="977" spans="4:29" ht="14.25" customHeight="1">
      <c r="D977" s="61"/>
      <c r="E977" s="62"/>
      <c r="F977" s="63"/>
      <c r="G977" s="64"/>
      <c r="P977" s="155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</row>
    <row r="978" spans="4:29" ht="14.25" customHeight="1">
      <c r="D978" s="61"/>
      <c r="E978" s="62"/>
      <c r="F978" s="63"/>
      <c r="G978" s="64"/>
      <c r="P978" s="155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</row>
    <row r="979" spans="4:29" ht="14.25" customHeight="1">
      <c r="D979" s="61"/>
      <c r="E979" s="62"/>
      <c r="F979" s="63"/>
      <c r="G979" s="64"/>
      <c r="P979" s="155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</row>
    <row r="980" spans="4:29" ht="14.25" customHeight="1">
      <c r="D980" s="61"/>
      <c r="E980" s="62"/>
      <c r="F980" s="63"/>
      <c r="G980" s="64"/>
      <c r="P980" s="155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</row>
    <row r="981" spans="4:29" ht="14.25" customHeight="1">
      <c r="D981" s="61"/>
      <c r="E981" s="62"/>
      <c r="F981" s="63"/>
      <c r="G981" s="64"/>
      <c r="P981" s="155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</row>
    <row r="982" spans="4:29" ht="14.25" customHeight="1">
      <c r="D982" s="61"/>
      <c r="E982" s="62"/>
      <c r="F982" s="63"/>
      <c r="G982" s="64"/>
      <c r="P982" s="155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</row>
    <row r="983" spans="4:29" ht="14.25" customHeight="1">
      <c r="D983" s="61"/>
      <c r="E983" s="62"/>
      <c r="F983" s="63"/>
      <c r="G983" s="64"/>
      <c r="P983" s="155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</row>
    <row r="984" spans="4:29" ht="14.25" customHeight="1">
      <c r="D984" s="61"/>
      <c r="E984" s="62"/>
      <c r="F984" s="63"/>
      <c r="G984" s="64"/>
      <c r="P984" s="155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</row>
    <row r="985" spans="4:29" ht="14.25" customHeight="1">
      <c r="D985" s="61"/>
      <c r="E985" s="62"/>
      <c r="F985" s="63"/>
      <c r="G985" s="64"/>
      <c r="P985" s="155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</row>
    <row r="986" spans="4:29" ht="14.25" customHeight="1">
      <c r="D986" s="61"/>
      <c r="E986" s="62"/>
      <c r="F986" s="63"/>
      <c r="G986" s="64"/>
      <c r="P986" s="155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</row>
    <row r="987" spans="4:29" ht="14.25" customHeight="1">
      <c r="D987" s="61"/>
      <c r="E987" s="62"/>
      <c r="F987" s="63"/>
      <c r="G987" s="64"/>
      <c r="P987" s="155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</row>
    <row r="988" spans="4:29" ht="14.25" customHeight="1">
      <c r="D988" s="61"/>
      <c r="E988" s="62"/>
      <c r="F988" s="63"/>
      <c r="G988" s="64"/>
      <c r="P988" s="155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</row>
    <row r="989" spans="4:29" ht="14.25" customHeight="1">
      <c r="D989" s="61"/>
      <c r="E989" s="62"/>
      <c r="F989" s="63"/>
      <c r="G989" s="64"/>
      <c r="P989" s="155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</row>
    <row r="990" spans="4:29" ht="14.25" customHeight="1">
      <c r="D990" s="61"/>
      <c r="E990" s="62"/>
      <c r="F990" s="63"/>
      <c r="G990" s="64"/>
      <c r="P990" s="155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</row>
    <row r="991" spans="4:29" ht="14.25" customHeight="1">
      <c r="D991" s="61"/>
      <c r="E991" s="62"/>
      <c r="F991" s="63"/>
      <c r="G991" s="64"/>
      <c r="P991" s="155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</row>
    <row r="992" spans="4:29" ht="14.25" customHeight="1">
      <c r="D992" s="61"/>
      <c r="E992" s="62"/>
      <c r="F992" s="63"/>
      <c r="G992" s="64"/>
      <c r="P992" s="155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</row>
    <row r="993" spans="4:29" ht="14.25" customHeight="1">
      <c r="D993" s="61"/>
      <c r="E993" s="62"/>
      <c r="F993" s="63"/>
      <c r="G993" s="64"/>
      <c r="P993" s="155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</row>
    <row r="994" spans="4:29" ht="14.25" customHeight="1">
      <c r="D994" s="61"/>
      <c r="E994" s="62"/>
      <c r="F994" s="63"/>
      <c r="G994" s="64"/>
      <c r="P994" s="155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</row>
    <row r="995" spans="4:29" ht="14.25" customHeight="1">
      <c r="D995" s="61"/>
      <c r="E995" s="62"/>
      <c r="F995" s="63"/>
      <c r="G995" s="64"/>
      <c r="P995" s="155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</row>
    <row r="996" spans="4:29" ht="14.25" customHeight="1">
      <c r="D996" s="61"/>
      <c r="E996" s="62"/>
      <c r="F996" s="63"/>
      <c r="G996" s="64"/>
      <c r="P996" s="155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</row>
    <row r="997" spans="4:29" ht="14.25" customHeight="1">
      <c r="D997" s="61"/>
      <c r="E997" s="62"/>
      <c r="F997" s="63"/>
      <c r="G997" s="64"/>
      <c r="P997" s="155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</row>
    <row r="998" spans="4:29" ht="14.25" customHeight="1">
      <c r="D998" s="61"/>
      <c r="E998" s="62"/>
      <c r="F998" s="63"/>
      <c r="G998" s="64"/>
      <c r="P998" s="155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</row>
    <row r="999" spans="4:29" ht="14.25" customHeight="1">
      <c r="D999" s="61"/>
      <c r="E999" s="62"/>
      <c r="F999" s="63"/>
      <c r="G999" s="64"/>
      <c r="P999" s="155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</row>
    <row r="1000" spans="4:29" ht="14.25" customHeight="1">
      <c r="D1000" s="61"/>
      <c r="E1000" s="62"/>
      <c r="F1000" s="63"/>
      <c r="G1000" s="64"/>
      <c r="P1000" s="155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</row>
    <row r="1001" spans="4:29" ht="14.25" customHeight="1">
      <c r="D1001" s="61"/>
      <c r="E1001" s="62"/>
      <c r="F1001" s="63"/>
      <c r="G1001" s="64"/>
      <c r="P1001" s="155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</row>
    <row r="1002" spans="4:29" ht="14.25" customHeight="1">
      <c r="D1002" s="61"/>
      <c r="E1002" s="62"/>
      <c r="F1002" s="63"/>
      <c r="G1002" s="64"/>
      <c r="P1002" s="155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</row>
    <row r="1003" spans="4:29" ht="14.25" customHeight="1">
      <c r="D1003" s="61"/>
      <c r="E1003" s="62"/>
      <c r="F1003" s="63"/>
      <c r="G1003" s="64"/>
      <c r="P1003" s="155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</row>
    <row r="1004" spans="4:29" ht="14.25" customHeight="1">
      <c r="D1004" s="61"/>
      <c r="E1004" s="62"/>
      <c r="F1004" s="63"/>
      <c r="G1004" s="64"/>
      <c r="P1004" s="155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</row>
    <row r="1005" spans="4:29" ht="14.25" customHeight="1">
      <c r="D1005" s="61"/>
      <c r="E1005" s="62"/>
      <c r="F1005" s="63"/>
      <c r="G1005" s="64"/>
      <c r="P1005" s="155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</row>
    <row r="1006" spans="4:29" ht="14.25" customHeight="1">
      <c r="D1006" s="61"/>
      <c r="E1006" s="62"/>
      <c r="F1006" s="63"/>
      <c r="G1006" s="64"/>
      <c r="P1006" s="155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</row>
    <row r="1007" spans="4:29" ht="14.25" customHeight="1">
      <c r="D1007" s="61"/>
      <c r="E1007" s="62"/>
      <c r="F1007" s="63"/>
      <c r="G1007" s="64"/>
      <c r="P1007" s="155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</row>
    <row r="1008" spans="4:29" ht="14.25" customHeight="1">
      <c r="D1008" s="61"/>
      <c r="E1008" s="62"/>
      <c r="F1008" s="63"/>
      <c r="G1008" s="64"/>
      <c r="P1008" s="155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</row>
    <row r="1009" spans="16:29" ht="14.25" customHeight="1">
      <c r="P1009" s="155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</row>
    <row r="1010" spans="16:29" ht="14.25" customHeight="1">
      <c r="P1010" s="156"/>
      <c r="Q1010" s="157"/>
      <c r="R1010" s="157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</row>
  </sheetData>
  <mergeCells count="16">
    <mergeCell ref="L42:O42"/>
    <mergeCell ref="P42:R42"/>
    <mergeCell ref="K55:N55"/>
    <mergeCell ref="A1:B3"/>
    <mergeCell ref="D1:F1"/>
    <mergeCell ref="G1:J1"/>
    <mergeCell ref="K1:N1"/>
    <mergeCell ref="O1:R1"/>
    <mergeCell ref="D4:R4"/>
    <mergeCell ref="A13:R13"/>
    <mergeCell ref="A22:R22"/>
    <mergeCell ref="A5:A12"/>
    <mergeCell ref="A14:A21"/>
    <mergeCell ref="A23:A31"/>
    <mergeCell ref="D42:G42"/>
    <mergeCell ref="H42:K4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010"/>
  <sheetViews>
    <sheetView topLeftCell="A25" workbookViewId="0">
      <selection activeCell="G33" sqref="G33"/>
    </sheetView>
  </sheetViews>
  <sheetFormatPr defaultColWidth="14.42578125" defaultRowHeight="15" customHeight="1"/>
  <cols>
    <col min="1" max="2" width="10.7109375" customWidth="1"/>
    <col min="3" max="3" width="55.28515625" customWidth="1"/>
    <col min="4" max="32" width="9.42578125" customWidth="1"/>
  </cols>
  <sheetData>
    <row r="1" spans="1:32" ht="14.25" customHeight="1">
      <c r="A1" s="225"/>
      <c r="B1" s="226"/>
      <c r="C1" s="1" t="s">
        <v>0</v>
      </c>
      <c r="D1" s="231">
        <v>2022</v>
      </c>
      <c r="E1" s="222"/>
      <c r="F1" s="222"/>
      <c r="G1" s="231">
        <v>2023</v>
      </c>
      <c r="H1" s="222"/>
      <c r="I1" s="222"/>
      <c r="J1" s="222"/>
      <c r="K1" s="231">
        <v>2024</v>
      </c>
      <c r="L1" s="222"/>
      <c r="M1" s="222"/>
      <c r="N1" s="222"/>
      <c r="O1" s="236">
        <v>2025</v>
      </c>
      <c r="P1" s="222"/>
      <c r="Q1" s="222"/>
      <c r="R1" s="223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</row>
    <row r="2" spans="1:32" ht="14.25" customHeight="1">
      <c r="A2" s="227"/>
      <c r="B2" s="228"/>
      <c r="C2" s="1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2" t="s">
        <v>2</v>
      </c>
      <c r="I2" s="3" t="s">
        <v>3</v>
      </c>
      <c r="J2" s="4" t="s">
        <v>4</v>
      </c>
      <c r="K2" s="5" t="s">
        <v>5</v>
      </c>
      <c r="L2" s="2" t="s">
        <v>2</v>
      </c>
      <c r="M2" s="3" t="s">
        <v>3</v>
      </c>
      <c r="N2" s="4" t="s">
        <v>4</v>
      </c>
      <c r="O2" s="5" t="s">
        <v>5</v>
      </c>
      <c r="P2" s="2" t="s">
        <v>2</v>
      </c>
      <c r="Q2" s="3" t="s">
        <v>3</v>
      </c>
      <c r="R2" s="4" t="s">
        <v>4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</row>
    <row r="3" spans="1:32" ht="14.25" customHeight="1">
      <c r="A3" s="229"/>
      <c r="B3" s="230"/>
      <c r="C3" s="6" t="s">
        <v>6</v>
      </c>
      <c r="D3" s="114" t="s">
        <v>71</v>
      </c>
      <c r="E3" s="115" t="s">
        <v>71</v>
      </c>
      <c r="F3" s="78">
        <v>44868</v>
      </c>
      <c r="G3" s="68">
        <v>44981</v>
      </c>
      <c r="H3" s="74">
        <v>45089</v>
      </c>
      <c r="I3" s="75">
        <v>45195</v>
      </c>
      <c r="J3" s="78">
        <v>45300</v>
      </c>
      <c r="K3" s="68">
        <v>45370</v>
      </c>
      <c r="L3" s="74">
        <v>45461</v>
      </c>
      <c r="M3" s="75">
        <v>45534</v>
      </c>
      <c r="N3" s="78">
        <v>45602</v>
      </c>
      <c r="O3" s="116">
        <v>45663</v>
      </c>
      <c r="P3" s="74">
        <v>45819</v>
      </c>
      <c r="Q3" s="75">
        <v>45860</v>
      </c>
      <c r="R3" s="78">
        <v>45961</v>
      </c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</row>
    <row r="4" spans="1:32" ht="14.25" customHeight="1">
      <c r="A4" s="14" t="s">
        <v>7</v>
      </c>
      <c r="B4" s="14" t="s">
        <v>8</v>
      </c>
      <c r="C4" s="15" t="s">
        <v>52</v>
      </c>
      <c r="D4" s="239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  <c r="S4" s="119"/>
      <c r="T4" s="119"/>
      <c r="U4" s="119"/>
      <c r="V4" s="119"/>
    </row>
    <row r="5" spans="1:32" ht="23.25" customHeight="1">
      <c r="A5" s="233" t="s">
        <v>10</v>
      </c>
      <c r="B5" s="16" t="s">
        <v>11</v>
      </c>
      <c r="C5" s="16" t="s">
        <v>12</v>
      </c>
      <c r="D5" s="17"/>
      <c r="E5" s="18"/>
      <c r="F5" s="19">
        <v>3</v>
      </c>
      <c r="G5" s="84">
        <v>0</v>
      </c>
      <c r="H5" s="17">
        <v>3</v>
      </c>
      <c r="I5" s="18">
        <v>0</v>
      </c>
      <c r="J5" s="19">
        <v>0</v>
      </c>
      <c r="K5" s="84">
        <v>0</v>
      </c>
      <c r="L5" s="17">
        <v>0</v>
      </c>
      <c r="M5" s="18">
        <v>0</v>
      </c>
      <c r="N5" s="19">
        <v>0</v>
      </c>
      <c r="O5" s="84">
        <v>0</v>
      </c>
      <c r="P5" s="17">
        <v>0</v>
      </c>
      <c r="Q5" s="18">
        <v>0</v>
      </c>
      <c r="R5" s="19">
        <v>3</v>
      </c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</row>
    <row r="6" spans="1:32" ht="22.5" customHeight="1">
      <c r="A6" s="219"/>
      <c r="B6" s="24" t="s">
        <v>13</v>
      </c>
      <c r="C6" s="24" t="s">
        <v>14</v>
      </c>
      <c r="D6" s="25"/>
      <c r="E6" s="26"/>
      <c r="F6" s="27">
        <v>0</v>
      </c>
      <c r="G6" s="86">
        <v>0</v>
      </c>
      <c r="H6" s="25">
        <v>0</v>
      </c>
      <c r="I6" s="26">
        <v>0</v>
      </c>
      <c r="J6" s="27">
        <v>0</v>
      </c>
      <c r="K6" s="86">
        <v>0</v>
      </c>
      <c r="L6" s="25">
        <v>0</v>
      </c>
      <c r="M6" s="26">
        <v>0</v>
      </c>
      <c r="N6" s="27">
        <v>0</v>
      </c>
      <c r="O6" s="86">
        <v>0</v>
      </c>
      <c r="P6" s="25">
        <v>0</v>
      </c>
      <c r="Q6" s="26">
        <v>0</v>
      </c>
      <c r="R6" s="27">
        <v>0</v>
      </c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</row>
    <row r="7" spans="1:32" ht="22.5" customHeight="1">
      <c r="A7" s="219"/>
      <c r="B7" s="16" t="s">
        <v>15</v>
      </c>
      <c r="C7" s="16" t="s">
        <v>16</v>
      </c>
      <c r="D7" s="17"/>
      <c r="E7" s="18"/>
      <c r="F7" s="19">
        <v>0</v>
      </c>
      <c r="G7" s="84">
        <v>1</v>
      </c>
      <c r="H7" s="17">
        <v>1</v>
      </c>
      <c r="I7" s="18">
        <v>0</v>
      </c>
      <c r="J7" s="19">
        <v>0</v>
      </c>
      <c r="K7" s="84">
        <v>0</v>
      </c>
      <c r="L7" s="17">
        <v>2</v>
      </c>
      <c r="M7" s="18">
        <v>1</v>
      </c>
      <c r="N7" s="19">
        <v>0</v>
      </c>
      <c r="O7" s="84">
        <v>1</v>
      </c>
      <c r="P7" s="17">
        <v>0</v>
      </c>
      <c r="Q7" s="18">
        <v>2</v>
      </c>
      <c r="R7" s="19">
        <v>2</v>
      </c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</row>
    <row r="8" spans="1:32" ht="22.5" customHeight="1">
      <c r="A8" s="219"/>
      <c r="B8" s="24" t="s">
        <v>17</v>
      </c>
      <c r="C8" s="24" t="s">
        <v>18</v>
      </c>
      <c r="D8" s="25"/>
      <c r="E8" s="26"/>
      <c r="F8" s="27">
        <v>0</v>
      </c>
      <c r="G8" s="86">
        <v>2</v>
      </c>
      <c r="H8" s="25">
        <v>0</v>
      </c>
      <c r="I8" s="26">
        <v>0</v>
      </c>
      <c r="J8" s="27">
        <v>0</v>
      </c>
      <c r="K8" s="86">
        <v>0</v>
      </c>
      <c r="L8" s="25">
        <v>0</v>
      </c>
      <c r="M8" s="26">
        <v>0</v>
      </c>
      <c r="N8" s="27">
        <v>1</v>
      </c>
      <c r="O8" s="86">
        <v>7</v>
      </c>
      <c r="P8" s="25">
        <v>1</v>
      </c>
      <c r="Q8" s="26">
        <v>0</v>
      </c>
      <c r="R8" s="27">
        <v>2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</row>
    <row r="9" spans="1:32" ht="22.5" customHeight="1">
      <c r="A9" s="219"/>
      <c r="B9" s="16" t="s">
        <v>19</v>
      </c>
      <c r="C9" s="16" t="s">
        <v>20</v>
      </c>
      <c r="D9" s="17"/>
      <c r="E9" s="18"/>
      <c r="F9" s="19">
        <v>8</v>
      </c>
      <c r="G9" s="84">
        <v>12</v>
      </c>
      <c r="H9" s="17">
        <v>3</v>
      </c>
      <c r="I9" s="18">
        <v>9</v>
      </c>
      <c r="J9" s="19">
        <v>5</v>
      </c>
      <c r="K9" s="84">
        <v>3</v>
      </c>
      <c r="L9" s="17">
        <v>4</v>
      </c>
      <c r="M9" s="18">
        <v>2</v>
      </c>
      <c r="N9" s="19">
        <v>4</v>
      </c>
      <c r="O9" s="84">
        <v>3</v>
      </c>
      <c r="P9" s="17">
        <v>7</v>
      </c>
      <c r="Q9" s="18">
        <v>13</v>
      </c>
      <c r="R9" s="19">
        <v>3</v>
      </c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</row>
    <row r="10" spans="1:32" ht="23.25" customHeight="1">
      <c r="A10" s="219"/>
      <c r="B10" s="24" t="s">
        <v>21</v>
      </c>
      <c r="C10" s="24" t="s">
        <v>22</v>
      </c>
      <c r="D10" s="25"/>
      <c r="E10" s="26"/>
      <c r="F10" s="27">
        <v>13</v>
      </c>
      <c r="G10" s="86">
        <v>16</v>
      </c>
      <c r="H10" s="25">
        <v>7</v>
      </c>
      <c r="I10" s="26">
        <v>29</v>
      </c>
      <c r="J10" s="27">
        <v>11</v>
      </c>
      <c r="K10" s="86">
        <v>4</v>
      </c>
      <c r="L10" s="25">
        <v>17</v>
      </c>
      <c r="M10" s="26">
        <v>4</v>
      </c>
      <c r="N10" s="27">
        <v>3</v>
      </c>
      <c r="O10" s="86">
        <v>0</v>
      </c>
      <c r="P10" s="25">
        <v>3</v>
      </c>
      <c r="Q10" s="26">
        <v>15</v>
      </c>
      <c r="R10" s="27">
        <v>8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</row>
    <row r="11" spans="1:32" ht="24" customHeight="1">
      <c r="A11" s="219"/>
      <c r="B11" s="16" t="s">
        <v>23</v>
      </c>
      <c r="C11" s="16" t="s">
        <v>24</v>
      </c>
      <c r="D11" s="17"/>
      <c r="E11" s="18"/>
      <c r="F11" s="19">
        <v>0</v>
      </c>
      <c r="G11" s="84">
        <v>1</v>
      </c>
      <c r="H11" s="17">
        <v>0</v>
      </c>
      <c r="I11" s="18">
        <v>4</v>
      </c>
      <c r="J11" s="19">
        <v>1</v>
      </c>
      <c r="K11" s="84">
        <v>0</v>
      </c>
      <c r="L11" s="17">
        <v>0</v>
      </c>
      <c r="M11" s="18">
        <v>0</v>
      </c>
      <c r="N11" s="19">
        <v>1</v>
      </c>
      <c r="O11" s="84">
        <v>0</v>
      </c>
      <c r="P11" s="17">
        <v>1</v>
      </c>
      <c r="Q11" s="18">
        <v>0</v>
      </c>
      <c r="R11" s="19">
        <v>0</v>
      </c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</row>
    <row r="12" spans="1:32" ht="24.75" customHeight="1">
      <c r="A12" s="220"/>
      <c r="B12" s="32" t="s">
        <v>25</v>
      </c>
      <c r="C12" s="32" t="s">
        <v>26</v>
      </c>
      <c r="D12" s="25"/>
      <c r="E12" s="26"/>
      <c r="F12" s="27">
        <v>0</v>
      </c>
      <c r="G12" s="86">
        <v>0</v>
      </c>
      <c r="H12" s="25">
        <v>0</v>
      </c>
      <c r="I12" s="26">
        <v>0</v>
      </c>
      <c r="J12" s="27">
        <v>1</v>
      </c>
      <c r="K12" s="86">
        <v>0</v>
      </c>
      <c r="L12" s="25">
        <v>0</v>
      </c>
      <c r="M12" s="26">
        <v>0</v>
      </c>
      <c r="N12" s="27">
        <v>0</v>
      </c>
      <c r="O12" s="86">
        <v>0</v>
      </c>
      <c r="P12" s="25">
        <v>0</v>
      </c>
      <c r="Q12" s="26">
        <v>0</v>
      </c>
      <c r="R12" s="27">
        <v>0</v>
      </c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</row>
    <row r="13" spans="1:32" ht="6" customHeight="1">
      <c r="A13" s="221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3"/>
      <c r="S13" s="91"/>
    </row>
    <row r="14" spans="1:32" ht="24.75" customHeight="1">
      <c r="A14" s="218" t="s">
        <v>27</v>
      </c>
      <c r="B14" s="16" t="s">
        <v>11</v>
      </c>
      <c r="C14" s="16" t="s">
        <v>12</v>
      </c>
      <c r="D14" s="17"/>
      <c r="E14" s="18"/>
      <c r="F14" s="123">
        <v>0</v>
      </c>
      <c r="G14" s="124">
        <v>0</v>
      </c>
      <c r="H14" s="17">
        <v>0</v>
      </c>
      <c r="I14" s="18">
        <v>0</v>
      </c>
      <c r="J14" s="123">
        <v>0</v>
      </c>
      <c r="K14" s="124">
        <v>0</v>
      </c>
      <c r="L14" s="17">
        <v>0</v>
      </c>
      <c r="M14" s="18">
        <v>0</v>
      </c>
      <c r="N14" s="123">
        <v>0</v>
      </c>
      <c r="O14" s="124">
        <v>0</v>
      </c>
      <c r="P14" s="17">
        <v>0</v>
      </c>
      <c r="Q14" s="18">
        <v>0</v>
      </c>
      <c r="R14" s="123">
        <v>0</v>
      </c>
      <c r="S14" s="97"/>
    </row>
    <row r="15" spans="1:32" ht="25.5" customHeight="1">
      <c r="A15" s="219"/>
      <c r="B15" s="24" t="s">
        <v>28</v>
      </c>
      <c r="C15" s="24" t="s">
        <v>29</v>
      </c>
      <c r="D15" s="25"/>
      <c r="E15" s="26"/>
      <c r="F15" s="125">
        <v>25</v>
      </c>
      <c r="G15" s="126">
        <v>15</v>
      </c>
      <c r="H15" s="25">
        <v>1</v>
      </c>
      <c r="I15" s="26">
        <v>30</v>
      </c>
      <c r="J15" s="125">
        <v>18</v>
      </c>
      <c r="K15" s="126">
        <v>26</v>
      </c>
      <c r="L15" s="25">
        <v>10</v>
      </c>
      <c r="M15" s="26">
        <v>4</v>
      </c>
      <c r="N15" s="125">
        <v>3</v>
      </c>
      <c r="O15" s="126">
        <v>4</v>
      </c>
      <c r="P15" s="25">
        <v>6</v>
      </c>
      <c r="Q15" s="26">
        <v>5</v>
      </c>
      <c r="R15" s="125">
        <v>8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</row>
    <row r="16" spans="1:32" ht="23.25" customHeight="1">
      <c r="A16" s="219"/>
      <c r="B16" s="16" t="s">
        <v>15</v>
      </c>
      <c r="C16" s="16" t="s">
        <v>16</v>
      </c>
      <c r="D16" s="17"/>
      <c r="E16" s="127"/>
      <c r="F16" s="123">
        <v>4</v>
      </c>
      <c r="G16" s="124">
        <v>5</v>
      </c>
      <c r="H16" s="17">
        <v>0</v>
      </c>
      <c r="I16" s="18">
        <v>0</v>
      </c>
      <c r="J16" s="123">
        <v>0</v>
      </c>
      <c r="K16" s="124">
        <v>0</v>
      </c>
      <c r="L16" s="17">
        <v>0</v>
      </c>
      <c r="M16" s="18">
        <v>0</v>
      </c>
      <c r="N16" s="123">
        <v>2</v>
      </c>
      <c r="O16" s="124">
        <v>3</v>
      </c>
      <c r="P16" s="17">
        <v>0</v>
      </c>
      <c r="Q16" s="18">
        <v>0</v>
      </c>
      <c r="R16" s="123">
        <v>0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</row>
    <row r="17" spans="1:32" ht="25.5" customHeight="1">
      <c r="A17" s="219"/>
      <c r="B17" s="24" t="s">
        <v>17</v>
      </c>
      <c r="C17" s="24" t="s">
        <v>18</v>
      </c>
      <c r="D17" s="25"/>
      <c r="E17" s="26"/>
      <c r="F17" s="125">
        <v>2</v>
      </c>
      <c r="G17" s="126">
        <v>2</v>
      </c>
      <c r="H17" s="25">
        <v>0</v>
      </c>
      <c r="I17" s="26">
        <v>0</v>
      </c>
      <c r="J17" s="125">
        <v>0</v>
      </c>
      <c r="K17" s="126">
        <v>0</v>
      </c>
      <c r="L17" s="25">
        <v>0</v>
      </c>
      <c r="M17" s="26">
        <v>0</v>
      </c>
      <c r="N17" s="125">
        <v>0</v>
      </c>
      <c r="O17" s="126">
        <v>2</v>
      </c>
      <c r="P17" s="25">
        <v>0</v>
      </c>
      <c r="Q17" s="26">
        <v>0</v>
      </c>
      <c r="R17" s="125">
        <v>0</v>
      </c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</row>
    <row r="18" spans="1:32" ht="22.5" customHeight="1">
      <c r="A18" s="219"/>
      <c r="B18" s="16" t="s">
        <v>19</v>
      </c>
      <c r="C18" s="16" t="s">
        <v>20</v>
      </c>
      <c r="D18" s="17"/>
      <c r="E18" s="127"/>
      <c r="F18" s="123">
        <v>8</v>
      </c>
      <c r="G18" s="124">
        <v>14</v>
      </c>
      <c r="H18" s="17">
        <v>3</v>
      </c>
      <c r="I18" s="18">
        <v>9</v>
      </c>
      <c r="J18" s="123">
        <v>13</v>
      </c>
      <c r="K18" s="124">
        <v>6</v>
      </c>
      <c r="L18" s="17">
        <v>55</v>
      </c>
      <c r="M18" s="18">
        <v>1</v>
      </c>
      <c r="N18" s="123">
        <v>9</v>
      </c>
      <c r="O18" s="124">
        <v>4</v>
      </c>
      <c r="P18" s="17">
        <v>14</v>
      </c>
      <c r="Q18" s="18">
        <v>5</v>
      </c>
      <c r="R18" s="123">
        <v>39</v>
      </c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</row>
    <row r="19" spans="1:32" ht="24" customHeight="1">
      <c r="A19" s="219"/>
      <c r="B19" s="24" t="s">
        <v>21</v>
      </c>
      <c r="C19" s="24" t="s">
        <v>22</v>
      </c>
      <c r="D19" s="25"/>
      <c r="E19" s="128"/>
      <c r="F19" s="125">
        <v>152</v>
      </c>
      <c r="G19" s="126">
        <v>109</v>
      </c>
      <c r="H19" s="25">
        <v>23</v>
      </c>
      <c r="I19" s="26">
        <v>101</v>
      </c>
      <c r="J19" s="125">
        <v>42</v>
      </c>
      <c r="K19" s="126">
        <v>14</v>
      </c>
      <c r="L19" s="25">
        <v>8</v>
      </c>
      <c r="M19" s="26">
        <v>9</v>
      </c>
      <c r="N19" s="125">
        <v>8</v>
      </c>
      <c r="O19" s="126">
        <v>9</v>
      </c>
      <c r="P19" s="25">
        <v>11</v>
      </c>
      <c r="Q19" s="26">
        <v>34</v>
      </c>
      <c r="R19" s="125">
        <v>47</v>
      </c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</row>
    <row r="20" spans="1:32" ht="25.5" customHeight="1">
      <c r="A20" s="219"/>
      <c r="B20" s="16" t="s">
        <v>23</v>
      </c>
      <c r="C20" s="16" t="s">
        <v>24</v>
      </c>
      <c r="D20" s="17"/>
      <c r="E20" s="18"/>
      <c r="F20" s="123">
        <v>2</v>
      </c>
      <c r="G20" s="124">
        <v>2</v>
      </c>
      <c r="H20" s="17">
        <v>0</v>
      </c>
      <c r="I20" s="18">
        <v>8</v>
      </c>
      <c r="J20" s="123">
        <v>0</v>
      </c>
      <c r="K20" s="124">
        <v>0</v>
      </c>
      <c r="L20" s="17">
        <v>0</v>
      </c>
      <c r="M20" s="18">
        <v>0</v>
      </c>
      <c r="N20" s="123">
        <v>0</v>
      </c>
      <c r="O20" s="124">
        <v>0</v>
      </c>
      <c r="P20" s="17">
        <v>0</v>
      </c>
      <c r="Q20" s="18">
        <v>0</v>
      </c>
      <c r="R20" s="123">
        <v>0</v>
      </c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</row>
    <row r="21" spans="1:32" ht="25.5" customHeight="1">
      <c r="A21" s="220"/>
      <c r="B21" s="32" t="s">
        <v>25</v>
      </c>
      <c r="C21" s="32" t="s">
        <v>26</v>
      </c>
      <c r="D21" s="25"/>
      <c r="E21" s="26"/>
      <c r="F21" s="125">
        <v>12</v>
      </c>
      <c r="G21" s="126">
        <v>3</v>
      </c>
      <c r="H21" s="25">
        <v>0</v>
      </c>
      <c r="I21" s="26">
        <v>3</v>
      </c>
      <c r="J21" s="125">
        <v>0</v>
      </c>
      <c r="K21" s="126">
        <v>32</v>
      </c>
      <c r="L21" s="25">
        <v>0</v>
      </c>
      <c r="M21" s="26">
        <v>0</v>
      </c>
      <c r="N21" s="125">
        <v>2</v>
      </c>
      <c r="O21" s="126">
        <v>0</v>
      </c>
      <c r="P21" s="25">
        <v>0</v>
      </c>
      <c r="Q21" s="26">
        <v>0</v>
      </c>
      <c r="R21" s="125">
        <v>1</v>
      </c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</row>
    <row r="22" spans="1:32" ht="6" customHeight="1">
      <c r="A22" s="221"/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3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</row>
    <row r="23" spans="1:32" ht="22.5" customHeight="1">
      <c r="A23" s="224" t="s">
        <v>30</v>
      </c>
      <c r="B23" s="38" t="s">
        <v>11</v>
      </c>
      <c r="C23" s="38" t="s">
        <v>12</v>
      </c>
      <c r="D23" s="21">
        <f t="shared" ref="D23:R23" si="0">SUM(D5+D14)</f>
        <v>0</v>
      </c>
      <c r="E23" s="22">
        <f t="shared" si="0"/>
        <v>0</v>
      </c>
      <c r="F23" s="39">
        <f t="shared" si="0"/>
        <v>3</v>
      </c>
      <c r="G23" s="40">
        <f t="shared" si="0"/>
        <v>0</v>
      </c>
      <c r="H23" s="21">
        <f t="shared" si="0"/>
        <v>3</v>
      </c>
      <c r="I23" s="22">
        <f t="shared" si="0"/>
        <v>0</v>
      </c>
      <c r="J23" s="39">
        <f t="shared" si="0"/>
        <v>0</v>
      </c>
      <c r="K23" s="40">
        <f t="shared" si="0"/>
        <v>0</v>
      </c>
      <c r="L23" s="21">
        <f t="shared" si="0"/>
        <v>0</v>
      </c>
      <c r="M23" s="22">
        <f t="shared" si="0"/>
        <v>0</v>
      </c>
      <c r="N23" s="39">
        <f t="shared" si="0"/>
        <v>0</v>
      </c>
      <c r="O23" s="158">
        <f t="shared" si="0"/>
        <v>0</v>
      </c>
      <c r="P23" s="29">
        <f t="shared" si="0"/>
        <v>0</v>
      </c>
      <c r="Q23" s="22">
        <f t="shared" si="0"/>
        <v>0</v>
      </c>
      <c r="R23" s="39">
        <f t="shared" si="0"/>
        <v>3</v>
      </c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</row>
    <row r="24" spans="1:32" ht="22.5" customHeight="1">
      <c r="A24" s="219"/>
      <c r="B24" s="24" t="s">
        <v>13</v>
      </c>
      <c r="C24" s="24" t="s">
        <v>14</v>
      </c>
      <c r="D24" s="29">
        <f t="shared" ref="D24:R24" si="1">SUM(D6)</f>
        <v>0</v>
      </c>
      <c r="E24" s="30">
        <f t="shared" si="1"/>
        <v>0</v>
      </c>
      <c r="F24" s="41">
        <f t="shared" si="1"/>
        <v>0</v>
      </c>
      <c r="G24" s="42">
        <f t="shared" si="1"/>
        <v>0</v>
      </c>
      <c r="H24" s="29">
        <f t="shared" si="1"/>
        <v>0</v>
      </c>
      <c r="I24" s="30">
        <f t="shared" si="1"/>
        <v>0</v>
      </c>
      <c r="J24" s="41">
        <f t="shared" si="1"/>
        <v>0</v>
      </c>
      <c r="K24" s="42">
        <f t="shared" si="1"/>
        <v>0</v>
      </c>
      <c r="L24" s="29">
        <f t="shared" si="1"/>
        <v>0</v>
      </c>
      <c r="M24" s="30">
        <f t="shared" si="1"/>
        <v>0</v>
      </c>
      <c r="N24" s="41">
        <f t="shared" si="1"/>
        <v>0</v>
      </c>
      <c r="O24" s="158">
        <f t="shared" si="1"/>
        <v>0</v>
      </c>
      <c r="P24" s="29">
        <f t="shared" si="1"/>
        <v>0</v>
      </c>
      <c r="Q24" s="22">
        <f t="shared" si="1"/>
        <v>0</v>
      </c>
      <c r="R24" s="39">
        <f t="shared" si="1"/>
        <v>0</v>
      </c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</row>
    <row r="25" spans="1:32" ht="25.5" customHeight="1">
      <c r="A25" s="219"/>
      <c r="B25" s="38" t="s">
        <v>28</v>
      </c>
      <c r="C25" s="38" t="s">
        <v>29</v>
      </c>
      <c r="D25" s="17">
        <f t="shared" ref="D25:R25" si="2">SUM(D15)</f>
        <v>0</v>
      </c>
      <c r="E25" s="22">
        <f t="shared" si="2"/>
        <v>0</v>
      </c>
      <c r="F25" s="39">
        <f t="shared" si="2"/>
        <v>25</v>
      </c>
      <c r="G25" s="40">
        <f t="shared" si="2"/>
        <v>15</v>
      </c>
      <c r="H25" s="29">
        <f t="shared" si="2"/>
        <v>1</v>
      </c>
      <c r="I25" s="22">
        <f t="shared" si="2"/>
        <v>30</v>
      </c>
      <c r="J25" s="39">
        <f t="shared" si="2"/>
        <v>18</v>
      </c>
      <c r="K25" s="40">
        <f t="shared" si="2"/>
        <v>26</v>
      </c>
      <c r="L25" s="21">
        <f t="shared" si="2"/>
        <v>10</v>
      </c>
      <c r="M25" s="18">
        <f t="shared" si="2"/>
        <v>4</v>
      </c>
      <c r="N25" s="39">
        <f t="shared" si="2"/>
        <v>3</v>
      </c>
      <c r="O25" s="158">
        <f t="shared" si="2"/>
        <v>4</v>
      </c>
      <c r="P25" s="29">
        <f t="shared" si="2"/>
        <v>6</v>
      </c>
      <c r="Q25" s="22">
        <f t="shared" si="2"/>
        <v>5</v>
      </c>
      <c r="R25" s="39">
        <f t="shared" si="2"/>
        <v>8</v>
      </c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</row>
    <row r="26" spans="1:32" ht="24.75" customHeight="1">
      <c r="A26" s="219"/>
      <c r="B26" s="24" t="s">
        <v>15</v>
      </c>
      <c r="C26" s="24" t="s">
        <v>16</v>
      </c>
      <c r="D26" s="29">
        <f t="shared" ref="D26:R26" si="3">SUM(D7+D16)</f>
        <v>0</v>
      </c>
      <c r="E26" s="30">
        <f t="shared" si="3"/>
        <v>0</v>
      </c>
      <c r="F26" s="41">
        <f t="shared" si="3"/>
        <v>4</v>
      </c>
      <c r="G26" s="42">
        <f t="shared" si="3"/>
        <v>6</v>
      </c>
      <c r="H26" s="29">
        <f t="shared" si="3"/>
        <v>1</v>
      </c>
      <c r="I26" s="30">
        <f t="shared" si="3"/>
        <v>0</v>
      </c>
      <c r="J26" s="41">
        <f t="shared" si="3"/>
        <v>0</v>
      </c>
      <c r="K26" s="42">
        <f t="shared" si="3"/>
        <v>0</v>
      </c>
      <c r="L26" s="29">
        <f t="shared" si="3"/>
        <v>2</v>
      </c>
      <c r="M26" s="22">
        <f t="shared" si="3"/>
        <v>1</v>
      </c>
      <c r="N26" s="39">
        <f t="shared" si="3"/>
        <v>2</v>
      </c>
      <c r="O26" s="158">
        <f t="shared" si="3"/>
        <v>4</v>
      </c>
      <c r="P26" s="29">
        <f t="shared" si="3"/>
        <v>0</v>
      </c>
      <c r="Q26" s="22">
        <f t="shared" si="3"/>
        <v>2</v>
      </c>
      <c r="R26" s="39">
        <f t="shared" si="3"/>
        <v>2</v>
      </c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</row>
    <row r="27" spans="1:32" ht="23.25" customHeight="1">
      <c r="A27" s="219"/>
      <c r="B27" s="38" t="s">
        <v>17</v>
      </c>
      <c r="C27" s="38" t="s">
        <v>18</v>
      </c>
      <c r="D27" s="21">
        <f t="shared" ref="D27:R27" si="4">SUM(D8+D17)</f>
        <v>0</v>
      </c>
      <c r="E27" s="22">
        <f t="shared" si="4"/>
        <v>0</v>
      </c>
      <c r="F27" s="39">
        <f t="shared" si="4"/>
        <v>2</v>
      </c>
      <c r="G27" s="40">
        <f t="shared" si="4"/>
        <v>4</v>
      </c>
      <c r="H27" s="21">
        <f t="shared" si="4"/>
        <v>0</v>
      </c>
      <c r="I27" s="22">
        <f t="shared" si="4"/>
        <v>0</v>
      </c>
      <c r="J27" s="39">
        <f t="shared" si="4"/>
        <v>0</v>
      </c>
      <c r="K27" s="40">
        <f t="shared" si="4"/>
        <v>0</v>
      </c>
      <c r="L27" s="21">
        <f t="shared" si="4"/>
        <v>0</v>
      </c>
      <c r="M27" s="22">
        <f t="shared" si="4"/>
        <v>0</v>
      </c>
      <c r="N27" s="39">
        <f t="shared" si="4"/>
        <v>1</v>
      </c>
      <c r="O27" s="158">
        <f t="shared" si="4"/>
        <v>9</v>
      </c>
      <c r="P27" s="29">
        <f t="shared" si="4"/>
        <v>1</v>
      </c>
      <c r="Q27" s="22">
        <f t="shared" si="4"/>
        <v>0</v>
      </c>
      <c r="R27" s="39">
        <f t="shared" si="4"/>
        <v>2</v>
      </c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</row>
    <row r="28" spans="1:32" ht="22.5" customHeight="1">
      <c r="A28" s="219"/>
      <c r="B28" s="24" t="s">
        <v>19</v>
      </c>
      <c r="C28" s="24" t="s">
        <v>20</v>
      </c>
      <c r="D28" s="29">
        <f t="shared" ref="D28:R28" si="5">SUM(D9+D18)</f>
        <v>0</v>
      </c>
      <c r="E28" s="30">
        <f t="shared" si="5"/>
        <v>0</v>
      </c>
      <c r="F28" s="41">
        <f t="shared" si="5"/>
        <v>16</v>
      </c>
      <c r="G28" s="42">
        <f t="shared" si="5"/>
        <v>26</v>
      </c>
      <c r="H28" s="29">
        <f t="shared" si="5"/>
        <v>6</v>
      </c>
      <c r="I28" s="30">
        <f t="shared" si="5"/>
        <v>18</v>
      </c>
      <c r="J28" s="41">
        <f t="shared" si="5"/>
        <v>18</v>
      </c>
      <c r="K28" s="42">
        <f t="shared" si="5"/>
        <v>9</v>
      </c>
      <c r="L28" s="29">
        <f t="shared" si="5"/>
        <v>59</v>
      </c>
      <c r="M28" s="22">
        <f t="shared" si="5"/>
        <v>3</v>
      </c>
      <c r="N28" s="39">
        <f t="shared" si="5"/>
        <v>13</v>
      </c>
      <c r="O28" s="158">
        <f t="shared" si="5"/>
        <v>7</v>
      </c>
      <c r="P28" s="29">
        <f t="shared" si="5"/>
        <v>21</v>
      </c>
      <c r="Q28" s="22">
        <f t="shared" si="5"/>
        <v>18</v>
      </c>
      <c r="R28" s="39">
        <f t="shared" si="5"/>
        <v>42</v>
      </c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</row>
    <row r="29" spans="1:32" ht="24.75" customHeight="1">
      <c r="A29" s="219"/>
      <c r="B29" s="38" t="s">
        <v>21</v>
      </c>
      <c r="C29" s="38" t="s">
        <v>22</v>
      </c>
      <c r="D29" s="21">
        <f t="shared" ref="D29:R29" si="6">SUM(D10+D19)</f>
        <v>0</v>
      </c>
      <c r="E29" s="22">
        <f t="shared" si="6"/>
        <v>0</v>
      </c>
      <c r="F29" s="39">
        <f t="shared" si="6"/>
        <v>165</v>
      </c>
      <c r="G29" s="40">
        <f t="shared" si="6"/>
        <v>125</v>
      </c>
      <c r="H29" s="21">
        <f t="shared" si="6"/>
        <v>30</v>
      </c>
      <c r="I29" s="22">
        <f t="shared" si="6"/>
        <v>130</v>
      </c>
      <c r="J29" s="39">
        <f t="shared" si="6"/>
        <v>53</v>
      </c>
      <c r="K29" s="40">
        <f t="shared" si="6"/>
        <v>18</v>
      </c>
      <c r="L29" s="21">
        <f t="shared" si="6"/>
        <v>25</v>
      </c>
      <c r="M29" s="22">
        <f t="shared" si="6"/>
        <v>13</v>
      </c>
      <c r="N29" s="39">
        <f t="shared" si="6"/>
        <v>11</v>
      </c>
      <c r="O29" s="158">
        <f t="shared" si="6"/>
        <v>9</v>
      </c>
      <c r="P29" s="29">
        <f t="shared" si="6"/>
        <v>14</v>
      </c>
      <c r="Q29" s="22">
        <f t="shared" si="6"/>
        <v>49</v>
      </c>
      <c r="R29" s="39">
        <f t="shared" si="6"/>
        <v>55</v>
      </c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</row>
    <row r="30" spans="1:32" ht="24.75" customHeight="1">
      <c r="A30" s="219"/>
      <c r="B30" s="24" t="s">
        <v>23</v>
      </c>
      <c r="C30" s="24" t="s">
        <v>24</v>
      </c>
      <c r="D30" s="29">
        <f t="shared" ref="D30:R30" si="7">SUM(D11+D20)</f>
        <v>0</v>
      </c>
      <c r="E30" s="30">
        <f t="shared" si="7"/>
        <v>0</v>
      </c>
      <c r="F30" s="41">
        <f t="shared" si="7"/>
        <v>2</v>
      </c>
      <c r="G30" s="42">
        <f t="shared" si="7"/>
        <v>3</v>
      </c>
      <c r="H30" s="29">
        <f t="shared" si="7"/>
        <v>0</v>
      </c>
      <c r="I30" s="30">
        <f t="shared" si="7"/>
        <v>12</v>
      </c>
      <c r="J30" s="41">
        <f t="shared" si="7"/>
        <v>1</v>
      </c>
      <c r="K30" s="42">
        <f t="shared" si="7"/>
        <v>0</v>
      </c>
      <c r="L30" s="29">
        <f t="shared" si="7"/>
        <v>0</v>
      </c>
      <c r="M30" s="22">
        <f t="shared" si="7"/>
        <v>0</v>
      </c>
      <c r="N30" s="39">
        <f t="shared" si="7"/>
        <v>1</v>
      </c>
      <c r="O30" s="158">
        <f t="shared" si="7"/>
        <v>0</v>
      </c>
      <c r="P30" s="29">
        <f t="shared" si="7"/>
        <v>1</v>
      </c>
      <c r="Q30" s="22">
        <f t="shared" si="7"/>
        <v>0</v>
      </c>
      <c r="R30" s="39">
        <f t="shared" si="7"/>
        <v>0</v>
      </c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</row>
    <row r="31" spans="1:32" ht="25.5" customHeight="1">
      <c r="A31" s="220"/>
      <c r="B31" s="43" t="s">
        <v>25</v>
      </c>
      <c r="C31" s="43" t="s">
        <v>26</v>
      </c>
      <c r="D31" s="21">
        <f t="shared" ref="D31:R31" si="8">SUM(D12+D21)</f>
        <v>0</v>
      </c>
      <c r="E31" s="22">
        <f t="shared" si="8"/>
        <v>0</v>
      </c>
      <c r="F31" s="39">
        <f t="shared" si="8"/>
        <v>12</v>
      </c>
      <c r="G31" s="40">
        <f t="shared" si="8"/>
        <v>3</v>
      </c>
      <c r="H31" s="21">
        <f t="shared" si="8"/>
        <v>0</v>
      </c>
      <c r="I31" s="22">
        <f t="shared" si="8"/>
        <v>3</v>
      </c>
      <c r="J31" s="39">
        <f t="shared" si="8"/>
        <v>1</v>
      </c>
      <c r="K31" s="40">
        <f t="shared" si="8"/>
        <v>32</v>
      </c>
      <c r="L31" s="21">
        <f t="shared" si="8"/>
        <v>0</v>
      </c>
      <c r="M31" s="22">
        <f t="shared" si="8"/>
        <v>0</v>
      </c>
      <c r="N31" s="39">
        <f t="shared" si="8"/>
        <v>2</v>
      </c>
      <c r="O31" s="158">
        <f t="shared" si="8"/>
        <v>0</v>
      </c>
      <c r="P31" s="29">
        <f t="shared" si="8"/>
        <v>0</v>
      </c>
      <c r="Q31" s="22">
        <f t="shared" si="8"/>
        <v>0</v>
      </c>
      <c r="R31" s="39">
        <f t="shared" si="8"/>
        <v>1</v>
      </c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</row>
    <row r="32" spans="1:32" ht="21.75" customHeight="1">
      <c r="A32" s="44"/>
      <c r="B32" s="44"/>
      <c r="C32" s="45" t="s">
        <v>30</v>
      </c>
      <c r="D32" s="46">
        <f t="shared" ref="D32:R32" si="9">SUM(D23:D31)</f>
        <v>0</v>
      </c>
      <c r="E32" s="47">
        <f t="shared" si="9"/>
        <v>0</v>
      </c>
      <c r="F32" s="48">
        <f t="shared" si="9"/>
        <v>229</v>
      </c>
      <c r="G32" s="49">
        <f t="shared" si="9"/>
        <v>182</v>
      </c>
      <c r="H32" s="46">
        <f t="shared" si="9"/>
        <v>41</v>
      </c>
      <c r="I32" s="47">
        <f t="shared" si="9"/>
        <v>193</v>
      </c>
      <c r="J32" s="48">
        <f t="shared" si="9"/>
        <v>91</v>
      </c>
      <c r="K32" s="49">
        <f t="shared" si="9"/>
        <v>85</v>
      </c>
      <c r="L32" s="46">
        <f t="shared" si="9"/>
        <v>96</v>
      </c>
      <c r="M32" s="47">
        <f t="shared" si="9"/>
        <v>21</v>
      </c>
      <c r="N32" s="48">
        <f t="shared" si="9"/>
        <v>33</v>
      </c>
      <c r="O32" s="158">
        <f t="shared" si="9"/>
        <v>33</v>
      </c>
      <c r="P32" s="29">
        <f t="shared" si="9"/>
        <v>43</v>
      </c>
      <c r="Q32" s="22">
        <f t="shared" si="9"/>
        <v>74</v>
      </c>
      <c r="R32" s="39">
        <f t="shared" si="9"/>
        <v>113</v>
      </c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</row>
    <row r="33" spans="1:32" ht="24.75" customHeight="1">
      <c r="A33" s="50"/>
      <c r="B33" s="50"/>
      <c r="C33" s="45" t="s">
        <v>31</v>
      </c>
      <c r="D33" s="131" t="s">
        <v>71</v>
      </c>
      <c r="E33" s="132" t="s">
        <v>71</v>
      </c>
      <c r="F33" s="53">
        <f t="shared" ref="F33:R33" si="10">F32*40</f>
        <v>9160</v>
      </c>
      <c r="G33" s="54">
        <f t="shared" si="10"/>
        <v>7280</v>
      </c>
      <c r="H33" s="51">
        <f t="shared" si="10"/>
        <v>1640</v>
      </c>
      <c r="I33" s="52">
        <f t="shared" si="10"/>
        <v>7720</v>
      </c>
      <c r="J33" s="53">
        <f t="shared" si="10"/>
        <v>3640</v>
      </c>
      <c r="K33" s="54">
        <f t="shared" si="10"/>
        <v>3400</v>
      </c>
      <c r="L33" s="51">
        <f t="shared" si="10"/>
        <v>3840</v>
      </c>
      <c r="M33" s="52">
        <f t="shared" si="10"/>
        <v>840</v>
      </c>
      <c r="N33" s="53">
        <f t="shared" si="10"/>
        <v>1320</v>
      </c>
      <c r="O33" s="54">
        <f t="shared" si="10"/>
        <v>1320</v>
      </c>
      <c r="P33" s="29">
        <f t="shared" si="10"/>
        <v>1720</v>
      </c>
      <c r="Q33" s="22">
        <f t="shared" si="10"/>
        <v>2960</v>
      </c>
      <c r="R33" s="39">
        <f t="shared" si="10"/>
        <v>4520</v>
      </c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</row>
    <row r="34" spans="1:32" ht="27.75" customHeight="1">
      <c r="A34" s="50"/>
      <c r="C34" s="98" t="s">
        <v>53</v>
      </c>
      <c r="D34" s="99"/>
      <c r="E34" s="99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56"/>
      <c r="T34" s="56"/>
      <c r="U34" s="56"/>
      <c r="V34" s="56"/>
      <c r="W34" s="56"/>
      <c r="X34" s="97"/>
      <c r="Y34" s="97"/>
      <c r="Z34" s="97"/>
      <c r="AA34" s="97"/>
      <c r="AB34" s="97"/>
      <c r="AC34" s="97"/>
      <c r="AD34" s="97"/>
      <c r="AE34" s="97"/>
      <c r="AF34" s="97"/>
    </row>
    <row r="35" spans="1:32" ht="15" customHeight="1">
      <c r="D35" s="5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</row>
    <row r="36" spans="1:32" ht="15" customHeight="1">
      <c r="B36" s="57" t="s">
        <v>32</v>
      </c>
      <c r="C36" s="58"/>
      <c r="D36" s="55"/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</row>
    <row r="37" spans="1:32" ht="18.75" customHeight="1">
      <c r="B37" s="59" t="s">
        <v>33</v>
      </c>
      <c r="C37" s="159" t="s">
        <v>95</v>
      </c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5"/>
      <c r="P37" s="55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</row>
    <row r="38" spans="1:32" ht="17.25" customHeight="1">
      <c r="B38" s="59" t="s">
        <v>34</v>
      </c>
      <c r="C38" s="159" t="s">
        <v>96</v>
      </c>
      <c r="D38" s="55"/>
      <c r="E38" s="55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</row>
    <row r="39" spans="1:32" ht="15" customHeight="1">
      <c r="A39" s="50"/>
      <c r="B39" s="59" t="s">
        <v>35</v>
      </c>
      <c r="C39" s="159" t="s">
        <v>97</v>
      </c>
      <c r="D39" s="55"/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</row>
    <row r="40" spans="1:32" ht="15" customHeight="1">
      <c r="A40" s="50"/>
      <c r="B40" s="59" t="s">
        <v>36</v>
      </c>
      <c r="C40" s="159" t="s">
        <v>98</v>
      </c>
      <c r="D40" s="55"/>
      <c r="E40" s="55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</row>
    <row r="41" spans="1:32" ht="15" customHeight="1">
      <c r="A41" s="50"/>
      <c r="B41" s="50"/>
      <c r="C41" s="50"/>
      <c r="D41" s="55"/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</row>
    <row r="42" spans="1:32" ht="15" customHeight="1">
      <c r="A42" s="50"/>
      <c r="B42" s="50"/>
      <c r="C42" s="50"/>
      <c r="D42" s="237">
        <v>2022</v>
      </c>
      <c r="E42" s="222"/>
      <c r="F42" s="222"/>
      <c r="G42" s="223"/>
      <c r="H42" s="234">
        <v>2023</v>
      </c>
      <c r="I42" s="222"/>
      <c r="J42" s="222"/>
      <c r="K42" s="223"/>
      <c r="L42" s="234">
        <v>2024</v>
      </c>
      <c r="M42" s="222"/>
      <c r="N42" s="222"/>
      <c r="O42" s="223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</row>
    <row r="43" spans="1:32" ht="23.25" customHeight="1">
      <c r="C43" s="50"/>
      <c r="D43" s="103" t="s">
        <v>58</v>
      </c>
      <c r="E43" s="104" t="s">
        <v>59</v>
      </c>
      <c r="F43" s="105" t="s">
        <v>60</v>
      </c>
      <c r="G43" s="106" t="s">
        <v>61</v>
      </c>
      <c r="H43" s="107" t="s">
        <v>62</v>
      </c>
      <c r="I43" s="104" t="s">
        <v>63</v>
      </c>
      <c r="J43" s="105" t="s">
        <v>64</v>
      </c>
      <c r="K43" s="106" t="s">
        <v>65</v>
      </c>
      <c r="L43" s="107" t="s">
        <v>66</v>
      </c>
      <c r="M43" s="104" t="s">
        <v>67</v>
      </c>
      <c r="N43" s="105" t="s">
        <v>68</v>
      </c>
      <c r="O43" s="106" t="s">
        <v>69</v>
      </c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</row>
    <row r="44" spans="1:32" ht="14.25" customHeight="1">
      <c r="C44" s="38" t="s">
        <v>11</v>
      </c>
      <c r="D44" s="109"/>
      <c r="E44" s="109"/>
      <c r="F44" s="109">
        <f t="shared" ref="F44:O44" si="11">F23*40</f>
        <v>120</v>
      </c>
      <c r="G44" s="109">
        <f t="shared" si="11"/>
        <v>0</v>
      </c>
      <c r="H44" s="109">
        <f t="shared" si="11"/>
        <v>120</v>
      </c>
      <c r="I44" s="109">
        <f t="shared" si="11"/>
        <v>0</v>
      </c>
      <c r="J44" s="109">
        <f t="shared" si="11"/>
        <v>0</v>
      </c>
      <c r="K44" s="109">
        <f t="shared" si="11"/>
        <v>0</v>
      </c>
      <c r="L44" s="109">
        <f t="shared" si="11"/>
        <v>0</v>
      </c>
      <c r="M44" s="109">
        <f t="shared" si="11"/>
        <v>0</v>
      </c>
      <c r="N44" s="109">
        <f t="shared" si="11"/>
        <v>0</v>
      </c>
      <c r="O44" s="109">
        <f t="shared" si="11"/>
        <v>0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</row>
    <row r="45" spans="1:32" ht="14.25" customHeight="1">
      <c r="C45" s="24" t="s">
        <v>13</v>
      </c>
      <c r="D45" s="40"/>
      <c r="E45" s="40"/>
      <c r="F45" s="40">
        <f t="shared" ref="F45:O45" si="12">F24*40</f>
        <v>0</v>
      </c>
      <c r="G45" s="40">
        <f t="shared" si="12"/>
        <v>0</v>
      </c>
      <c r="H45" s="40">
        <f t="shared" si="12"/>
        <v>0</v>
      </c>
      <c r="I45" s="40">
        <f t="shared" si="12"/>
        <v>0</v>
      </c>
      <c r="J45" s="40">
        <f t="shared" si="12"/>
        <v>0</v>
      </c>
      <c r="K45" s="40">
        <f t="shared" si="12"/>
        <v>0</v>
      </c>
      <c r="L45" s="40">
        <f t="shared" si="12"/>
        <v>0</v>
      </c>
      <c r="M45" s="40">
        <f t="shared" si="12"/>
        <v>0</v>
      </c>
      <c r="N45" s="40">
        <f t="shared" si="12"/>
        <v>0</v>
      </c>
      <c r="O45" s="40">
        <f t="shared" si="12"/>
        <v>0</v>
      </c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</row>
    <row r="46" spans="1:32" ht="14.25" customHeight="1">
      <c r="C46" s="38" t="s">
        <v>28</v>
      </c>
      <c r="D46" s="109"/>
      <c r="E46" s="109"/>
      <c r="F46" s="109">
        <f t="shared" ref="F46:O46" si="13">F25*40</f>
        <v>1000</v>
      </c>
      <c r="G46" s="109">
        <f t="shared" si="13"/>
        <v>600</v>
      </c>
      <c r="H46" s="109">
        <f t="shared" si="13"/>
        <v>40</v>
      </c>
      <c r="I46" s="109">
        <f t="shared" si="13"/>
        <v>1200</v>
      </c>
      <c r="J46" s="109">
        <f t="shared" si="13"/>
        <v>720</v>
      </c>
      <c r="K46" s="109">
        <f t="shared" si="13"/>
        <v>1040</v>
      </c>
      <c r="L46" s="109">
        <f t="shared" si="13"/>
        <v>400</v>
      </c>
      <c r="M46" s="109">
        <f t="shared" si="13"/>
        <v>160</v>
      </c>
      <c r="N46" s="109">
        <f t="shared" si="13"/>
        <v>120</v>
      </c>
      <c r="O46" s="109">
        <f t="shared" si="13"/>
        <v>160</v>
      </c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</row>
    <row r="47" spans="1:32" ht="14.25" customHeight="1">
      <c r="C47" s="24" t="s">
        <v>15</v>
      </c>
      <c r="D47" s="40"/>
      <c r="E47" s="40"/>
      <c r="F47" s="40">
        <f t="shared" ref="F47:O47" si="14">F26*40</f>
        <v>160</v>
      </c>
      <c r="G47" s="40">
        <f t="shared" si="14"/>
        <v>240</v>
      </c>
      <c r="H47" s="40">
        <f t="shared" si="14"/>
        <v>40</v>
      </c>
      <c r="I47" s="40">
        <f t="shared" si="14"/>
        <v>0</v>
      </c>
      <c r="J47" s="40">
        <f t="shared" si="14"/>
        <v>0</v>
      </c>
      <c r="K47" s="40">
        <f t="shared" si="14"/>
        <v>0</v>
      </c>
      <c r="L47" s="40">
        <f t="shared" si="14"/>
        <v>80</v>
      </c>
      <c r="M47" s="40">
        <f t="shared" si="14"/>
        <v>40</v>
      </c>
      <c r="N47" s="40">
        <f t="shared" si="14"/>
        <v>80</v>
      </c>
      <c r="O47" s="40">
        <f t="shared" si="14"/>
        <v>160</v>
      </c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</row>
    <row r="48" spans="1:32" ht="14.25" customHeight="1">
      <c r="C48" s="38" t="s">
        <v>17</v>
      </c>
      <c r="D48" s="109"/>
      <c r="E48" s="109"/>
      <c r="F48" s="109">
        <f t="shared" ref="F48:O48" si="15">F27*40</f>
        <v>80</v>
      </c>
      <c r="G48" s="109">
        <f t="shared" si="15"/>
        <v>160</v>
      </c>
      <c r="H48" s="109">
        <f t="shared" si="15"/>
        <v>0</v>
      </c>
      <c r="I48" s="109">
        <f t="shared" si="15"/>
        <v>0</v>
      </c>
      <c r="J48" s="109">
        <f t="shared" si="15"/>
        <v>0</v>
      </c>
      <c r="K48" s="109">
        <f t="shared" si="15"/>
        <v>0</v>
      </c>
      <c r="L48" s="109">
        <f t="shared" si="15"/>
        <v>0</v>
      </c>
      <c r="M48" s="109">
        <f t="shared" si="15"/>
        <v>0</v>
      </c>
      <c r="N48" s="109">
        <f t="shared" si="15"/>
        <v>40</v>
      </c>
      <c r="O48" s="109">
        <f t="shared" si="15"/>
        <v>360</v>
      </c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</row>
    <row r="49" spans="3:32" ht="14.25" customHeight="1">
      <c r="C49" s="24" t="s">
        <v>19</v>
      </c>
      <c r="D49" s="40"/>
      <c r="E49" s="40"/>
      <c r="F49" s="40">
        <f t="shared" ref="F49:O49" si="16">F28*40</f>
        <v>640</v>
      </c>
      <c r="G49" s="40">
        <f t="shared" si="16"/>
        <v>1040</v>
      </c>
      <c r="H49" s="40">
        <f t="shared" si="16"/>
        <v>240</v>
      </c>
      <c r="I49" s="40">
        <f t="shared" si="16"/>
        <v>720</v>
      </c>
      <c r="J49" s="40">
        <f t="shared" si="16"/>
        <v>720</v>
      </c>
      <c r="K49" s="40">
        <f t="shared" si="16"/>
        <v>360</v>
      </c>
      <c r="L49" s="40">
        <f t="shared" si="16"/>
        <v>2360</v>
      </c>
      <c r="M49" s="40">
        <f t="shared" si="16"/>
        <v>120</v>
      </c>
      <c r="N49" s="40">
        <f t="shared" si="16"/>
        <v>520</v>
      </c>
      <c r="O49" s="40">
        <f t="shared" si="16"/>
        <v>280</v>
      </c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</row>
    <row r="50" spans="3:32" ht="14.25" customHeight="1">
      <c r="C50" s="38" t="s">
        <v>21</v>
      </c>
      <c r="D50" s="109"/>
      <c r="E50" s="109"/>
      <c r="F50" s="109">
        <f t="shared" ref="F50:O50" si="17">F29*40</f>
        <v>6600</v>
      </c>
      <c r="G50" s="109">
        <f t="shared" si="17"/>
        <v>5000</v>
      </c>
      <c r="H50" s="109">
        <f t="shared" si="17"/>
        <v>1200</v>
      </c>
      <c r="I50" s="109">
        <f t="shared" si="17"/>
        <v>5200</v>
      </c>
      <c r="J50" s="109">
        <f t="shared" si="17"/>
        <v>2120</v>
      </c>
      <c r="K50" s="109">
        <f t="shared" si="17"/>
        <v>720</v>
      </c>
      <c r="L50" s="109">
        <f t="shared" si="17"/>
        <v>1000</v>
      </c>
      <c r="M50" s="109">
        <f t="shared" si="17"/>
        <v>520</v>
      </c>
      <c r="N50" s="109">
        <f t="shared" si="17"/>
        <v>440</v>
      </c>
      <c r="O50" s="109">
        <f t="shared" si="17"/>
        <v>360</v>
      </c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</row>
    <row r="51" spans="3:32" ht="14.25" customHeight="1">
      <c r="C51" s="24" t="s">
        <v>23</v>
      </c>
      <c r="D51" s="40"/>
      <c r="E51" s="40"/>
      <c r="F51" s="40">
        <f t="shared" ref="F51:O51" si="18">F30*40</f>
        <v>80</v>
      </c>
      <c r="G51" s="40">
        <f t="shared" si="18"/>
        <v>120</v>
      </c>
      <c r="H51" s="40">
        <f t="shared" si="18"/>
        <v>0</v>
      </c>
      <c r="I51" s="40">
        <f t="shared" si="18"/>
        <v>480</v>
      </c>
      <c r="J51" s="40">
        <f t="shared" si="18"/>
        <v>40</v>
      </c>
      <c r="K51" s="40">
        <f t="shared" si="18"/>
        <v>0</v>
      </c>
      <c r="L51" s="40">
        <f t="shared" si="18"/>
        <v>0</v>
      </c>
      <c r="M51" s="40">
        <f t="shared" si="18"/>
        <v>0</v>
      </c>
      <c r="N51" s="40">
        <f t="shared" si="18"/>
        <v>40</v>
      </c>
      <c r="O51" s="40">
        <f t="shared" si="18"/>
        <v>0</v>
      </c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</row>
    <row r="52" spans="3:32" ht="14.25" customHeight="1">
      <c r="C52" s="43" t="s">
        <v>25</v>
      </c>
      <c r="D52" s="109"/>
      <c r="E52" s="109"/>
      <c r="F52" s="109">
        <f t="shared" ref="F52:O52" si="19">F31*40</f>
        <v>480</v>
      </c>
      <c r="G52" s="109">
        <f t="shared" si="19"/>
        <v>120</v>
      </c>
      <c r="H52" s="109">
        <f t="shared" si="19"/>
        <v>0</v>
      </c>
      <c r="I52" s="109">
        <f t="shared" si="19"/>
        <v>120</v>
      </c>
      <c r="J52" s="109">
        <f t="shared" si="19"/>
        <v>40</v>
      </c>
      <c r="K52" s="109">
        <f t="shared" si="19"/>
        <v>1280</v>
      </c>
      <c r="L52" s="109">
        <f t="shared" si="19"/>
        <v>0</v>
      </c>
      <c r="M52" s="109">
        <f t="shared" si="19"/>
        <v>0</v>
      </c>
      <c r="N52" s="109">
        <f t="shared" si="19"/>
        <v>80</v>
      </c>
      <c r="O52" s="109">
        <f t="shared" si="19"/>
        <v>0</v>
      </c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</row>
    <row r="53" spans="3:32" ht="14.25" customHeight="1"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</row>
    <row r="54" spans="3:32" ht="14.25" customHeight="1"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</row>
    <row r="55" spans="3:32" ht="14.25" customHeight="1">
      <c r="C55" s="67" t="s">
        <v>90</v>
      </c>
      <c r="D55" s="56"/>
      <c r="E55" s="56"/>
      <c r="F55" s="56"/>
      <c r="G55" s="56"/>
      <c r="H55" s="56">
        <f>SUM(H46:J46)</f>
        <v>1960</v>
      </c>
      <c r="I55" s="56"/>
      <c r="J55" s="56"/>
      <c r="K55" s="235">
        <f>SUM(K46:N46)</f>
        <v>1720</v>
      </c>
      <c r="L55" s="222"/>
      <c r="M55" s="222"/>
      <c r="N55" s="223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</row>
    <row r="56" spans="3:32" ht="14.25" customHeight="1"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</row>
    <row r="57" spans="3:32" ht="14.25" customHeight="1"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</row>
    <row r="58" spans="3:32" ht="14.25" customHeight="1"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</row>
    <row r="59" spans="3:32" ht="14.25" customHeight="1"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</row>
    <row r="60" spans="3:32" ht="14.25" customHeight="1"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</row>
    <row r="61" spans="3:32" ht="14.25" customHeight="1"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</row>
    <row r="62" spans="3:32" ht="14.25" customHeight="1"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</row>
    <row r="63" spans="3:32" ht="14.25" customHeight="1"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</row>
    <row r="64" spans="3:32" ht="14.25" customHeight="1"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</row>
    <row r="65" spans="4:32" ht="14.25" customHeight="1"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</row>
    <row r="66" spans="4:32" ht="14.25" customHeight="1"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</row>
    <row r="67" spans="4:32" ht="14.25" customHeight="1"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</row>
    <row r="68" spans="4:32" ht="14.25" customHeight="1"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</row>
    <row r="69" spans="4:32" ht="14.25" customHeight="1"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</row>
    <row r="70" spans="4:32" ht="14.25" customHeight="1"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</row>
    <row r="71" spans="4:32" ht="14.25" customHeight="1"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</row>
    <row r="72" spans="4:32" ht="14.25" customHeight="1"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</row>
    <row r="73" spans="4:32" ht="14.25" customHeight="1"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</row>
    <row r="74" spans="4:32" ht="14.25" customHeight="1"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</row>
    <row r="75" spans="4:32" ht="14.25" customHeight="1"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</row>
    <row r="76" spans="4:32" ht="14.25" customHeight="1"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</row>
    <row r="77" spans="4:32" ht="14.25" customHeight="1"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</row>
    <row r="78" spans="4:32" ht="14.25" customHeight="1"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</row>
    <row r="79" spans="4:32" ht="14.25" customHeight="1"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</row>
    <row r="80" spans="4:32" ht="14.25" customHeight="1"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</row>
    <row r="81" spans="4:32" ht="14.25" customHeight="1"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</row>
    <row r="82" spans="4:32" ht="14.25" customHeight="1"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</row>
    <row r="83" spans="4:32" ht="14.25" customHeight="1"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</row>
    <row r="84" spans="4:32" ht="14.25" customHeight="1"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</row>
    <row r="85" spans="4:32" ht="14.25" customHeight="1"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</row>
    <row r="86" spans="4:32" ht="14.25" customHeight="1"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</row>
    <row r="87" spans="4:32" ht="14.25" customHeight="1"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</row>
    <row r="88" spans="4:32" ht="14.25" customHeight="1"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</row>
    <row r="89" spans="4:32" ht="14.25" customHeight="1"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</row>
    <row r="90" spans="4:32" ht="14.25" customHeight="1"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</row>
    <row r="91" spans="4:32" ht="14.25" customHeight="1"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</row>
    <row r="92" spans="4:32" ht="14.25" customHeight="1"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</row>
    <row r="93" spans="4:32" ht="14.25" customHeight="1"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</row>
    <row r="94" spans="4:32" ht="14.25" customHeight="1"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</row>
    <row r="95" spans="4:32" ht="14.25" customHeight="1"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</row>
    <row r="96" spans="4:32" ht="14.25" customHeight="1"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</row>
    <row r="97" spans="4:32" ht="14.25" customHeight="1"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</row>
    <row r="98" spans="4:32" ht="14.25" customHeight="1"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</row>
    <row r="99" spans="4:32" ht="14.25" customHeight="1"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</row>
    <row r="100" spans="4:32" ht="14.25" customHeight="1"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</row>
    <row r="101" spans="4:32" ht="14.25" customHeight="1"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</row>
    <row r="102" spans="4:32" ht="14.25" customHeight="1"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</row>
    <row r="103" spans="4:32" ht="14.25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</row>
    <row r="104" spans="4:32" ht="14.25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</row>
    <row r="105" spans="4:32" ht="14.25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</row>
    <row r="106" spans="4:32" ht="14.25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</row>
    <row r="107" spans="4:32" ht="14.25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</row>
    <row r="108" spans="4:32" ht="14.25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</row>
    <row r="109" spans="4:32" ht="14.25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</row>
    <row r="110" spans="4:32" ht="14.25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</row>
    <row r="111" spans="4:32" ht="14.25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</row>
    <row r="112" spans="4:32" ht="14.25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</row>
    <row r="113" spans="4:32" ht="14.25" customHeight="1">
      <c r="D113" s="61"/>
      <c r="E113" s="62"/>
      <c r="F113" s="63"/>
      <c r="G113" s="64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</row>
    <row r="114" spans="4:32" ht="14.25" customHeight="1">
      <c r="D114" s="61"/>
      <c r="E114" s="62"/>
      <c r="F114" s="63"/>
      <c r="G114" s="64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</row>
    <row r="115" spans="4:32" ht="14.25" customHeight="1">
      <c r="D115" s="61"/>
      <c r="E115" s="62"/>
      <c r="F115" s="63"/>
      <c r="G115" s="64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</row>
    <row r="116" spans="4:32" ht="14.25" customHeight="1">
      <c r="D116" s="61"/>
      <c r="E116" s="62"/>
      <c r="F116" s="63"/>
      <c r="G116" s="64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</row>
    <row r="117" spans="4:32" ht="14.25" customHeight="1">
      <c r="D117" s="61"/>
      <c r="E117" s="62"/>
      <c r="F117" s="63"/>
      <c r="G117" s="64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</row>
    <row r="118" spans="4:32" ht="14.25" customHeight="1">
      <c r="D118" s="61"/>
      <c r="E118" s="62"/>
      <c r="F118" s="63"/>
      <c r="G118" s="64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</row>
    <row r="119" spans="4:32" ht="14.25" customHeight="1">
      <c r="D119" s="61"/>
      <c r="E119" s="62"/>
      <c r="F119" s="63"/>
      <c r="G119" s="64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</row>
    <row r="120" spans="4:32" ht="14.25" customHeight="1">
      <c r="D120" s="61"/>
      <c r="E120" s="62"/>
      <c r="F120" s="63"/>
      <c r="G120" s="64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</row>
    <row r="121" spans="4:32" ht="14.25" customHeight="1">
      <c r="D121" s="61"/>
      <c r="E121" s="62"/>
      <c r="F121" s="63"/>
      <c r="G121" s="64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</row>
    <row r="122" spans="4:32" ht="14.25" customHeight="1">
      <c r="D122" s="61"/>
      <c r="E122" s="62"/>
      <c r="F122" s="63"/>
      <c r="G122" s="64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</row>
    <row r="123" spans="4:32" ht="14.25" customHeight="1">
      <c r="D123" s="61"/>
      <c r="E123" s="62"/>
      <c r="F123" s="63"/>
      <c r="G123" s="64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</row>
    <row r="124" spans="4:32" ht="14.25" customHeight="1">
      <c r="D124" s="61"/>
      <c r="E124" s="62"/>
      <c r="F124" s="63"/>
      <c r="G124" s="64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</row>
    <row r="125" spans="4:32" ht="14.25" customHeight="1">
      <c r="D125" s="61"/>
      <c r="E125" s="62"/>
      <c r="F125" s="63"/>
      <c r="G125" s="64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</row>
    <row r="126" spans="4:32" ht="14.25" customHeight="1">
      <c r="D126" s="61"/>
      <c r="E126" s="62"/>
      <c r="F126" s="63"/>
      <c r="G126" s="64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</row>
    <row r="127" spans="4:32" ht="14.25" customHeight="1">
      <c r="D127" s="61"/>
      <c r="E127" s="62"/>
      <c r="F127" s="63"/>
      <c r="G127" s="64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</row>
    <row r="128" spans="4:32" ht="14.25" customHeight="1">
      <c r="D128" s="61"/>
      <c r="E128" s="62"/>
      <c r="F128" s="63"/>
      <c r="G128" s="64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</row>
    <row r="129" spans="4:32" ht="14.25" customHeight="1">
      <c r="D129" s="61"/>
      <c r="E129" s="62"/>
      <c r="F129" s="63"/>
      <c r="G129" s="64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</row>
    <row r="130" spans="4:32" ht="14.25" customHeight="1">
      <c r="D130" s="61"/>
      <c r="E130" s="62"/>
      <c r="F130" s="63"/>
      <c r="G130" s="64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</row>
    <row r="131" spans="4:32" ht="14.25" customHeight="1">
      <c r="D131" s="61"/>
      <c r="E131" s="62"/>
      <c r="F131" s="63"/>
      <c r="G131" s="64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</row>
    <row r="132" spans="4:32" ht="14.25" customHeight="1">
      <c r="D132" s="61"/>
      <c r="E132" s="62"/>
      <c r="F132" s="63"/>
      <c r="G132" s="64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</row>
    <row r="133" spans="4:32" ht="14.25" customHeight="1">
      <c r="D133" s="61"/>
      <c r="E133" s="62"/>
      <c r="F133" s="63"/>
      <c r="G133" s="64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</row>
    <row r="134" spans="4:32" ht="14.25" customHeight="1">
      <c r="D134" s="61"/>
      <c r="E134" s="62"/>
      <c r="F134" s="63"/>
      <c r="G134" s="64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</row>
    <row r="135" spans="4:32" ht="14.25" customHeight="1">
      <c r="D135" s="61"/>
      <c r="E135" s="62"/>
      <c r="F135" s="63"/>
      <c r="G135" s="64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</row>
    <row r="136" spans="4:32" ht="14.25" customHeight="1">
      <c r="D136" s="61"/>
      <c r="E136" s="62"/>
      <c r="F136" s="63"/>
      <c r="G136" s="64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</row>
    <row r="137" spans="4:32" ht="14.25" customHeight="1">
      <c r="D137" s="61"/>
      <c r="E137" s="62"/>
      <c r="F137" s="63"/>
      <c r="G137" s="64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</row>
    <row r="138" spans="4:32" ht="14.25" customHeight="1">
      <c r="D138" s="61"/>
      <c r="E138" s="62"/>
      <c r="F138" s="63"/>
      <c r="G138" s="64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</row>
    <row r="139" spans="4:32" ht="14.25" customHeight="1">
      <c r="D139" s="61"/>
      <c r="E139" s="62"/>
      <c r="F139" s="63"/>
      <c r="G139" s="64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</row>
    <row r="140" spans="4:32" ht="14.25" customHeight="1">
      <c r="D140" s="61"/>
      <c r="E140" s="62"/>
      <c r="F140" s="63"/>
      <c r="G140" s="64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spans="4:32" ht="14.25" customHeight="1">
      <c r="D141" s="61"/>
      <c r="E141" s="62"/>
      <c r="F141" s="63"/>
      <c r="G141" s="64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</row>
    <row r="142" spans="4:32" ht="14.25" customHeight="1">
      <c r="D142" s="61"/>
      <c r="E142" s="62"/>
      <c r="F142" s="63"/>
      <c r="G142" s="64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</row>
    <row r="143" spans="4:32" ht="14.25" customHeight="1">
      <c r="D143" s="61"/>
      <c r="E143" s="62"/>
      <c r="F143" s="63"/>
      <c r="G143" s="64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</row>
    <row r="144" spans="4:32" ht="14.25" customHeight="1">
      <c r="D144" s="61"/>
      <c r="E144" s="62"/>
      <c r="F144" s="63"/>
      <c r="G144" s="64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</row>
    <row r="145" spans="4:32" ht="14.25" customHeight="1">
      <c r="D145" s="61"/>
      <c r="E145" s="62"/>
      <c r="F145" s="63"/>
      <c r="G145" s="64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</row>
    <row r="146" spans="4:32" ht="14.25" customHeight="1">
      <c r="D146" s="61"/>
      <c r="E146" s="62"/>
      <c r="F146" s="63"/>
      <c r="G146" s="64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</row>
    <row r="147" spans="4:32" ht="14.25" customHeight="1">
      <c r="D147" s="61"/>
      <c r="E147" s="62"/>
      <c r="F147" s="63"/>
      <c r="G147" s="64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</row>
    <row r="148" spans="4:32" ht="14.25" customHeight="1">
      <c r="D148" s="61"/>
      <c r="E148" s="62"/>
      <c r="F148" s="63"/>
      <c r="G148" s="64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</row>
    <row r="149" spans="4:32" ht="14.25" customHeight="1">
      <c r="D149" s="61"/>
      <c r="E149" s="62"/>
      <c r="F149" s="63"/>
      <c r="G149" s="64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</row>
    <row r="150" spans="4:32" ht="14.25" customHeight="1">
      <c r="D150" s="61"/>
      <c r="E150" s="62"/>
      <c r="F150" s="63"/>
      <c r="G150" s="64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</row>
    <row r="151" spans="4:32" ht="14.25" customHeight="1">
      <c r="D151" s="61"/>
      <c r="E151" s="62"/>
      <c r="F151" s="63"/>
      <c r="G151" s="64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</row>
    <row r="152" spans="4:32" ht="14.25" customHeight="1">
      <c r="D152" s="61"/>
      <c r="E152" s="62"/>
      <c r="F152" s="63"/>
      <c r="G152" s="64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</row>
    <row r="153" spans="4:32" ht="14.25" customHeight="1">
      <c r="D153" s="61"/>
      <c r="E153" s="62"/>
      <c r="F153" s="63"/>
      <c r="G153" s="64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</row>
    <row r="154" spans="4:32" ht="14.25" customHeight="1">
      <c r="D154" s="61"/>
      <c r="E154" s="62"/>
      <c r="F154" s="63"/>
      <c r="G154" s="64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</row>
    <row r="155" spans="4:32" ht="14.25" customHeight="1">
      <c r="D155" s="61"/>
      <c r="E155" s="62"/>
      <c r="F155" s="63"/>
      <c r="G155" s="64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</row>
    <row r="156" spans="4:32" ht="14.25" customHeight="1">
      <c r="D156" s="61"/>
      <c r="E156" s="62"/>
      <c r="F156" s="63"/>
      <c r="G156" s="64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</row>
    <row r="157" spans="4:32" ht="14.25" customHeight="1">
      <c r="D157" s="61"/>
      <c r="E157" s="62"/>
      <c r="F157" s="63"/>
      <c r="G157" s="64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</row>
    <row r="158" spans="4:32" ht="14.25" customHeight="1">
      <c r="D158" s="61"/>
      <c r="E158" s="62"/>
      <c r="F158" s="63"/>
      <c r="G158" s="64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</row>
    <row r="159" spans="4:32" ht="14.25" customHeight="1">
      <c r="D159" s="61"/>
      <c r="E159" s="62"/>
      <c r="F159" s="63"/>
      <c r="G159" s="64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</row>
    <row r="160" spans="4:32" ht="14.25" customHeight="1">
      <c r="D160" s="61"/>
      <c r="E160" s="62"/>
      <c r="F160" s="63"/>
      <c r="G160" s="64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</row>
    <row r="161" spans="4:32" ht="14.25" customHeight="1">
      <c r="D161" s="61"/>
      <c r="E161" s="62"/>
      <c r="F161" s="63"/>
      <c r="G161" s="64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</row>
    <row r="162" spans="4:32" ht="14.25" customHeight="1">
      <c r="D162" s="61"/>
      <c r="E162" s="62"/>
      <c r="F162" s="63"/>
      <c r="G162" s="64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</row>
    <row r="163" spans="4:32" ht="14.25" customHeight="1">
      <c r="D163" s="61"/>
      <c r="E163" s="62"/>
      <c r="F163" s="63"/>
      <c r="G163" s="64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</row>
    <row r="164" spans="4:32" ht="14.25" customHeight="1">
      <c r="D164" s="61"/>
      <c r="E164" s="62"/>
      <c r="F164" s="63"/>
      <c r="G164" s="64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</row>
    <row r="165" spans="4:32" ht="14.25" customHeight="1">
      <c r="D165" s="61"/>
      <c r="E165" s="62"/>
      <c r="F165" s="63"/>
      <c r="G165" s="64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</row>
    <row r="166" spans="4:32" ht="14.25" customHeight="1">
      <c r="D166" s="61"/>
      <c r="E166" s="62"/>
      <c r="F166" s="63"/>
      <c r="G166" s="64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</row>
    <row r="167" spans="4:32" ht="14.25" customHeight="1">
      <c r="D167" s="61"/>
      <c r="E167" s="62"/>
      <c r="F167" s="63"/>
      <c r="G167" s="64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</row>
    <row r="168" spans="4:32" ht="14.25" customHeight="1">
      <c r="D168" s="61"/>
      <c r="E168" s="62"/>
      <c r="F168" s="63"/>
      <c r="G168" s="64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</row>
    <row r="169" spans="4:32" ht="14.25" customHeight="1">
      <c r="D169" s="61"/>
      <c r="E169" s="62"/>
      <c r="F169" s="63"/>
      <c r="G169" s="64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</row>
    <row r="170" spans="4:32" ht="14.25" customHeight="1">
      <c r="D170" s="61"/>
      <c r="E170" s="62"/>
      <c r="F170" s="63"/>
      <c r="G170" s="64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</row>
    <row r="171" spans="4:32" ht="14.25" customHeight="1">
      <c r="D171" s="61"/>
      <c r="E171" s="62"/>
      <c r="F171" s="63"/>
      <c r="G171" s="64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</row>
    <row r="172" spans="4:32" ht="14.25" customHeight="1">
      <c r="D172" s="61"/>
      <c r="E172" s="62"/>
      <c r="F172" s="63"/>
      <c r="G172" s="64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</row>
    <row r="173" spans="4:32" ht="14.25" customHeight="1">
      <c r="D173" s="61"/>
      <c r="E173" s="62"/>
      <c r="F173" s="63"/>
      <c r="G173" s="64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</row>
    <row r="174" spans="4:32" ht="14.25" customHeight="1">
      <c r="D174" s="61"/>
      <c r="E174" s="62"/>
      <c r="F174" s="63"/>
      <c r="G174" s="64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</row>
    <row r="175" spans="4:32" ht="14.25" customHeight="1">
      <c r="D175" s="61"/>
      <c r="E175" s="62"/>
      <c r="F175" s="63"/>
      <c r="G175" s="64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</row>
    <row r="176" spans="4:32" ht="14.25" customHeight="1">
      <c r="D176" s="61"/>
      <c r="E176" s="62"/>
      <c r="F176" s="63"/>
      <c r="G176" s="64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</row>
    <row r="177" spans="4:32" ht="14.25" customHeight="1">
      <c r="D177" s="61"/>
      <c r="E177" s="62"/>
      <c r="F177" s="63"/>
      <c r="G177" s="64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</row>
    <row r="178" spans="4:32" ht="14.25" customHeight="1">
      <c r="D178" s="61"/>
      <c r="E178" s="62"/>
      <c r="F178" s="63"/>
      <c r="G178" s="64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</row>
    <row r="179" spans="4:32" ht="14.25" customHeight="1">
      <c r="D179" s="61"/>
      <c r="E179" s="62"/>
      <c r="F179" s="63"/>
      <c r="G179" s="64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</row>
    <row r="180" spans="4:32" ht="14.25" customHeight="1">
      <c r="D180" s="61"/>
      <c r="E180" s="62"/>
      <c r="F180" s="63"/>
      <c r="G180" s="64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</row>
    <row r="181" spans="4:32" ht="14.25" customHeight="1">
      <c r="D181" s="61"/>
      <c r="E181" s="62"/>
      <c r="F181" s="63"/>
      <c r="G181" s="64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</row>
    <row r="182" spans="4:32" ht="14.25" customHeight="1">
      <c r="D182" s="61"/>
      <c r="E182" s="62"/>
      <c r="F182" s="63"/>
      <c r="G182" s="64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</row>
    <row r="183" spans="4:32" ht="14.25" customHeight="1">
      <c r="D183" s="61"/>
      <c r="E183" s="62"/>
      <c r="F183" s="63"/>
      <c r="G183" s="64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</row>
    <row r="184" spans="4:32" ht="14.25" customHeight="1">
      <c r="D184" s="61"/>
      <c r="E184" s="62"/>
      <c r="F184" s="63"/>
      <c r="G184" s="64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</row>
    <row r="185" spans="4:32" ht="14.25" customHeight="1">
      <c r="D185" s="61"/>
      <c r="E185" s="62"/>
      <c r="F185" s="63"/>
      <c r="G185" s="64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</row>
    <row r="186" spans="4:32" ht="14.25" customHeight="1">
      <c r="D186" s="61"/>
      <c r="E186" s="62"/>
      <c r="F186" s="63"/>
      <c r="G186" s="64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</row>
    <row r="187" spans="4:32" ht="14.25" customHeight="1">
      <c r="D187" s="61"/>
      <c r="E187" s="62"/>
      <c r="F187" s="63"/>
      <c r="G187" s="64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</row>
    <row r="188" spans="4:32" ht="14.25" customHeight="1">
      <c r="D188" s="61"/>
      <c r="E188" s="62"/>
      <c r="F188" s="63"/>
      <c r="G188" s="64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</row>
    <row r="189" spans="4:32" ht="14.25" customHeight="1">
      <c r="D189" s="61"/>
      <c r="E189" s="62"/>
      <c r="F189" s="63"/>
      <c r="G189" s="64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</row>
    <row r="190" spans="4:32" ht="14.25" customHeight="1">
      <c r="D190" s="61"/>
      <c r="E190" s="62"/>
      <c r="F190" s="63"/>
      <c r="G190" s="64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</row>
    <row r="191" spans="4:32" ht="14.25" customHeight="1">
      <c r="D191" s="61"/>
      <c r="E191" s="62"/>
      <c r="F191" s="63"/>
      <c r="G191" s="64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</row>
    <row r="192" spans="4:32" ht="14.25" customHeight="1">
      <c r="D192" s="61"/>
      <c r="E192" s="62"/>
      <c r="F192" s="63"/>
      <c r="G192" s="64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</row>
    <row r="193" spans="4:32" ht="14.25" customHeight="1">
      <c r="D193" s="61"/>
      <c r="E193" s="62"/>
      <c r="F193" s="63"/>
      <c r="G193" s="64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</row>
    <row r="194" spans="4:32" ht="14.25" customHeight="1">
      <c r="D194" s="61"/>
      <c r="E194" s="62"/>
      <c r="F194" s="63"/>
      <c r="G194" s="64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</row>
    <row r="195" spans="4:32" ht="14.25" customHeight="1">
      <c r="D195" s="61"/>
      <c r="E195" s="62"/>
      <c r="F195" s="63"/>
      <c r="G195" s="64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</row>
    <row r="196" spans="4:32" ht="14.25" customHeight="1">
      <c r="D196" s="61"/>
      <c r="E196" s="62"/>
      <c r="F196" s="63"/>
      <c r="G196" s="64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</row>
    <row r="197" spans="4:32" ht="14.25" customHeight="1">
      <c r="D197" s="61"/>
      <c r="E197" s="62"/>
      <c r="F197" s="63"/>
      <c r="G197" s="64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</row>
    <row r="198" spans="4:32" ht="14.25" customHeight="1">
      <c r="D198" s="61"/>
      <c r="E198" s="62"/>
      <c r="F198" s="63"/>
      <c r="G198" s="64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</row>
    <row r="199" spans="4:32" ht="14.25" customHeight="1">
      <c r="D199" s="61"/>
      <c r="E199" s="62"/>
      <c r="F199" s="63"/>
      <c r="G199" s="64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</row>
    <row r="200" spans="4:32" ht="14.25" customHeight="1">
      <c r="D200" s="61"/>
      <c r="E200" s="62"/>
      <c r="F200" s="63"/>
      <c r="G200" s="64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</row>
    <row r="201" spans="4:32" ht="14.25" customHeight="1">
      <c r="D201" s="61"/>
      <c r="E201" s="62"/>
      <c r="F201" s="63"/>
      <c r="G201" s="64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</row>
    <row r="202" spans="4:32" ht="14.25" customHeight="1">
      <c r="D202" s="61"/>
      <c r="E202" s="62"/>
      <c r="F202" s="63"/>
      <c r="G202" s="64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</row>
    <row r="203" spans="4:32" ht="14.25" customHeight="1">
      <c r="D203" s="61"/>
      <c r="E203" s="62"/>
      <c r="F203" s="63"/>
      <c r="G203" s="64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</row>
    <row r="204" spans="4:32" ht="14.25" customHeight="1">
      <c r="D204" s="61"/>
      <c r="E204" s="62"/>
      <c r="F204" s="63"/>
      <c r="G204" s="64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</row>
    <row r="205" spans="4:32" ht="14.25" customHeight="1">
      <c r="D205" s="61"/>
      <c r="E205" s="62"/>
      <c r="F205" s="63"/>
      <c r="G205" s="64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</row>
    <row r="206" spans="4:32" ht="14.25" customHeight="1">
      <c r="D206" s="61"/>
      <c r="E206" s="62"/>
      <c r="F206" s="63"/>
      <c r="G206" s="64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</row>
    <row r="207" spans="4:32" ht="14.25" customHeight="1">
      <c r="D207" s="61"/>
      <c r="E207" s="62"/>
      <c r="F207" s="63"/>
      <c r="G207" s="64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</row>
    <row r="208" spans="4:32" ht="14.25" customHeight="1">
      <c r="D208" s="61"/>
      <c r="E208" s="62"/>
      <c r="F208" s="63"/>
      <c r="G208" s="64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</row>
    <row r="209" spans="4:32" ht="14.25" customHeight="1">
      <c r="D209" s="61"/>
      <c r="E209" s="62"/>
      <c r="F209" s="63"/>
      <c r="G209" s="64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</row>
    <row r="210" spans="4:32" ht="14.25" customHeight="1">
      <c r="D210" s="61"/>
      <c r="E210" s="62"/>
      <c r="F210" s="63"/>
      <c r="G210" s="64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</row>
    <row r="211" spans="4:32" ht="14.25" customHeight="1">
      <c r="D211" s="61"/>
      <c r="E211" s="62"/>
      <c r="F211" s="63"/>
      <c r="G211" s="64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</row>
    <row r="212" spans="4:32" ht="14.25" customHeight="1">
      <c r="D212" s="61"/>
      <c r="E212" s="62"/>
      <c r="F212" s="63"/>
      <c r="G212" s="64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</row>
    <row r="213" spans="4:32" ht="14.25" customHeight="1">
      <c r="D213" s="61"/>
      <c r="E213" s="62"/>
      <c r="F213" s="63"/>
      <c r="G213" s="64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</row>
    <row r="214" spans="4:32" ht="14.25" customHeight="1">
      <c r="D214" s="61"/>
      <c r="E214" s="62"/>
      <c r="F214" s="63"/>
      <c r="G214" s="64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</row>
    <row r="215" spans="4:32" ht="14.25" customHeight="1">
      <c r="D215" s="61"/>
      <c r="E215" s="62"/>
      <c r="F215" s="63"/>
      <c r="G215" s="64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</row>
    <row r="216" spans="4:32" ht="14.25" customHeight="1">
      <c r="D216" s="61"/>
      <c r="E216" s="62"/>
      <c r="F216" s="63"/>
      <c r="G216" s="64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</row>
    <row r="217" spans="4:32" ht="14.25" customHeight="1">
      <c r="D217" s="61"/>
      <c r="E217" s="62"/>
      <c r="F217" s="63"/>
      <c r="G217" s="64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</row>
    <row r="218" spans="4:32" ht="14.25" customHeight="1">
      <c r="D218" s="61"/>
      <c r="E218" s="62"/>
      <c r="F218" s="63"/>
      <c r="G218" s="64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</row>
    <row r="219" spans="4:32" ht="14.25" customHeight="1">
      <c r="D219" s="61"/>
      <c r="E219" s="62"/>
      <c r="F219" s="63"/>
      <c r="G219" s="64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</row>
    <row r="220" spans="4:32" ht="14.25" customHeight="1">
      <c r="D220" s="61"/>
      <c r="E220" s="62"/>
      <c r="F220" s="63"/>
      <c r="G220" s="64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</row>
    <row r="221" spans="4:32" ht="14.25" customHeight="1">
      <c r="D221" s="61"/>
      <c r="E221" s="62"/>
      <c r="F221" s="63"/>
      <c r="G221" s="64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</row>
    <row r="222" spans="4:32" ht="14.25" customHeight="1">
      <c r="D222" s="61"/>
      <c r="E222" s="62"/>
      <c r="F222" s="63"/>
      <c r="G222" s="64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</row>
    <row r="223" spans="4:32" ht="14.25" customHeight="1">
      <c r="D223" s="61"/>
      <c r="E223" s="62"/>
      <c r="F223" s="63"/>
      <c r="G223" s="64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</row>
    <row r="224" spans="4:32" ht="14.25" customHeight="1">
      <c r="D224" s="61"/>
      <c r="E224" s="62"/>
      <c r="F224" s="63"/>
      <c r="G224" s="64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</row>
    <row r="225" spans="4:32" ht="14.25" customHeight="1">
      <c r="D225" s="61"/>
      <c r="E225" s="62"/>
      <c r="F225" s="63"/>
      <c r="G225" s="64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</row>
    <row r="226" spans="4:32" ht="14.25" customHeight="1">
      <c r="D226" s="61"/>
      <c r="E226" s="62"/>
      <c r="F226" s="63"/>
      <c r="G226" s="64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</row>
    <row r="227" spans="4:32" ht="14.25" customHeight="1">
      <c r="D227" s="61"/>
      <c r="E227" s="62"/>
      <c r="F227" s="63"/>
      <c r="G227" s="64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</row>
    <row r="228" spans="4:32" ht="14.25" customHeight="1">
      <c r="D228" s="61"/>
      <c r="E228" s="62"/>
      <c r="F228" s="63"/>
      <c r="G228" s="64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</row>
    <row r="229" spans="4:32" ht="14.25" customHeight="1">
      <c r="D229" s="61"/>
      <c r="E229" s="62"/>
      <c r="F229" s="63"/>
      <c r="G229" s="64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</row>
    <row r="230" spans="4:32" ht="14.25" customHeight="1">
      <c r="D230" s="61"/>
      <c r="E230" s="62"/>
      <c r="F230" s="63"/>
      <c r="G230" s="64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</row>
    <row r="231" spans="4:32" ht="14.25" customHeight="1">
      <c r="D231" s="61"/>
      <c r="E231" s="62"/>
      <c r="F231" s="63"/>
      <c r="G231" s="64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</row>
    <row r="232" spans="4:32" ht="14.25" customHeight="1">
      <c r="D232" s="61"/>
      <c r="E232" s="62"/>
      <c r="F232" s="63"/>
      <c r="G232" s="64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</row>
    <row r="233" spans="4:32" ht="14.25" customHeight="1">
      <c r="D233" s="61"/>
      <c r="E233" s="62"/>
      <c r="F233" s="63"/>
      <c r="G233" s="64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</row>
    <row r="234" spans="4:32" ht="14.25" customHeight="1">
      <c r="D234" s="61"/>
      <c r="E234" s="62"/>
      <c r="F234" s="63"/>
      <c r="G234" s="64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</row>
    <row r="235" spans="4:32" ht="14.25" customHeight="1">
      <c r="D235" s="61"/>
      <c r="E235" s="62"/>
      <c r="F235" s="63"/>
      <c r="G235" s="64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</row>
    <row r="236" spans="4:32" ht="14.25" customHeight="1">
      <c r="D236" s="61"/>
      <c r="E236" s="62"/>
      <c r="F236" s="63"/>
      <c r="G236" s="64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</row>
    <row r="237" spans="4:32" ht="14.25" customHeight="1">
      <c r="D237" s="61"/>
      <c r="E237" s="62"/>
      <c r="F237" s="63"/>
      <c r="G237" s="64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</row>
    <row r="238" spans="4:32" ht="14.25" customHeight="1">
      <c r="D238" s="61"/>
      <c r="E238" s="62"/>
      <c r="F238" s="63"/>
      <c r="G238" s="64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</row>
    <row r="239" spans="4:32" ht="14.25" customHeight="1">
      <c r="D239" s="61"/>
      <c r="E239" s="62"/>
      <c r="F239" s="63"/>
      <c r="G239" s="64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</row>
    <row r="240" spans="4:32" ht="14.25" customHeight="1">
      <c r="D240" s="61"/>
      <c r="E240" s="62"/>
      <c r="F240" s="63"/>
      <c r="G240" s="64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</row>
    <row r="241" spans="4:32" ht="14.25" customHeight="1">
      <c r="D241" s="61"/>
      <c r="E241" s="62"/>
      <c r="F241" s="63"/>
      <c r="G241" s="64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</row>
    <row r="242" spans="4:32" ht="14.25" customHeight="1">
      <c r="D242" s="61"/>
      <c r="E242" s="62"/>
      <c r="F242" s="63"/>
      <c r="G242" s="64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</row>
    <row r="243" spans="4:32" ht="14.25" customHeight="1">
      <c r="D243" s="61"/>
      <c r="E243" s="62"/>
      <c r="F243" s="63"/>
      <c r="G243" s="64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</row>
    <row r="244" spans="4:32" ht="14.25" customHeight="1">
      <c r="D244" s="61"/>
      <c r="E244" s="62"/>
      <c r="F244" s="63"/>
      <c r="G244" s="64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</row>
    <row r="245" spans="4:32" ht="14.25" customHeight="1">
      <c r="D245" s="61"/>
      <c r="E245" s="62"/>
      <c r="F245" s="63"/>
      <c r="G245" s="64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</row>
    <row r="246" spans="4:32" ht="14.25" customHeight="1">
      <c r="D246" s="61"/>
      <c r="E246" s="62"/>
      <c r="F246" s="63"/>
      <c r="G246" s="64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</row>
    <row r="247" spans="4:32" ht="14.25" customHeight="1">
      <c r="D247" s="61"/>
      <c r="E247" s="62"/>
      <c r="F247" s="63"/>
      <c r="G247" s="64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</row>
    <row r="248" spans="4:32" ht="14.25" customHeight="1">
      <c r="D248" s="61"/>
      <c r="E248" s="62"/>
      <c r="F248" s="63"/>
      <c r="G248" s="64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</row>
    <row r="249" spans="4:32" ht="14.25" customHeight="1">
      <c r="D249" s="61"/>
      <c r="E249" s="62"/>
      <c r="F249" s="63"/>
      <c r="G249" s="64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</row>
    <row r="250" spans="4:32" ht="14.25" customHeight="1">
      <c r="D250" s="61"/>
      <c r="E250" s="62"/>
      <c r="F250" s="63"/>
      <c r="G250" s="64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</row>
    <row r="251" spans="4:32" ht="14.25" customHeight="1">
      <c r="D251" s="61"/>
      <c r="E251" s="62"/>
      <c r="F251" s="63"/>
      <c r="G251" s="64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</row>
    <row r="252" spans="4:32" ht="14.25" customHeight="1">
      <c r="D252" s="61"/>
      <c r="E252" s="62"/>
      <c r="F252" s="63"/>
      <c r="G252" s="64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</row>
    <row r="253" spans="4:32" ht="14.25" customHeight="1">
      <c r="D253" s="61"/>
      <c r="E253" s="62"/>
      <c r="F253" s="63"/>
      <c r="G253" s="64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</row>
    <row r="254" spans="4:32" ht="14.25" customHeight="1">
      <c r="D254" s="61"/>
      <c r="E254" s="62"/>
      <c r="F254" s="63"/>
      <c r="G254" s="64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</row>
    <row r="255" spans="4:32" ht="14.25" customHeight="1">
      <c r="D255" s="61"/>
      <c r="E255" s="62"/>
      <c r="F255" s="63"/>
      <c r="G255" s="64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</row>
    <row r="256" spans="4:32" ht="14.25" customHeight="1">
      <c r="D256" s="61"/>
      <c r="E256" s="62"/>
      <c r="F256" s="63"/>
      <c r="G256" s="64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</row>
    <row r="257" spans="4:32" ht="14.25" customHeight="1">
      <c r="D257" s="61"/>
      <c r="E257" s="62"/>
      <c r="F257" s="63"/>
      <c r="G257" s="64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</row>
    <row r="258" spans="4:32" ht="14.25" customHeight="1">
      <c r="D258" s="61"/>
      <c r="E258" s="62"/>
      <c r="F258" s="63"/>
      <c r="G258" s="64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</row>
    <row r="259" spans="4:32" ht="14.25" customHeight="1">
      <c r="D259" s="61"/>
      <c r="E259" s="62"/>
      <c r="F259" s="63"/>
      <c r="G259" s="64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</row>
    <row r="260" spans="4:32" ht="14.25" customHeight="1">
      <c r="D260" s="61"/>
      <c r="E260" s="62"/>
      <c r="F260" s="63"/>
      <c r="G260" s="64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</row>
    <row r="261" spans="4:32" ht="14.25" customHeight="1">
      <c r="D261" s="61"/>
      <c r="E261" s="62"/>
      <c r="F261" s="63"/>
      <c r="G261" s="64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</row>
    <row r="262" spans="4:32" ht="14.25" customHeight="1">
      <c r="D262" s="61"/>
      <c r="E262" s="62"/>
      <c r="F262" s="63"/>
      <c r="G262" s="64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</row>
    <row r="263" spans="4:32" ht="14.25" customHeight="1">
      <c r="D263" s="61"/>
      <c r="E263" s="62"/>
      <c r="F263" s="63"/>
      <c r="G263" s="64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</row>
    <row r="264" spans="4:32" ht="14.25" customHeight="1">
      <c r="D264" s="61"/>
      <c r="E264" s="62"/>
      <c r="F264" s="63"/>
      <c r="G264" s="64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</row>
    <row r="265" spans="4:32" ht="14.25" customHeight="1">
      <c r="D265" s="61"/>
      <c r="E265" s="62"/>
      <c r="F265" s="63"/>
      <c r="G265" s="64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</row>
    <row r="266" spans="4:32" ht="14.25" customHeight="1">
      <c r="D266" s="61"/>
      <c r="E266" s="62"/>
      <c r="F266" s="63"/>
      <c r="G266" s="64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</row>
    <row r="267" spans="4:32" ht="14.25" customHeight="1">
      <c r="D267" s="61"/>
      <c r="E267" s="62"/>
      <c r="F267" s="63"/>
      <c r="G267" s="64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</row>
    <row r="268" spans="4:32" ht="14.25" customHeight="1">
      <c r="D268" s="61"/>
      <c r="E268" s="62"/>
      <c r="F268" s="63"/>
      <c r="G268" s="64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</row>
    <row r="269" spans="4:32" ht="14.25" customHeight="1">
      <c r="D269" s="61"/>
      <c r="E269" s="62"/>
      <c r="F269" s="63"/>
      <c r="G269" s="64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</row>
    <row r="270" spans="4:32" ht="14.25" customHeight="1">
      <c r="D270" s="61"/>
      <c r="E270" s="62"/>
      <c r="F270" s="63"/>
      <c r="G270" s="64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</row>
    <row r="271" spans="4:32" ht="14.25" customHeight="1">
      <c r="D271" s="61"/>
      <c r="E271" s="62"/>
      <c r="F271" s="63"/>
      <c r="G271" s="64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</row>
    <row r="272" spans="4:32" ht="14.25" customHeight="1">
      <c r="D272" s="61"/>
      <c r="E272" s="62"/>
      <c r="F272" s="63"/>
      <c r="G272" s="64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</row>
    <row r="273" spans="4:32" ht="14.25" customHeight="1">
      <c r="D273" s="61"/>
      <c r="E273" s="62"/>
      <c r="F273" s="63"/>
      <c r="G273" s="64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</row>
    <row r="274" spans="4:32" ht="14.25" customHeight="1">
      <c r="D274" s="61"/>
      <c r="E274" s="62"/>
      <c r="F274" s="63"/>
      <c r="G274" s="64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</row>
    <row r="275" spans="4:32" ht="14.25" customHeight="1">
      <c r="D275" s="61"/>
      <c r="E275" s="62"/>
      <c r="F275" s="63"/>
      <c r="G275" s="64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</row>
    <row r="276" spans="4:32" ht="14.25" customHeight="1">
      <c r="D276" s="61"/>
      <c r="E276" s="62"/>
      <c r="F276" s="63"/>
      <c r="G276" s="64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</row>
    <row r="277" spans="4:32" ht="14.25" customHeight="1">
      <c r="D277" s="61"/>
      <c r="E277" s="62"/>
      <c r="F277" s="63"/>
      <c r="G277" s="64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</row>
    <row r="278" spans="4:32" ht="14.25" customHeight="1">
      <c r="D278" s="61"/>
      <c r="E278" s="62"/>
      <c r="F278" s="63"/>
      <c r="G278" s="64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</row>
    <row r="279" spans="4:32" ht="14.25" customHeight="1">
      <c r="D279" s="61"/>
      <c r="E279" s="62"/>
      <c r="F279" s="63"/>
      <c r="G279" s="64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</row>
    <row r="280" spans="4:32" ht="14.25" customHeight="1">
      <c r="D280" s="61"/>
      <c r="E280" s="62"/>
      <c r="F280" s="63"/>
      <c r="G280" s="64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</row>
    <row r="281" spans="4:32" ht="14.25" customHeight="1">
      <c r="D281" s="61"/>
      <c r="E281" s="62"/>
      <c r="F281" s="63"/>
      <c r="G281" s="64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</row>
    <row r="282" spans="4:32" ht="14.25" customHeight="1">
      <c r="D282" s="61"/>
      <c r="E282" s="62"/>
      <c r="F282" s="63"/>
      <c r="G282" s="64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</row>
    <row r="283" spans="4:32" ht="14.25" customHeight="1">
      <c r="D283" s="61"/>
      <c r="E283" s="62"/>
      <c r="F283" s="63"/>
      <c r="G283" s="64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</row>
    <row r="284" spans="4:32" ht="14.25" customHeight="1">
      <c r="D284" s="61"/>
      <c r="E284" s="62"/>
      <c r="F284" s="63"/>
      <c r="G284" s="64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</row>
    <row r="285" spans="4:32" ht="14.25" customHeight="1">
      <c r="D285" s="61"/>
      <c r="E285" s="62"/>
      <c r="F285" s="63"/>
      <c r="G285" s="64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</row>
    <row r="286" spans="4:32" ht="14.25" customHeight="1">
      <c r="D286" s="61"/>
      <c r="E286" s="62"/>
      <c r="F286" s="63"/>
      <c r="G286" s="64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</row>
    <row r="287" spans="4:32" ht="14.25" customHeight="1">
      <c r="D287" s="61"/>
      <c r="E287" s="62"/>
      <c r="F287" s="63"/>
      <c r="G287" s="64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</row>
    <row r="288" spans="4:32" ht="14.25" customHeight="1">
      <c r="D288" s="61"/>
      <c r="E288" s="62"/>
      <c r="F288" s="63"/>
      <c r="G288" s="64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</row>
    <row r="289" spans="4:32" ht="14.25" customHeight="1">
      <c r="D289" s="61"/>
      <c r="E289" s="62"/>
      <c r="F289" s="63"/>
      <c r="G289" s="64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</row>
    <row r="290" spans="4:32" ht="14.25" customHeight="1">
      <c r="D290" s="61"/>
      <c r="E290" s="62"/>
      <c r="F290" s="63"/>
      <c r="G290" s="64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</row>
    <row r="291" spans="4:32" ht="14.25" customHeight="1">
      <c r="D291" s="61"/>
      <c r="E291" s="62"/>
      <c r="F291" s="63"/>
      <c r="G291" s="64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</row>
    <row r="292" spans="4:32" ht="14.25" customHeight="1">
      <c r="D292" s="61"/>
      <c r="E292" s="62"/>
      <c r="F292" s="63"/>
      <c r="G292" s="64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</row>
    <row r="293" spans="4:32" ht="14.25" customHeight="1">
      <c r="D293" s="61"/>
      <c r="E293" s="62"/>
      <c r="F293" s="63"/>
      <c r="G293" s="64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</row>
    <row r="294" spans="4:32" ht="14.25" customHeight="1">
      <c r="D294" s="61"/>
      <c r="E294" s="62"/>
      <c r="F294" s="63"/>
      <c r="G294" s="64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</row>
    <row r="295" spans="4:32" ht="14.25" customHeight="1">
      <c r="D295" s="61"/>
      <c r="E295" s="62"/>
      <c r="F295" s="63"/>
      <c r="G295" s="64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</row>
    <row r="296" spans="4:32" ht="14.25" customHeight="1">
      <c r="D296" s="61"/>
      <c r="E296" s="62"/>
      <c r="F296" s="63"/>
      <c r="G296" s="64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</row>
    <row r="297" spans="4:32" ht="14.25" customHeight="1">
      <c r="D297" s="61"/>
      <c r="E297" s="62"/>
      <c r="F297" s="63"/>
      <c r="G297" s="64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</row>
    <row r="298" spans="4:32" ht="14.25" customHeight="1">
      <c r="D298" s="61"/>
      <c r="E298" s="62"/>
      <c r="F298" s="63"/>
      <c r="G298" s="64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</row>
    <row r="299" spans="4:32" ht="14.25" customHeight="1">
      <c r="D299" s="61"/>
      <c r="E299" s="62"/>
      <c r="F299" s="63"/>
      <c r="G299" s="64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</row>
    <row r="300" spans="4:32" ht="14.25" customHeight="1">
      <c r="D300" s="61"/>
      <c r="E300" s="62"/>
      <c r="F300" s="63"/>
      <c r="G300" s="64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</row>
    <row r="301" spans="4:32" ht="14.25" customHeight="1">
      <c r="D301" s="61"/>
      <c r="E301" s="62"/>
      <c r="F301" s="63"/>
      <c r="G301" s="64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</row>
    <row r="302" spans="4:32" ht="14.25" customHeight="1">
      <c r="D302" s="61"/>
      <c r="E302" s="62"/>
      <c r="F302" s="63"/>
      <c r="G302" s="64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</row>
    <row r="303" spans="4:32" ht="14.25" customHeight="1">
      <c r="D303" s="61"/>
      <c r="E303" s="62"/>
      <c r="F303" s="63"/>
      <c r="G303" s="64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</row>
    <row r="304" spans="4:32" ht="14.25" customHeight="1">
      <c r="D304" s="61"/>
      <c r="E304" s="62"/>
      <c r="F304" s="63"/>
      <c r="G304" s="64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</row>
    <row r="305" spans="4:32" ht="14.25" customHeight="1">
      <c r="D305" s="61"/>
      <c r="E305" s="62"/>
      <c r="F305" s="63"/>
      <c r="G305" s="64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</row>
    <row r="306" spans="4:32" ht="14.25" customHeight="1">
      <c r="D306" s="61"/>
      <c r="E306" s="62"/>
      <c r="F306" s="63"/>
      <c r="G306" s="64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</row>
    <row r="307" spans="4:32" ht="14.25" customHeight="1">
      <c r="D307" s="61"/>
      <c r="E307" s="62"/>
      <c r="F307" s="63"/>
      <c r="G307" s="64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</row>
    <row r="308" spans="4:32" ht="14.25" customHeight="1">
      <c r="D308" s="61"/>
      <c r="E308" s="62"/>
      <c r="F308" s="63"/>
      <c r="G308" s="64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</row>
    <row r="309" spans="4:32" ht="14.25" customHeight="1">
      <c r="D309" s="61"/>
      <c r="E309" s="62"/>
      <c r="F309" s="63"/>
      <c r="G309" s="64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</row>
    <row r="310" spans="4:32" ht="14.25" customHeight="1">
      <c r="D310" s="61"/>
      <c r="E310" s="62"/>
      <c r="F310" s="63"/>
      <c r="G310" s="64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</row>
    <row r="311" spans="4:32" ht="14.25" customHeight="1">
      <c r="D311" s="61"/>
      <c r="E311" s="62"/>
      <c r="F311" s="63"/>
      <c r="G311" s="64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</row>
    <row r="312" spans="4:32" ht="14.25" customHeight="1">
      <c r="D312" s="61"/>
      <c r="E312" s="62"/>
      <c r="F312" s="63"/>
      <c r="G312" s="64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</row>
    <row r="313" spans="4:32" ht="14.25" customHeight="1">
      <c r="D313" s="61"/>
      <c r="E313" s="62"/>
      <c r="F313" s="63"/>
      <c r="G313" s="64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</row>
    <row r="314" spans="4:32" ht="14.25" customHeight="1">
      <c r="D314" s="61"/>
      <c r="E314" s="62"/>
      <c r="F314" s="63"/>
      <c r="G314" s="64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</row>
    <row r="315" spans="4:32" ht="14.25" customHeight="1">
      <c r="D315" s="61"/>
      <c r="E315" s="62"/>
      <c r="F315" s="63"/>
      <c r="G315" s="64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</row>
    <row r="316" spans="4:32" ht="14.25" customHeight="1">
      <c r="D316" s="61"/>
      <c r="E316" s="62"/>
      <c r="F316" s="63"/>
      <c r="G316" s="64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</row>
    <row r="317" spans="4:32" ht="14.25" customHeight="1">
      <c r="D317" s="61"/>
      <c r="E317" s="62"/>
      <c r="F317" s="63"/>
      <c r="G317" s="64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</row>
    <row r="318" spans="4:32" ht="14.25" customHeight="1">
      <c r="D318" s="61"/>
      <c r="E318" s="62"/>
      <c r="F318" s="63"/>
      <c r="G318" s="64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</row>
    <row r="319" spans="4:32" ht="14.25" customHeight="1">
      <c r="D319" s="61"/>
      <c r="E319" s="62"/>
      <c r="F319" s="63"/>
      <c r="G319" s="64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</row>
    <row r="320" spans="4:32" ht="14.25" customHeight="1">
      <c r="D320" s="61"/>
      <c r="E320" s="62"/>
      <c r="F320" s="63"/>
      <c r="G320" s="64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</row>
    <row r="321" spans="4:32" ht="14.25" customHeight="1">
      <c r="D321" s="61"/>
      <c r="E321" s="62"/>
      <c r="F321" s="63"/>
      <c r="G321" s="64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</row>
    <row r="322" spans="4:32" ht="14.25" customHeight="1">
      <c r="D322" s="61"/>
      <c r="E322" s="62"/>
      <c r="F322" s="63"/>
      <c r="G322" s="64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</row>
    <row r="323" spans="4:32" ht="14.25" customHeight="1">
      <c r="D323" s="61"/>
      <c r="E323" s="62"/>
      <c r="F323" s="63"/>
      <c r="G323" s="64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</row>
    <row r="324" spans="4:32" ht="14.25" customHeight="1">
      <c r="D324" s="61"/>
      <c r="E324" s="62"/>
      <c r="F324" s="63"/>
      <c r="G324" s="64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</row>
    <row r="325" spans="4:32" ht="14.25" customHeight="1">
      <c r="D325" s="61"/>
      <c r="E325" s="62"/>
      <c r="F325" s="63"/>
      <c r="G325" s="64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</row>
    <row r="326" spans="4:32" ht="14.25" customHeight="1">
      <c r="D326" s="61"/>
      <c r="E326" s="62"/>
      <c r="F326" s="63"/>
      <c r="G326" s="64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</row>
    <row r="327" spans="4:32" ht="14.25" customHeight="1">
      <c r="D327" s="61"/>
      <c r="E327" s="62"/>
      <c r="F327" s="63"/>
      <c r="G327" s="64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</row>
    <row r="328" spans="4:32" ht="14.25" customHeight="1">
      <c r="D328" s="61"/>
      <c r="E328" s="62"/>
      <c r="F328" s="63"/>
      <c r="G328" s="64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</row>
    <row r="329" spans="4:32" ht="14.25" customHeight="1">
      <c r="D329" s="61"/>
      <c r="E329" s="62"/>
      <c r="F329" s="63"/>
      <c r="G329" s="64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</row>
    <row r="330" spans="4:32" ht="14.25" customHeight="1">
      <c r="D330" s="61"/>
      <c r="E330" s="62"/>
      <c r="F330" s="63"/>
      <c r="G330" s="64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</row>
    <row r="331" spans="4:32" ht="14.25" customHeight="1">
      <c r="D331" s="61"/>
      <c r="E331" s="62"/>
      <c r="F331" s="63"/>
      <c r="G331" s="64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</row>
    <row r="332" spans="4:32" ht="14.25" customHeight="1">
      <c r="D332" s="61"/>
      <c r="E332" s="62"/>
      <c r="F332" s="63"/>
      <c r="G332" s="64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</row>
    <row r="333" spans="4:32" ht="14.25" customHeight="1">
      <c r="D333" s="61"/>
      <c r="E333" s="62"/>
      <c r="F333" s="63"/>
      <c r="G333" s="64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</row>
    <row r="334" spans="4:32" ht="14.25" customHeight="1">
      <c r="D334" s="61"/>
      <c r="E334" s="62"/>
      <c r="F334" s="63"/>
      <c r="G334" s="64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</row>
    <row r="335" spans="4:32" ht="14.25" customHeight="1">
      <c r="D335" s="61"/>
      <c r="E335" s="62"/>
      <c r="F335" s="63"/>
      <c r="G335" s="64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</row>
    <row r="336" spans="4:32" ht="14.25" customHeight="1">
      <c r="D336" s="61"/>
      <c r="E336" s="62"/>
      <c r="F336" s="63"/>
      <c r="G336" s="64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</row>
    <row r="337" spans="4:32" ht="14.25" customHeight="1">
      <c r="D337" s="61"/>
      <c r="E337" s="62"/>
      <c r="F337" s="63"/>
      <c r="G337" s="64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</row>
    <row r="338" spans="4:32" ht="14.25" customHeight="1">
      <c r="D338" s="61"/>
      <c r="E338" s="62"/>
      <c r="F338" s="63"/>
      <c r="G338" s="64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</row>
    <row r="339" spans="4:32" ht="14.25" customHeight="1">
      <c r="D339" s="61"/>
      <c r="E339" s="62"/>
      <c r="F339" s="63"/>
      <c r="G339" s="64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</row>
    <row r="340" spans="4:32" ht="14.25" customHeight="1">
      <c r="D340" s="61"/>
      <c r="E340" s="62"/>
      <c r="F340" s="63"/>
      <c r="G340" s="64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</row>
    <row r="341" spans="4:32" ht="14.25" customHeight="1">
      <c r="D341" s="61"/>
      <c r="E341" s="62"/>
      <c r="F341" s="63"/>
      <c r="G341" s="64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</row>
    <row r="342" spans="4:32" ht="14.25" customHeight="1">
      <c r="D342" s="61"/>
      <c r="E342" s="62"/>
      <c r="F342" s="63"/>
      <c r="G342" s="64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</row>
    <row r="343" spans="4:32" ht="14.25" customHeight="1">
      <c r="D343" s="61"/>
      <c r="E343" s="62"/>
      <c r="F343" s="63"/>
      <c r="G343" s="64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</row>
    <row r="344" spans="4:32" ht="14.25" customHeight="1">
      <c r="D344" s="61"/>
      <c r="E344" s="62"/>
      <c r="F344" s="63"/>
      <c r="G344" s="64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</row>
    <row r="345" spans="4:32" ht="14.25" customHeight="1">
      <c r="D345" s="61"/>
      <c r="E345" s="62"/>
      <c r="F345" s="63"/>
      <c r="G345" s="64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</row>
    <row r="346" spans="4:32" ht="14.25" customHeight="1">
      <c r="D346" s="61"/>
      <c r="E346" s="62"/>
      <c r="F346" s="63"/>
      <c r="G346" s="64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</row>
    <row r="347" spans="4:32" ht="14.25" customHeight="1">
      <c r="D347" s="61"/>
      <c r="E347" s="62"/>
      <c r="F347" s="63"/>
      <c r="G347" s="64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</row>
    <row r="348" spans="4:32" ht="14.25" customHeight="1">
      <c r="D348" s="61"/>
      <c r="E348" s="62"/>
      <c r="F348" s="63"/>
      <c r="G348" s="64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</row>
    <row r="349" spans="4:32" ht="14.25" customHeight="1">
      <c r="D349" s="61"/>
      <c r="E349" s="62"/>
      <c r="F349" s="63"/>
      <c r="G349" s="64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</row>
    <row r="350" spans="4:32" ht="14.25" customHeight="1">
      <c r="D350" s="61"/>
      <c r="E350" s="62"/>
      <c r="F350" s="63"/>
      <c r="G350" s="64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</row>
    <row r="351" spans="4:32" ht="14.25" customHeight="1">
      <c r="D351" s="61"/>
      <c r="E351" s="62"/>
      <c r="F351" s="63"/>
      <c r="G351" s="64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</row>
    <row r="352" spans="4:32" ht="14.25" customHeight="1">
      <c r="D352" s="61"/>
      <c r="E352" s="62"/>
      <c r="F352" s="63"/>
      <c r="G352" s="64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</row>
    <row r="353" spans="4:32" ht="14.25" customHeight="1">
      <c r="D353" s="61"/>
      <c r="E353" s="62"/>
      <c r="F353" s="63"/>
      <c r="G353" s="64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</row>
    <row r="354" spans="4:32" ht="14.25" customHeight="1">
      <c r="D354" s="61"/>
      <c r="E354" s="62"/>
      <c r="F354" s="63"/>
      <c r="G354" s="64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</row>
    <row r="355" spans="4:32" ht="14.25" customHeight="1">
      <c r="D355" s="61"/>
      <c r="E355" s="62"/>
      <c r="F355" s="63"/>
      <c r="G355" s="64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</row>
    <row r="356" spans="4:32" ht="14.25" customHeight="1">
      <c r="D356" s="61"/>
      <c r="E356" s="62"/>
      <c r="F356" s="63"/>
      <c r="G356" s="64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</row>
    <row r="357" spans="4:32" ht="14.25" customHeight="1">
      <c r="D357" s="61"/>
      <c r="E357" s="62"/>
      <c r="F357" s="63"/>
      <c r="G357" s="64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</row>
    <row r="358" spans="4:32" ht="14.25" customHeight="1">
      <c r="D358" s="61"/>
      <c r="E358" s="62"/>
      <c r="F358" s="63"/>
      <c r="G358" s="64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</row>
    <row r="359" spans="4:32" ht="14.25" customHeight="1">
      <c r="D359" s="61"/>
      <c r="E359" s="62"/>
      <c r="F359" s="63"/>
      <c r="G359" s="64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</row>
    <row r="360" spans="4:32" ht="14.25" customHeight="1">
      <c r="D360" s="61"/>
      <c r="E360" s="62"/>
      <c r="F360" s="63"/>
      <c r="G360" s="64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</row>
    <row r="361" spans="4:32" ht="14.25" customHeight="1">
      <c r="D361" s="61"/>
      <c r="E361" s="62"/>
      <c r="F361" s="63"/>
      <c r="G361" s="64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</row>
    <row r="362" spans="4:32" ht="14.25" customHeight="1">
      <c r="D362" s="61"/>
      <c r="E362" s="62"/>
      <c r="F362" s="63"/>
      <c r="G362" s="64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</row>
    <row r="363" spans="4:32" ht="14.25" customHeight="1">
      <c r="D363" s="61"/>
      <c r="E363" s="62"/>
      <c r="F363" s="63"/>
      <c r="G363" s="64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</row>
    <row r="364" spans="4:32" ht="14.25" customHeight="1">
      <c r="D364" s="61"/>
      <c r="E364" s="62"/>
      <c r="F364" s="63"/>
      <c r="G364" s="64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</row>
    <row r="365" spans="4:32" ht="14.25" customHeight="1">
      <c r="D365" s="61"/>
      <c r="E365" s="62"/>
      <c r="F365" s="63"/>
      <c r="G365" s="64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</row>
    <row r="366" spans="4:32" ht="14.25" customHeight="1">
      <c r="D366" s="61"/>
      <c r="E366" s="62"/>
      <c r="F366" s="63"/>
      <c r="G366" s="64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</row>
    <row r="367" spans="4:32" ht="14.25" customHeight="1">
      <c r="D367" s="61"/>
      <c r="E367" s="62"/>
      <c r="F367" s="63"/>
      <c r="G367" s="64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</row>
    <row r="368" spans="4:32" ht="14.25" customHeight="1">
      <c r="D368" s="61"/>
      <c r="E368" s="62"/>
      <c r="F368" s="63"/>
      <c r="G368" s="64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</row>
    <row r="369" spans="4:32" ht="14.25" customHeight="1">
      <c r="D369" s="61"/>
      <c r="E369" s="62"/>
      <c r="F369" s="63"/>
      <c r="G369" s="64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</row>
    <row r="370" spans="4:32" ht="14.25" customHeight="1">
      <c r="D370" s="61"/>
      <c r="E370" s="62"/>
      <c r="F370" s="63"/>
      <c r="G370" s="64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</row>
    <row r="371" spans="4:32" ht="14.25" customHeight="1">
      <c r="D371" s="61"/>
      <c r="E371" s="62"/>
      <c r="F371" s="63"/>
      <c r="G371" s="64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</row>
    <row r="372" spans="4:32" ht="14.25" customHeight="1">
      <c r="D372" s="61"/>
      <c r="E372" s="62"/>
      <c r="F372" s="63"/>
      <c r="G372" s="64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</row>
    <row r="373" spans="4:32" ht="14.25" customHeight="1">
      <c r="D373" s="61"/>
      <c r="E373" s="62"/>
      <c r="F373" s="63"/>
      <c r="G373" s="64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</row>
    <row r="374" spans="4:32" ht="14.25" customHeight="1">
      <c r="D374" s="61"/>
      <c r="E374" s="62"/>
      <c r="F374" s="63"/>
      <c r="G374" s="64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</row>
    <row r="375" spans="4:32" ht="14.25" customHeight="1">
      <c r="D375" s="61"/>
      <c r="E375" s="62"/>
      <c r="F375" s="63"/>
      <c r="G375" s="64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</row>
    <row r="376" spans="4:32" ht="14.25" customHeight="1">
      <c r="D376" s="61"/>
      <c r="E376" s="62"/>
      <c r="F376" s="63"/>
      <c r="G376" s="64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</row>
    <row r="377" spans="4:32" ht="14.25" customHeight="1">
      <c r="D377" s="61"/>
      <c r="E377" s="62"/>
      <c r="F377" s="63"/>
      <c r="G377" s="64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</row>
    <row r="378" spans="4:32" ht="14.25" customHeight="1">
      <c r="D378" s="61"/>
      <c r="E378" s="62"/>
      <c r="F378" s="63"/>
      <c r="G378" s="64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</row>
    <row r="379" spans="4:32" ht="14.25" customHeight="1">
      <c r="D379" s="61"/>
      <c r="E379" s="62"/>
      <c r="F379" s="63"/>
      <c r="G379" s="64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</row>
    <row r="380" spans="4:32" ht="14.25" customHeight="1">
      <c r="D380" s="61"/>
      <c r="E380" s="62"/>
      <c r="F380" s="63"/>
      <c r="G380" s="64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</row>
    <row r="381" spans="4:32" ht="14.25" customHeight="1">
      <c r="D381" s="61"/>
      <c r="E381" s="62"/>
      <c r="F381" s="63"/>
      <c r="G381" s="64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</row>
    <row r="382" spans="4:32" ht="14.25" customHeight="1">
      <c r="D382" s="61"/>
      <c r="E382" s="62"/>
      <c r="F382" s="63"/>
      <c r="G382" s="64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</row>
    <row r="383" spans="4:32" ht="14.25" customHeight="1">
      <c r="D383" s="61"/>
      <c r="E383" s="62"/>
      <c r="F383" s="63"/>
      <c r="G383" s="64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</row>
    <row r="384" spans="4:32" ht="14.25" customHeight="1">
      <c r="D384" s="61"/>
      <c r="E384" s="62"/>
      <c r="F384" s="63"/>
      <c r="G384" s="64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</row>
    <row r="385" spans="4:32" ht="14.25" customHeight="1">
      <c r="D385" s="61"/>
      <c r="E385" s="62"/>
      <c r="F385" s="63"/>
      <c r="G385" s="64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</row>
    <row r="386" spans="4:32" ht="14.25" customHeight="1">
      <c r="D386" s="61"/>
      <c r="E386" s="62"/>
      <c r="F386" s="63"/>
      <c r="G386" s="64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</row>
    <row r="387" spans="4:32" ht="14.25" customHeight="1">
      <c r="D387" s="61"/>
      <c r="E387" s="62"/>
      <c r="F387" s="63"/>
      <c r="G387" s="64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</row>
    <row r="388" spans="4:32" ht="14.25" customHeight="1">
      <c r="D388" s="61"/>
      <c r="E388" s="62"/>
      <c r="F388" s="63"/>
      <c r="G388" s="64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</row>
    <row r="389" spans="4:32" ht="14.25" customHeight="1">
      <c r="D389" s="61"/>
      <c r="E389" s="62"/>
      <c r="F389" s="63"/>
      <c r="G389" s="64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</row>
    <row r="390" spans="4:32" ht="14.25" customHeight="1">
      <c r="D390" s="61"/>
      <c r="E390" s="62"/>
      <c r="F390" s="63"/>
      <c r="G390" s="64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</row>
    <row r="391" spans="4:32" ht="14.25" customHeight="1">
      <c r="D391" s="61"/>
      <c r="E391" s="62"/>
      <c r="F391" s="63"/>
      <c r="G391" s="64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</row>
    <row r="392" spans="4:32" ht="14.25" customHeight="1">
      <c r="D392" s="61"/>
      <c r="E392" s="62"/>
      <c r="F392" s="63"/>
      <c r="G392" s="64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</row>
    <row r="393" spans="4:32" ht="14.25" customHeight="1">
      <c r="D393" s="61"/>
      <c r="E393" s="62"/>
      <c r="F393" s="63"/>
      <c r="G393" s="64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</row>
    <row r="394" spans="4:32" ht="14.25" customHeight="1">
      <c r="D394" s="61"/>
      <c r="E394" s="62"/>
      <c r="F394" s="63"/>
      <c r="G394" s="64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</row>
    <row r="395" spans="4:32" ht="14.25" customHeight="1">
      <c r="D395" s="61"/>
      <c r="E395" s="62"/>
      <c r="F395" s="63"/>
      <c r="G395" s="64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</row>
    <row r="396" spans="4:32" ht="14.25" customHeight="1">
      <c r="D396" s="61"/>
      <c r="E396" s="62"/>
      <c r="F396" s="63"/>
      <c r="G396" s="64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</row>
    <row r="397" spans="4:32" ht="14.25" customHeight="1">
      <c r="D397" s="61"/>
      <c r="E397" s="62"/>
      <c r="F397" s="63"/>
      <c r="G397" s="64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</row>
    <row r="398" spans="4:32" ht="14.25" customHeight="1">
      <c r="D398" s="61"/>
      <c r="E398" s="62"/>
      <c r="F398" s="63"/>
      <c r="G398" s="64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</row>
    <row r="399" spans="4:32" ht="14.25" customHeight="1">
      <c r="D399" s="61"/>
      <c r="E399" s="62"/>
      <c r="F399" s="63"/>
      <c r="G399" s="64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</row>
    <row r="400" spans="4:32" ht="14.25" customHeight="1">
      <c r="D400" s="61"/>
      <c r="E400" s="62"/>
      <c r="F400" s="63"/>
      <c r="G400" s="64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</row>
    <row r="401" spans="4:32" ht="14.25" customHeight="1">
      <c r="D401" s="61"/>
      <c r="E401" s="62"/>
      <c r="F401" s="63"/>
      <c r="G401" s="64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</row>
    <row r="402" spans="4:32" ht="14.25" customHeight="1">
      <c r="D402" s="61"/>
      <c r="E402" s="62"/>
      <c r="F402" s="63"/>
      <c r="G402" s="64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</row>
    <row r="403" spans="4:32" ht="14.25" customHeight="1">
      <c r="D403" s="61"/>
      <c r="E403" s="62"/>
      <c r="F403" s="63"/>
      <c r="G403" s="64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</row>
    <row r="404" spans="4:32" ht="14.25" customHeight="1">
      <c r="D404" s="61"/>
      <c r="E404" s="62"/>
      <c r="F404" s="63"/>
      <c r="G404" s="64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</row>
    <row r="405" spans="4:32" ht="14.25" customHeight="1">
      <c r="D405" s="61"/>
      <c r="E405" s="62"/>
      <c r="F405" s="63"/>
      <c r="G405" s="64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</row>
    <row r="406" spans="4:32" ht="14.25" customHeight="1">
      <c r="D406" s="61"/>
      <c r="E406" s="62"/>
      <c r="F406" s="63"/>
      <c r="G406" s="64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</row>
    <row r="407" spans="4:32" ht="14.25" customHeight="1">
      <c r="D407" s="61"/>
      <c r="E407" s="62"/>
      <c r="F407" s="63"/>
      <c r="G407" s="64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</row>
    <row r="408" spans="4:32" ht="14.25" customHeight="1">
      <c r="D408" s="61"/>
      <c r="E408" s="62"/>
      <c r="F408" s="63"/>
      <c r="G408" s="64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</row>
    <row r="409" spans="4:32" ht="14.25" customHeight="1">
      <c r="D409" s="61"/>
      <c r="E409" s="62"/>
      <c r="F409" s="63"/>
      <c r="G409" s="64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</row>
    <row r="410" spans="4:32" ht="14.25" customHeight="1">
      <c r="D410" s="61"/>
      <c r="E410" s="62"/>
      <c r="F410" s="63"/>
      <c r="G410" s="64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</row>
    <row r="411" spans="4:32" ht="14.25" customHeight="1">
      <c r="D411" s="61"/>
      <c r="E411" s="62"/>
      <c r="F411" s="63"/>
      <c r="G411" s="64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</row>
    <row r="412" spans="4:32" ht="14.25" customHeight="1">
      <c r="D412" s="61"/>
      <c r="E412" s="62"/>
      <c r="F412" s="63"/>
      <c r="G412" s="64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</row>
    <row r="413" spans="4:32" ht="14.25" customHeight="1">
      <c r="D413" s="61"/>
      <c r="E413" s="62"/>
      <c r="F413" s="63"/>
      <c r="G413" s="64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</row>
    <row r="414" spans="4:32" ht="14.25" customHeight="1">
      <c r="D414" s="61"/>
      <c r="E414" s="62"/>
      <c r="F414" s="63"/>
      <c r="G414" s="64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</row>
    <row r="415" spans="4:32" ht="14.25" customHeight="1">
      <c r="D415" s="61"/>
      <c r="E415" s="62"/>
      <c r="F415" s="63"/>
      <c r="G415" s="64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</row>
    <row r="416" spans="4:32" ht="14.25" customHeight="1">
      <c r="D416" s="61"/>
      <c r="E416" s="62"/>
      <c r="F416" s="63"/>
      <c r="G416" s="64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</row>
    <row r="417" spans="4:32" ht="14.25" customHeight="1">
      <c r="D417" s="61"/>
      <c r="E417" s="62"/>
      <c r="F417" s="63"/>
      <c r="G417" s="64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</row>
    <row r="418" spans="4:32" ht="14.25" customHeight="1">
      <c r="D418" s="61"/>
      <c r="E418" s="62"/>
      <c r="F418" s="63"/>
      <c r="G418" s="64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</row>
    <row r="419" spans="4:32" ht="14.25" customHeight="1">
      <c r="D419" s="61"/>
      <c r="E419" s="62"/>
      <c r="F419" s="63"/>
      <c r="G419" s="64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</row>
    <row r="420" spans="4:32" ht="14.25" customHeight="1">
      <c r="D420" s="61"/>
      <c r="E420" s="62"/>
      <c r="F420" s="63"/>
      <c r="G420" s="64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</row>
    <row r="421" spans="4:32" ht="14.25" customHeight="1">
      <c r="D421" s="61"/>
      <c r="E421" s="62"/>
      <c r="F421" s="63"/>
      <c r="G421" s="64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</row>
    <row r="422" spans="4:32" ht="14.25" customHeight="1">
      <c r="D422" s="61"/>
      <c r="E422" s="62"/>
      <c r="F422" s="63"/>
      <c r="G422" s="64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</row>
    <row r="423" spans="4:32" ht="14.25" customHeight="1">
      <c r="D423" s="61"/>
      <c r="E423" s="62"/>
      <c r="F423" s="63"/>
      <c r="G423" s="64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</row>
    <row r="424" spans="4:32" ht="14.25" customHeight="1">
      <c r="D424" s="61"/>
      <c r="E424" s="62"/>
      <c r="F424" s="63"/>
      <c r="G424" s="64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</row>
    <row r="425" spans="4:32" ht="14.25" customHeight="1">
      <c r="D425" s="61"/>
      <c r="E425" s="62"/>
      <c r="F425" s="63"/>
      <c r="G425" s="64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</row>
    <row r="426" spans="4:32" ht="14.25" customHeight="1">
      <c r="D426" s="61"/>
      <c r="E426" s="62"/>
      <c r="F426" s="63"/>
      <c r="G426" s="64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</row>
    <row r="427" spans="4:32" ht="14.25" customHeight="1">
      <c r="D427" s="61"/>
      <c r="E427" s="62"/>
      <c r="F427" s="63"/>
      <c r="G427" s="64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</row>
    <row r="428" spans="4:32" ht="14.25" customHeight="1">
      <c r="D428" s="61"/>
      <c r="E428" s="62"/>
      <c r="F428" s="63"/>
      <c r="G428" s="64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</row>
    <row r="429" spans="4:32" ht="14.25" customHeight="1">
      <c r="D429" s="61"/>
      <c r="E429" s="62"/>
      <c r="F429" s="63"/>
      <c r="G429" s="64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</row>
    <row r="430" spans="4:32" ht="14.25" customHeight="1">
      <c r="D430" s="61"/>
      <c r="E430" s="62"/>
      <c r="F430" s="63"/>
      <c r="G430" s="64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</row>
    <row r="431" spans="4:32" ht="14.25" customHeight="1">
      <c r="D431" s="61"/>
      <c r="E431" s="62"/>
      <c r="F431" s="63"/>
      <c r="G431" s="64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</row>
    <row r="432" spans="4:32" ht="14.25" customHeight="1">
      <c r="D432" s="61"/>
      <c r="E432" s="62"/>
      <c r="F432" s="63"/>
      <c r="G432" s="64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</row>
    <row r="433" spans="4:32" ht="14.25" customHeight="1">
      <c r="D433" s="61"/>
      <c r="E433" s="62"/>
      <c r="F433" s="63"/>
      <c r="G433" s="64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</row>
    <row r="434" spans="4:32" ht="14.25" customHeight="1">
      <c r="D434" s="61"/>
      <c r="E434" s="62"/>
      <c r="F434" s="63"/>
      <c r="G434" s="64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</row>
    <row r="435" spans="4:32" ht="14.25" customHeight="1">
      <c r="D435" s="61"/>
      <c r="E435" s="62"/>
      <c r="F435" s="63"/>
      <c r="G435" s="64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</row>
    <row r="436" spans="4:32" ht="14.25" customHeight="1">
      <c r="D436" s="61"/>
      <c r="E436" s="62"/>
      <c r="F436" s="63"/>
      <c r="G436" s="64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</row>
    <row r="437" spans="4:32" ht="14.25" customHeight="1">
      <c r="D437" s="61"/>
      <c r="E437" s="62"/>
      <c r="F437" s="63"/>
      <c r="G437" s="64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</row>
    <row r="438" spans="4:32" ht="14.25" customHeight="1">
      <c r="D438" s="61"/>
      <c r="E438" s="62"/>
      <c r="F438" s="63"/>
      <c r="G438" s="64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</row>
    <row r="439" spans="4:32" ht="14.25" customHeight="1">
      <c r="D439" s="61"/>
      <c r="E439" s="62"/>
      <c r="F439" s="63"/>
      <c r="G439" s="64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</row>
    <row r="440" spans="4:32" ht="14.25" customHeight="1">
      <c r="D440" s="61"/>
      <c r="E440" s="62"/>
      <c r="F440" s="63"/>
      <c r="G440" s="64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</row>
    <row r="441" spans="4:32" ht="14.25" customHeight="1">
      <c r="D441" s="61"/>
      <c r="E441" s="62"/>
      <c r="F441" s="63"/>
      <c r="G441" s="64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</row>
    <row r="442" spans="4:32" ht="14.25" customHeight="1">
      <c r="D442" s="61"/>
      <c r="E442" s="62"/>
      <c r="F442" s="63"/>
      <c r="G442" s="64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</row>
    <row r="443" spans="4:32" ht="14.25" customHeight="1">
      <c r="D443" s="61"/>
      <c r="E443" s="62"/>
      <c r="F443" s="63"/>
      <c r="G443" s="64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</row>
    <row r="444" spans="4:32" ht="14.25" customHeight="1">
      <c r="D444" s="61"/>
      <c r="E444" s="62"/>
      <c r="F444" s="63"/>
      <c r="G444" s="64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</row>
    <row r="445" spans="4:32" ht="14.25" customHeight="1">
      <c r="D445" s="61"/>
      <c r="E445" s="62"/>
      <c r="F445" s="63"/>
      <c r="G445" s="64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</row>
    <row r="446" spans="4:32" ht="14.25" customHeight="1">
      <c r="D446" s="61"/>
      <c r="E446" s="62"/>
      <c r="F446" s="63"/>
      <c r="G446" s="64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</row>
    <row r="447" spans="4:32" ht="14.25" customHeight="1">
      <c r="D447" s="61"/>
      <c r="E447" s="62"/>
      <c r="F447" s="63"/>
      <c r="G447" s="64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</row>
    <row r="448" spans="4:32" ht="14.25" customHeight="1">
      <c r="D448" s="61"/>
      <c r="E448" s="62"/>
      <c r="F448" s="63"/>
      <c r="G448" s="64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</row>
    <row r="449" spans="4:32" ht="14.25" customHeight="1">
      <c r="D449" s="61"/>
      <c r="E449" s="62"/>
      <c r="F449" s="63"/>
      <c r="G449" s="64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</row>
    <row r="450" spans="4:32" ht="14.25" customHeight="1">
      <c r="D450" s="61"/>
      <c r="E450" s="62"/>
      <c r="F450" s="63"/>
      <c r="G450" s="64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</row>
    <row r="451" spans="4:32" ht="14.25" customHeight="1">
      <c r="D451" s="61"/>
      <c r="E451" s="62"/>
      <c r="F451" s="63"/>
      <c r="G451" s="64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</row>
    <row r="452" spans="4:32" ht="14.25" customHeight="1">
      <c r="D452" s="61"/>
      <c r="E452" s="62"/>
      <c r="F452" s="63"/>
      <c r="G452" s="64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</row>
    <row r="453" spans="4:32" ht="14.25" customHeight="1">
      <c r="D453" s="61"/>
      <c r="E453" s="62"/>
      <c r="F453" s="63"/>
      <c r="G453" s="64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</row>
    <row r="454" spans="4:32" ht="14.25" customHeight="1">
      <c r="D454" s="61"/>
      <c r="E454" s="62"/>
      <c r="F454" s="63"/>
      <c r="G454" s="64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</row>
    <row r="455" spans="4:32" ht="14.25" customHeight="1">
      <c r="D455" s="61"/>
      <c r="E455" s="62"/>
      <c r="F455" s="63"/>
      <c r="G455" s="64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</row>
    <row r="456" spans="4:32" ht="14.25" customHeight="1">
      <c r="D456" s="61"/>
      <c r="E456" s="62"/>
      <c r="F456" s="63"/>
      <c r="G456" s="64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</row>
    <row r="457" spans="4:32" ht="14.25" customHeight="1">
      <c r="D457" s="61"/>
      <c r="E457" s="62"/>
      <c r="F457" s="63"/>
      <c r="G457" s="64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</row>
    <row r="458" spans="4:32" ht="14.25" customHeight="1">
      <c r="D458" s="61"/>
      <c r="E458" s="62"/>
      <c r="F458" s="63"/>
      <c r="G458" s="64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</row>
    <row r="459" spans="4:32" ht="14.25" customHeight="1">
      <c r="D459" s="61"/>
      <c r="E459" s="62"/>
      <c r="F459" s="63"/>
      <c r="G459" s="64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</row>
    <row r="460" spans="4:32" ht="14.25" customHeight="1">
      <c r="D460" s="61"/>
      <c r="E460" s="62"/>
      <c r="F460" s="63"/>
      <c r="G460" s="64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</row>
    <row r="461" spans="4:32" ht="14.25" customHeight="1">
      <c r="D461" s="61"/>
      <c r="E461" s="62"/>
      <c r="F461" s="63"/>
      <c r="G461" s="64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</row>
    <row r="462" spans="4:32" ht="14.25" customHeight="1">
      <c r="D462" s="61"/>
      <c r="E462" s="62"/>
      <c r="F462" s="63"/>
      <c r="G462" s="64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</row>
    <row r="463" spans="4:32" ht="14.25" customHeight="1">
      <c r="D463" s="61"/>
      <c r="E463" s="62"/>
      <c r="F463" s="63"/>
      <c r="G463" s="64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</row>
    <row r="464" spans="4:32" ht="14.25" customHeight="1">
      <c r="D464" s="61"/>
      <c r="E464" s="62"/>
      <c r="F464" s="63"/>
      <c r="G464" s="64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</row>
    <row r="465" spans="4:32" ht="14.25" customHeight="1">
      <c r="D465" s="61"/>
      <c r="E465" s="62"/>
      <c r="F465" s="63"/>
      <c r="G465" s="64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</row>
    <row r="466" spans="4:32" ht="14.25" customHeight="1">
      <c r="D466" s="61"/>
      <c r="E466" s="62"/>
      <c r="F466" s="63"/>
      <c r="G466" s="64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</row>
    <row r="467" spans="4:32" ht="14.25" customHeight="1">
      <c r="D467" s="61"/>
      <c r="E467" s="62"/>
      <c r="F467" s="63"/>
      <c r="G467" s="64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</row>
    <row r="468" spans="4:32" ht="14.25" customHeight="1">
      <c r="D468" s="61"/>
      <c r="E468" s="62"/>
      <c r="F468" s="63"/>
      <c r="G468" s="64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</row>
    <row r="469" spans="4:32" ht="14.25" customHeight="1">
      <c r="D469" s="61"/>
      <c r="E469" s="62"/>
      <c r="F469" s="63"/>
      <c r="G469" s="64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</row>
    <row r="470" spans="4:32" ht="14.25" customHeight="1">
      <c r="D470" s="61"/>
      <c r="E470" s="62"/>
      <c r="F470" s="63"/>
      <c r="G470" s="64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</row>
    <row r="471" spans="4:32" ht="14.25" customHeight="1">
      <c r="D471" s="61"/>
      <c r="E471" s="62"/>
      <c r="F471" s="63"/>
      <c r="G471" s="64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</row>
    <row r="472" spans="4:32" ht="14.25" customHeight="1">
      <c r="D472" s="61"/>
      <c r="E472" s="62"/>
      <c r="F472" s="63"/>
      <c r="G472" s="64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</row>
    <row r="473" spans="4:32" ht="14.25" customHeight="1">
      <c r="D473" s="61"/>
      <c r="E473" s="62"/>
      <c r="F473" s="63"/>
      <c r="G473" s="64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</row>
    <row r="474" spans="4:32" ht="14.25" customHeight="1">
      <c r="D474" s="61"/>
      <c r="E474" s="62"/>
      <c r="F474" s="63"/>
      <c r="G474" s="64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</row>
    <row r="475" spans="4:32" ht="14.25" customHeight="1">
      <c r="D475" s="61"/>
      <c r="E475" s="62"/>
      <c r="F475" s="63"/>
      <c r="G475" s="64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</row>
    <row r="476" spans="4:32" ht="14.25" customHeight="1">
      <c r="D476" s="61"/>
      <c r="E476" s="62"/>
      <c r="F476" s="63"/>
      <c r="G476" s="64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</row>
    <row r="477" spans="4:32" ht="14.25" customHeight="1">
      <c r="D477" s="61"/>
      <c r="E477" s="62"/>
      <c r="F477" s="63"/>
      <c r="G477" s="64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</row>
    <row r="478" spans="4:32" ht="14.25" customHeight="1">
      <c r="D478" s="61"/>
      <c r="E478" s="62"/>
      <c r="F478" s="63"/>
      <c r="G478" s="64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</row>
    <row r="479" spans="4:32" ht="14.25" customHeight="1">
      <c r="D479" s="61"/>
      <c r="E479" s="62"/>
      <c r="F479" s="63"/>
      <c r="G479" s="64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</row>
    <row r="480" spans="4:32" ht="14.25" customHeight="1">
      <c r="D480" s="61"/>
      <c r="E480" s="62"/>
      <c r="F480" s="63"/>
      <c r="G480" s="64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</row>
    <row r="481" spans="4:32" ht="14.25" customHeight="1">
      <c r="D481" s="61"/>
      <c r="E481" s="62"/>
      <c r="F481" s="63"/>
      <c r="G481" s="64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</row>
    <row r="482" spans="4:32" ht="14.25" customHeight="1">
      <c r="D482" s="61"/>
      <c r="E482" s="62"/>
      <c r="F482" s="63"/>
      <c r="G482" s="64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</row>
    <row r="483" spans="4:32" ht="14.25" customHeight="1">
      <c r="D483" s="61"/>
      <c r="E483" s="62"/>
      <c r="F483" s="63"/>
      <c r="G483" s="64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</row>
    <row r="484" spans="4:32" ht="14.25" customHeight="1">
      <c r="D484" s="61"/>
      <c r="E484" s="62"/>
      <c r="F484" s="63"/>
      <c r="G484" s="64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</row>
    <row r="485" spans="4:32" ht="14.25" customHeight="1">
      <c r="D485" s="61"/>
      <c r="E485" s="62"/>
      <c r="F485" s="63"/>
      <c r="G485" s="64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</row>
    <row r="486" spans="4:32" ht="14.25" customHeight="1">
      <c r="D486" s="61"/>
      <c r="E486" s="62"/>
      <c r="F486" s="63"/>
      <c r="G486" s="64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</row>
    <row r="487" spans="4:32" ht="14.25" customHeight="1">
      <c r="D487" s="61"/>
      <c r="E487" s="62"/>
      <c r="F487" s="63"/>
      <c r="G487" s="64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</row>
    <row r="488" spans="4:32" ht="14.25" customHeight="1">
      <c r="D488" s="61"/>
      <c r="E488" s="62"/>
      <c r="F488" s="63"/>
      <c r="G488" s="64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</row>
    <row r="489" spans="4:32" ht="14.25" customHeight="1">
      <c r="D489" s="61"/>
      <c r="E489" s="62"/>
      <c r="F489" s="63"/>
      <c r="G489" s="64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</row>
    <row r="490" spans="4:32" ht="14.25" customHeight="1">
      <c r="D490" s="61"/>
      <c r="E490" s="62"/>
      <c r="F490" s="63"/>
      <c r="G490" s="64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</row>
    <row r="491" spans="4:32" ht="14.25" customHeight="1">
      <c r="D491" s="61"/>
      <c r="E491" s="62"/>
      <c r="F491" s="63"/>
      <c r="G491" s="64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</row>
    <row r="492" spans="4:32" ht="14.25" customHeight="1">
      <c r="D492" s="61"/>
      <c r="E492" s="62"/>
      <c r="F492" s="63"/>
      <c r="G492" s="64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</row>
    <row r="493" spans="4:32" ht="14.25" customHeight="1">
      <c r="D493" s="61"/>
      <c r="E493" s="62"/>
      <c r="F493" s="63"/>
      <c r="G493" s="64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</row>
    <row r="494" spans="4:32" ht="14.25" customHeight="1">
      <c r="D494" s="61"/>
      <c r="E494" s="62"/>
      <c r="F494" s="63"/>
      <c r="G494" s="64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</row>
    <row r="495" spans="4:32" ht="14.25" customHeight="1">
      <c r="D495" s="61"/>
      <c r="E495" s="62"/>
      <c r="F495" s="63"/>
      <c r="G495" s="64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</row>
    <row r="496" spans="4:32" ht="14.25" customHeight="1">
      <c r="D496" s="61"/>
      <c r="E496" s="62"/>
      <c r="F496" s="63"/>
      <c r="G496" s="64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</row>
    <row r="497" spans="4:32" ht="14.25" customHeight="1">
      <c r="D497" s="61"/>
      <c r="E497" s="62"/>
      <c r="F497" s="63"/>
      <c r="G497" s="64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</row>
    <row r="498" spans="4:32" ht="14.25" customHeight="1">
      <c r="D498" s="61"/>
      <c r="E498" s="62"/>
      <c r="F498" s="63"/>
      <c r="G498" s="64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</row>
    <row r="499" spans="4:32" ht="14.25" customHeight="1">
      <c r="D499" s="61"/>
      <c r="E499" s="62"/>
      <c r="F499" s="63"/>
      <c r="G499" s="64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</row>
    <row r="500" spans="4:32" ht="14.25" customHeight="1">
      <c r="D500" s="61"/>
      <c r="E500" s="62"/>
      <c r="F500" s="63"/>
      <c r="G500" s="64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</row>
    <row r="501" spans="4:32" ht="14.25" customHeight="1">
      <c r="D501" s="61"/>
      <c r="E501" s="62"/>
      <c r="F501" s="63"/>
      <c r="G501" s="64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</row>
    <row r="502" spans="4:32" ht="14.25" customHeight="1">
      <c r="D502" s="61"/>
      <c r="E502" s="62"/>
      <c r="F502" s="63"/>
      <c r="G502" s="64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</row>
    <row r="503" spans="4:32" ht="14.25" customHeight="1">
      <c r="D503" s="61"/>
      <c r="E503" s="62"/>
      <c r="F503" s="63"/>
      <c r="G503" s="64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</row>
    <row r="504" spans="4:32" ht="14.25" customHeight="1">
      <c r="D504" s="61"/>
      <c r="E504" s="62"/>
      <c r="F504" s="63"/>
      <c r="G504" s="64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</row>
    <row r="505" spans="4:32" ht="14.25" customHeight="1">
      <c r="D505" s="61"/>
      <c r="E505" s="62"/>
      <c r="F505" s="63"/>
      <c r="G505" s="64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</row>
    <row r="506" spans="4:32" ht="14.25" customHeight="1">
      <c r="D506" s="61"/>
      <c r="E506" s="62"/>
      <c r="F506" s="63"/>
      <c r="G506" s="64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</row>
    <row r="507" spans="4:32" ht="14.25" customHeight="1">
      <c r="D507" s="61"/>
      <c r="E507" s="62"/>
      <c r="F507" s="63"/>
      <c r="G507" s="64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</row>
    <row r="508" spans="4:32" ht="14.25" customHeight="1">
      <c r="D508" s="61"/>
      <c r="E508" s="62"/>
      <c r="F508" s="63"/>
      <c r="G508" s="64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</row>
    <row r="509" spans="4:32" ht="14.25" customHeight="1">
      <c r="D509" s="61"/>
      <c r="E509" s="62"/>
      <c r="F509" s="63"/>
      <c r="G509" s="64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</row>
    <row r="510" spans="4:32" ht="14.25" customHeight="1">
      <c r="D510" s="61"/>
      <c r="E510" s="62"/>
      <c r="F510" s="63"/>
      <c r="G510" s="64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</row>
    <row r="511" spans="4:32" ht="14.25" customHeight="1">
      <c r="D511" s="61"/>
      <c r="E511" s="62"/>
      <c r="F511" s="63"/>
      <c r="G511" s="64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</row>
    <row r="512" spans="4:32" ht="14.25" customHeight="1">
      <c r="D512" s="61"/>
      <c r="E512" s="62"/>
      <c r="F512" s="63"/>
      <c r="G512" s="64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</row>
    <row r="513" spans="4:32" ht="14.25" customHeight="1">
      <c r="D513" s="61"/>
      <c r="E513" s="62"/>
      <c r="F513" s="63"/>
      <c r="G513" s="64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</row>
    <row r="514" spans="4:32" ht="14.25" customHeight="1">
      <c r="D514" s="61"/>
      <c r="E514" s="62"/>
      <c r="F514" s="63"/>
      <c r="G514" s="64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</row>
    <row r="515" spans="4:32" ht="14.25" customHeight="1">
      <c r="D515" s="61"/>
      <c r="E515" s="62"/>
      <c r="F515" s="63"/>
      <c r="G515" s="64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</row>
    <row r="516" spans="4:32" ht="14.25" customHeight="1">
      <c r="D516" s="61"/>
      <c r="E516" s="62"/>
      <c r="F516" s="63"/>
      <c r="G516" s="64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</row>
    <row r="517" spans="4:32" ht="14.25" customHeight="1">
      <c r="D517" s="61"/>
      <c r="E517" s="62"/>
      <c r="F517" s="63"/>
      <c r="G517" s="64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</row>
    <row r="518" spans="4:32" ht="14.25" customHeight="1">
      <c r="D518" s="61"/>
      <c r="E518" s="62"/>
      <c r="F518" s="63"/>
      <c r="G518" s="64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</row>
    <row r="519" spans="4:32" ht="14.25" customHeight="1">
      <c r="D519" s="61"/>
      <c r="E519" s="62"/>
      <c r="F519" s="63"/>
      <c r="G519" s="64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</row>
    <row r="520" spans="4:32" ht="14.25" customHeight="1">
      <c r="D520" s="61"/>
      <c r="E520" s="62"/>
      <c r="F520" s="63"/>
      <c r="G520" s="64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</row>
    <row r="521" spans="4:32" ht="14.25" customHeight="1">
      <c r="D521" s="61"/>
      <c r="E521" s="62"/>
      <c r="F521" s="63"/>
      <c r="G521" s="64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</row>
    <row r="522" spans="4:32" ht="14.25" customHeight="1">
      <c r="D522" s="61"/>
      <c r="E522" s="62"/>
      <c r="F522" s="63"/>
      <c r="G522" s="64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</row>
    <row r="523" spans="4:32" ht="14.25" customHeight="1">
      <c r="D523" s="61"/>
      <c r="E523" s="62"/>
      <c r="F523" s="63"/>
      <c r="G523" s="64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</row>
    <row r="524" spans="4:32" ht="14.25" customHeight="1">
      <c r="D524" s="61"/>
      <c r="E524" s="62"/>
      <c r="F524" s="63"/>
      <c r="G524" s="64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</row>
    <row r="525" spans="4:32" ht="14.25" customHeight="1">
      <c r="D525" s="61"/>
      <c r="E525" s="62"/>
      <c r="F525" s="63"/>
      <c r="G525" s="64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</row>
    <row r="526" spans="4:32" ht="14.25" customHeight="1">
      <c r="D526" s="61"/>
      <c r="E526" s="62"/>
      <c r="F526" s="63"/>
      <c r="G526" s="64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</row>
    <row r="527" spans="4:32" ht="14.25" customHeight="1">
      <c r="D527" s="61"/>
      <c r="E527" s="62"/>
      <c r="F527" s="63"/>
      <c r="G527" s="64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</row>
    <row r="528" spans="4:32" ht="14.25" customHeight="1">
      <c r="D528" s="61"/>
      <c r="E528" s="62"/>
      <c r="F528" s="63"/>
      <c r="G528" s="64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</row>
    <row r="529" spans="4:32" ht="14.25" customHeight="1">
      <c r="D529" s="61"/>
      <c r="E529" s="62"/>
      <c r="F529" s="63"/>
      <c r="G529" s="64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</row>
    <row r="530" spans="4:32" ht="14.25" customHeight="1">
      <c r="D530" s="61"/>
      <c r="E530" s="62"/>
      <c r="F530" s="63"/>
      <c r="G530" s="64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</row>
    <row r="531" spans="4:32" ht="14.25" customHeight="1">
      <c r="D531" s="61"/>
      <c r="E531" s="62"/>
      <c r="F531" s="63"/>
      <c r="G531" s="64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</row>
    <row r="532" spans="4:32" ht="14.25" customHeight="1">
      <c r="D532" s="61"/>
      <c r="E532" s="62"/>
      <c r="F532" s="63"/>
      <c r="G532" s="64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</row>
    <row r="533" spans="4:32" ht="14.25" customHeight="1">
      <c r="D533" s="61"/>
      <c r="E533" s="62"/>
      <c r="F533" s="63"/>
      <c r="G533" s="64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</row>
    <row r="534" spans="4:32" ht="14.25" customHeight="1">
      <c r="D534" s="61"/>
      <c r="E534" s="62"/>
      <c r="F534" s="63"/>
      <c r="G534" s="64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</row>
    <row r="535" spans="4:32" ht="14.25" customHeight="1">
      <c r="D535" s="61"/>
      <c r="E535" s="62"/>
      <c r="F535" s="63"/>
      <c r="G535" s="64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</row>
    <row r="536" spans="4:32" ht="14.25" customHeight="1">
      <c r="D536" s="61"/>
      <c r="E536" s="62"/>
      <c r="F536" s="63"/>
      <c r="G536" s="64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</row>
    <row r="537" spans="4:32" ht="14.25" customHeight="1">
      <c r="D537" s="61"/>
      <c r="E537" s="62"/>
      <c r="F537" s="63"/>
      <c r="G537" s="64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</row>
    <row r="538" spans="4:32" ht="14.25" customHeight="1">
      <c r="D538" s="61"/>
      <c r="E538" s="62"/>
      <c r="F538" s="63"/>
      <c r="G538" s="64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</row>
    <row r="539" spans="4:32" ht="14.25" customHeight="1">
      <c r="D539" s="61"/>
      <c r="E539" s="62"/>
      <c r="F539" s="63"/>
      <c r="G539" s="64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</row>
    <row r="540" spans="4:32" ht="14.25" customHeight="1">
      <c r="D540" s="61"/>
      <c r="E540" s="62"/>
      <c r="F540" s="63"/>
      <c r="G540" s="64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</row>
    <row r="541" spans="4:32" ht="14.25" customHeight="1">
      <c r="D541" s="61"/>
      <c r="E541" s="62"/>
      <c r="F541" s="63"/>
      <c r="G541" s="64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</row>
    <row r="542" spans="4:32" ht="14.25" customHeight="1">
      <c r="D542" s="61"/>
      <c r="E542" s="62"/>
      <c r="F542" s="63"/>
      <c r="G542" s="64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</row>
    <row r="543" spans="4:32" ht="14.25" customHeight="1">
      <c r="D543" s="61"/>
      <c r="E543" s="62"/>
      <c r="F543" s="63"/>
      <c r="G543" s="64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</row>
    <row r="544" spans="4:32" ht="14.25" customHeight="1">
      <c r="D544" s="61"/>
      <c r="E544" s="62"/>
      <c r="F544" s="63"/>
      <c r="G544" s="64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</row>
    <row r="545" spans="4:32" ht="14.25" customHeight="1">
      <c r="D545" s="61"/>
      <c r="E545" s="62"/>
      <c r="F545" s="63"/>
      <c r="G545" s="64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</row>
    <row r="546" spans="4:32" ht="14.25" customHeight="1">
      <c r="D546" s="61"/>
      <c r="E546" s="62"/>
      <c r="F546" s="63"/>
      <c r="G546" s="64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</row>
    <row r="547" spans="4:32" ht="14.25" customHeight="1">
      <c r="D547" s="61"/>
      <c r="E547" s="62"/>
      <c r="F547" s="63"/>
      <c r="G547" s="64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</row>
    <row r="548" spans="4:32" ht="14.25" customHeight="1">
      <c r="D548" s="61"/>
      <c r="E548" s="62"/>
      <c r="F548" s="63"/>
      <c r="G548" s="64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</row>
    <row r="549" spans="4:32" ht="14.25" customHeight="1">
      <c r="D549" s="61"/>
      <c r="E549" s="62"/>
      <c r="F549" s="63"/>
      <c r="G549" s="64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</row>
    <row r="550" spans="4:32" ht="14.25" customHeight="1">
      <c r="D550" s="61"/>
      <c r="E550" s="62"/>
      <c r="F550" s="63"/>
      <c r="G550" s="64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</row>
    <row r="551" spans="4:32" ht="14.25" customHeight="1">
      <c r="D551" s="61"/>
      <c r="E551" s="62"/>
      <c r="F551" s="63"/>
      <c r="G551" s="64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</row>
    <row r="552" spans="4:32" ht="14.25" customHeight="1">
      <c r="D552" s="61"/>
      <c r="E552" s="62"/>
      <c r="F552" s="63"/>
      <c r="G552" s="64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</row>
    <row r="553" spans="4:32" ht="14.25" customHeight="1">
      <c r="D553" s="61"/>
      <c r="E553" s="62"/>
      <c r="F553" s="63"/>
      <c r="G553" s="64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</row>
    <row r="554" spans="4:32" ht="14.25" customHeight="1">
      <c r="D554" s="61"/>
      <c r="E554" s="62"/>
      <c r="F554" s="63"/>
      <c r="G554" s="64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</row>
    <row r="555" spans="4:32" ht="14.25" customHeight="1">
      <c r="D555" s="61"/>
      <c r="E555" s="62"/>
      <c r="F555" s="63"/>
      <c r="G555" s="64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</row>
    <row r="556" spans="4:32" ht="14.25" customHeight="1">
      <c r="D556" s="61"/>
      <c r="E556" s="62"/>
      <c r="F556" s="63"/>
      <c r="G556" s="64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</row>
    <row r="557" spans="4:32" ht="14.25" customHeight="1">
      <c r="D557" s="61"/>
      <c r="E557" s="62"/>
      <c r="F557" s="63"/>
      <c r="G557" s="64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</row>
    <row r="558" spans="4:32" ht="14.25" customHeight="1">
      <c r="D558" s="61"/>
      <c r="E558" s="62"/>
      <c r="F558" s="63"/>
      <c r="G558" s="64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</row>
    <row r="559" spans="4:32" ht="14.25" customHeight="1">
      <c r="D559" s="61"/>
      <c r="E559" s="62"/>
      <c r="F559" s="63"/>
      <c r="G559" s="64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</row>
    <row r="560" spans="4:32" ht="14.25" customHeight="1">
      <c r="D560" s="61"/>
      <c r="E560" s="62"/>
      <c r="F560" s="63"/>
      <c r="G560" s="64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</row>
    <row r="561" spans="4:32" ht="14.25" customHeight="1">
      <c r="D561" s="61"/>
      <c r="E561" s="62"/>
      <c r="F561" s="63"/>
      <c r="G561" s="64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</row>
    <row r="562" spans="4:32" ht="14.25" customHeight="1">
      <c r="D562" s="61"/>
      <c r="E562" s="62"/>
      <c r="F562" s="63"/>
      <c r="G562" s="64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</row>
    <row r="563" spans="4:32" ht="14.25" customHeight="1">
      <c r="D563" s="61"/>
      <c r="E563" s="62"/>
      <c r="F563" s="63"/>
      <c r="G563" s="64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</row>
    <row r="564" spans="4:32" ht="14.25" customHeight="1">
      <c r="D564" s="61"/>
      <c r="E564" s="62"/>
      <c r="F564" s="63"/>
      <c r="G564" s="64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</row>
    <row r="565" spans="4:32" ht="14.25" customHeight="1">
      <c r="D565" s="61"/>
      <c r="E565" s="62"/>
      <c r="F565" s="63"/>
      <c r="G565" s="64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</row>
    <row r="566" spans="4:32" ht="14.25" customHeight="1">
      <c r="D566" s="61"/>
      <c r="E566" s="62"/>
      <c r="F566" s="63"/>
      <c r="G566" s="64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</row>
    <row r="567" spans="4:32" ht="14.25" customHeight="1">
      <c r="D567" s="61"/>
      <c r="E567" s="62"/>
      <c r="F567" s="63"/>
      <c r="G567" s="64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</row>
    <row r="568" spans="4:32" ht="14.25" customHeight="1">
      <c r="D568" s="61"/>
      <c r="E568" s="62"/>
      <c r="F568" s="63"/>
      <c r="G568" s="64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</row>
    <row r="569" spans="4:32" ht="14.25" customHeight="1">
      <c r="D569" s="61"/>
      <c r="E569" s="62"/>
      <c r="F569" s="63"/>
      <c r="G569" s="64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</row>
    <row r="570" spans="4:32" ht="14.25" customHeight="1">
      <c r="D570" s="61"/>
      <c r="E570" s="62"/>
      <c r="F570" s="63"/>
      <c r="G570" s="64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</row>
    <row r="571" spans="4:32" ht="14.25" customHeight="1">
      <c r="D571" s="61"/>
      <c r="E571" s="62"/>
      <c r="F571" s="63"/>
      <c r="G571" s="64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</row>
    <row r="572" spans="4:32" ht="14.25" customHeight="1">
      <c r="D572" s="61"/>
      <c r="E572" s="62"/>
      <c r="F572" s="63"/>
      <c r="G572" s="64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</row>
    <row r="573" spans="4:32" ht="14.25" customHeight="1">
      <c r="D573" s="61"/>
      <c r="E573" s="62"/>
      <c r="F573" s="63"/>
      <c r="G573" s="64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</row>
    <row r="574" spans="4:32" ht="14.25" customHeight="1">
      <c r="D574" s="61"/>
      <c r="E574" s="62"/>
      <c r="F574" s="63"/>
      <c r="G574" s="64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</row>
    <row r="575" spans="4:32" ht="14.25" customHeight="1">
      <c r="D575" s="61"/>
      <c r="E575" s="62"/>
      <c r="F575" s="63"/>
      <c r="G575" s="64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</row>
    <row r="576" spans="4:32" ht="14.25" customHeight="1">
      <c r="D576" s="61"/>
      <c r="E576" s="62"/>
      <c r="F576" s="63"/>
      <c r="G576" s="64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</row>
    <row r="577" spans="4:32" ht="14.25" customHeight="1">
      <c r="D577" s="61"/>
      <c r="E577" s="62"/>
      <c r="F577" s="63"/>
      <c r="G577" s="64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</row>
    <row r="578" spans="4:32" ht="14.25" customHeight="1">
      <c r="D578" s="61"/>
      <c r="E578" s="62"/>
      <c r="F578" s="63"/>
      <c r="G578" s="64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</row>
    <row r="579" spans="4:32" ht="14.25" customHeight="1">
      <c r="D579" s="61"/>
      <c r="E579" s="62"/>
      <c r="F579" s="63"/>
      <c r="G579" s="64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</row>
    <row r="580" spans="4:32" ht="14.25" customHeight="1">
      <c r="D580" s="61"/>
      <c r="E580" s="62"/>
      <c r="F580" s="63"/>
      <c r="G580" s="64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</row>
    <row r="581" spans="4:32" ht="14.25" customHeight="1">
      <c r="D581" s="61"/>
      <c r="E581" s="62"/>
      <c r="F581" s="63"/>
      <c r="G581" s="64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</row>
    <row r="582" spans="4:32" ht="14.25" customHeight="1">
      <c r="D582" s="61"/>
      <c r="E582" s="62"/>
      <c r="F582" s="63"/>
      <c r="G582" s="64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</row>
    <row r="583" spans="4:32" ht="14.25" customHeight="1">
      <c r="D583" s="61"/>
      <c r="E583" s="62"/>
      <c r="F583" s="63"/>
      <c r="G583" s="64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</row>
    <row r="584" spans="4:32" ht="14.25" customHeight="1">
      <c r="D584" s="61"/>
      <c r="E584" s="62"/>
      <c r="F584" s="63"/>
      <c r="G584" s="64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</row>
    <row r="585" spans="4:32" ht="14.25" customHeight="1">
      <c r="D585" s="61"/>
      <c r="E585" s="62"/>
      <c r="F585" s="63"/>
      <c r="G585" s="64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</row>
    <row r="586" spans="4:32" ht="14.25" customHeight="1">
      <c r="D586" s="61"/>
      <c r="E586" s="62"/>
      <c r="F586" s="63"/>
      <c r="G586" s="64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</row>
    <row r="587" spans="4:32" ht="14.25" customHeight="1">
      <c r="D587" s="61"/>
      <c r="E587" s="62"/>
      <c r="F587" s="63"/>
      <c r="G587" s="64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</row>
    <row r="588" spans="4:32" ht="14.25" customHeight="1">
      <c r="D588" s="61"/>
      <c r="E588" s="62"/>
      <c r="F588" s="63"/>
      <c r="G588" s="64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</row>
    <row r="589" spans="4:32" ht="14.25" customHeight="1">
      <c r="D589" s="61"/>
      <c r="E589" s="62"/>
      <c r="F589" s="63"/>
      <c r="G589" s="64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</row>
    <row r="590" spans="4:32" ht="14.25" customHeight="1">
      <c r="D590" s="61"/>
      <c r="E590" s="62"/>
      <c r="F590" s="63"/>
      <c r="G590" s="64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</row>
    <row r="591" spans="4:32" ht="14.25" customHeight="1">
      <c r="D591" s="61"/>
      <c r="E591" s="62"/>
      <c r="F591" s="63"/>
      <c r="G591" s="64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</row>
    <row r="592" spans="4:32" ht="14.25" customHeight="1">
      <c r="D592" s="61"/>
      <c r="E592" s="62"/>
      <c r="F592" s="63"/>
      <c r="G592" s="64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</row>
    <row r="593" spans="4:32" ht="14.25" customHeight="1">
      <c r="D593" s="61"/>
      <c r="E593" s="62"/>
      <c r="F593" s="63"/>
      <c r="G593" s="64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</row>
    <row r="594" spans="4:32" ht="14.25" customHeight="1">
      <c r="D594" s="61"/>
      <c r="E594" s="62"/>
      <c r="F594" s="63"/>
      <c r="G594" s="64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</row>
    <row r="595" spans="4:32" ht="14.25" customHeight="1">
      <c r="D595" s="61"/>
      <c r="E595" s="62"/>
      <c r="F595" s="63"/>
      <c r="G595" s="64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</row>
    <row r="596" spans="4:32" ht="14.25" customHeight="1">
      <c r="D596" s="61"/>
      <c r="E596" s="62"/>
      <c r="F596" s="63"/>
      <c r="G596" s="64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</row>
    <row r="597" spans="4:32" ht="14.25" customHeight="1">
      <c r="D597" s="61"/>
      <c r="E597" s="62"/>
      <c r="F597" s="63"/>
      <c r="G597" s="64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</row>
    <row r="598" spans="4:32" ht="14.25" customHeight="1">
      <c r="D598" s="61"/>
      <c r="E598" s="62"/>
      <c r="F598" s="63"/>
      <c r="G598" s="64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</row>
    <row r="599" spans="4:32" ht="14.25" customHeight="1">
      <c r="D599" s="61"/>
      <c r="E599" s="62"/>
      <c r="F599" s="63"/>
      <c r="G599" s="64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</row>
    <row r="600" spans="4:32" ht="14.25" customHeight="1">
      <c r="D600" s="61"/>
      <c r="E600" s="62"/>
      <c r="F600" s="63"/>
      <c r="G600" s="64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</row>
    <row r="601" spans="4:32" ht="14.25" customHeight="1">
      <c r="D601" s="61"/>
      <c r="E601" s="62"/>
      <c r="F601" s="63"/>
      <c r="G601" s="64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</row>
    <row r="602" spans="4:32" ht="14.25" customHeight="1">
      <c r="D602" s="61"/>
      <c r="E602" s="62"/>
      <c r="F602" s="63"/>
      <c r="G602" s="64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</row>
    <row r="603" spans="4:32" ht="14.25" customHeight="1">
      <c r="D603" s="61"/>
      <c r="E603" s="62"/>
      <c r="F603" s="63"/>
      <c r="G603" s="64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</row>
    <row r="604" spans="4:32" ht="14.25" customHeight="1">
      <c r="D604" s="61"/>
      <c r="E604" s="62"/>
      <c r="F604" s="63"/>
      <c r="G604" s="64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</row>
    <row r="605" spans="4:32" ht="14.25" customHeight="1">
      <c r="D605" s="61"/>
      <c r="E605" s="62"/>
      <c r="F605" s="63"/>
      <c r="G605" s="64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</row>
    <row r="606" spans="4:32" ht="14.25" customHeight="1">
      <c r="D606" s="61"/>
      <c r="E606" s="62"/>
      <c r="F606" s="63"/>
      <c r="G606" s="64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</row>
    <row r="607" spans="4:32" ht="14.25" customHeight="1">
      <c r="D607" s="61"/>
      <c r="E607" s="62"/>
      <c r="F607" s="63"/>
      <c r="G607" s="64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</row>
    <row r="608" spans="4:32" ht="14.25" customHeight="1">
      <c r="D608" s="61"/>
      <c r="E608" s="62"/>
      <c r="F608" s="63"/>
      <c r="G608" s="64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</row>
    <row r="609" spans="4:32" ht="14.25" customHeight="1">
      <c r="D609" s="61"/>
      <c r="E609" s="62"/>
      <c r="F609" s="63"/>
      <c r="G609" s="64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</row>
    <row r="610" spans="4:32" ht="14.25" customHeight="1">
      <c r="D610" s="61"/>
      <c r="E610" s="62"/>
      <c r="F610" s="63"/>
      <c r="G610" s="64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</row>
    <row r="611" spans="4:32" ht="14.25" customHeight="1">
      <c r="D611" s="61"/>
      <c r="E611" s="62"/>
      <c r="F611" s="63"/>
      <c r="G611" s="64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</row>
    <row r="612" spans="4:32" ht="14.25" customHeight="1">
      <c r="D612" s="61"/>
      <c r="E612" s="62"/>
      <c r="F612" s="63"/>
      <c r="G612" s="64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</row>
    <row r="613" spans="4:32" ht="14.25" customHeight="1">
      <c r="D613" s="61"/>
      <c r="E613" s="62"/>
      <c r="F613" s="63"/>
      <c r="G613" s="64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</row>
    <row r="614" spans="4:32" ht="14.25" customHeight="1">
      <c r="D614" s="61"/>
      <c r="E614" s="62"/>
      <c r="F614" s="63"/>
      <c r="G614" s="64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</row>
    <row r="615" spans="4:32" ht="14.25" customHeight="1">
      <c r="D615" s="61"/>
      <c r="E615" s="62"/>
      <c r="F615" s="63"/>
      <c r="G615" s="64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</row>
    <row r="616" spans="4:32" ht="14.25" customHeight="1">
      <c r="D616" s="61"/>
      <c r="E616" s="62"/>
      <c r="F616" s="63"/>
      <c r="G616" s="64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</row>
    <row r="617" spans="4:32" ht="14.25" customHeight="1">
      <c r="D617" s="61"/>
      <c r="E617" s="62"/>
      <c r="F617" s="63"/>
      <c r="G617" s="64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</row>
    <row r="618" spans="4:32" ht="14.25" customHeight="1">
      <c r="D618" s="61"/>
      <c r="E618" s="62"/>
      <c r="F618" s="63"/>
      <c r="G618" s="64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</row>
    <row r="619" spans="4:32" ht="14.25" customHeight="1">
      <c r="D619" s="61"/>
      <c r="E619" s="62"/>
      <c r="F619" s="63"/>
      <c r="G619" s="64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</row>
    <row r="620" spans="4:32" ht="14.25" customHeight="1">
      <c r="D620" s="61"/>
      <c r="E620" s="62"/>
      <c r="F620" s="63"/>
      <c r="G620" s="64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</row>
    <row r="621" spans="4:32" ht="14.25" customHeight="1">
      <c r="D621" s="61"/>
      <c r="E621" s="62"/>
      <c r="F621" s="63"/>
      <c r="G621" s="64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</row>
    <row r="622" spans="4:32" ht="14.25" customHeight="1">
      <c r="D622" s="61"/>
      <c r="E622" s="62"/>
      <c r="F622" s="63"/>
      <c r="G622" s="64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</row>
    <row r="623" spans="4:32" ht="14.25" customHeight="1">
      <c r="D623" s="61"/>
      <c r="E623" s="62"/>
      <c r="F623" s="63"/>
      <c r="G623" s="64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</row>
    <row r="624" spans="4:32" ht="14.25" customHeight="1">
      <c r="D624" s="61"/>
      <c r="E624" s="62"/>
      <c r="F624" s="63"/>
      <c r="G624" s="64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</row>
    <row r="625" spans="4:32" ht="14.25" customHeight="1">
      <c r="D625" s="61"/>
      <c r="E625" s="62"/>
      <c r="F625" s="63"/>
      <c r="G625" s="64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</row>
    <row r="626" spans="4:32" ht="14.25" customHeight="1">
      <c r="D626" s="61"/>
      <c r="E626" s="62"/>
      <c r="F626" s="63"/>
      <c r="G626" s="64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</row>
    <row r="627" spans="4:32" ht="14.25" customHeight="1">
      <c r="D627" s="61"/>
      <c r="E627" s="62"/>
      <c r="F627" s="63"/>
      <c r="G627" s="64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</row>
    <row r="628" spans="4:32" ht="14.25" customHeight="1">
      <c r="D628" s="61"/>
      <c r="E628" s="62"/>
      <c r="F628" s="63"/>
      <c r="G628" s="64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</row>
    <row r="629" spans="4:32" ht="14.25" customHeight="1">
      <c r="D629" s="61"/>
      <c r="E629" s="62"/>
      <c r="F629" s="63"/>
      <c r="G629" s="64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</row>
    <row r="630" spans="4:32" ht="14.25" customHeight="1">
      <c r="D630" s="61"/>
      <c r="E630" s="62"/>
      <c r="F630" s="63"/>
      <c r="G630" s="64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</row>
    <row r="631" spans="4:32" ht="14.25" customHeight="1">
      <c r="D631" s="61"/>
      <c r="E631" s="62"/>
      <c r="F631" s="63"/>
      <c r="G631" s="64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</row>
    <row r="632" spans="4:32" ht="14.25" customHeight="1">
      <c r="D632" s="61"/>
      <c r="E632" s="62"/>
      <c r="F632" s="63"/>
      <c r="G632" s="64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</row>
    <row r="633" spans="4:32" ht="14.25" customHeight="1">
      <c r="D633" s="61"/>
      <c r="E633" s="62"/>
      <c r="F633" s="63"/>
      <c r="G633" s="64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</row>
    <row r="634" spans="4:32" ht="14.25" customHeight="1">
      <c r="D634" s="61"/>
      <c r="E634" s="62"/>
      <c r="F634" s="63"/>
      <c r="G634" s="64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</row>
    <row r="635" spans="4:32" ht="14.25" customHeight="1">
      <c r="D635" s="61"/>
      <c r="E635" s="62"/>
      <c r="F635" s="63"/>
      <c r="G635" s="64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</row>
    <row r="636" spans="4:32" ht="14.25" customHeight="1">
      <c r="D636" s="61"/>
      <c r="E636" s="62"/>
      <c r="F636" s="63"/>
      <c r="G636" s="64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</row>
    <row r="637" spans="4:32" ht="14.25" customHeight="1">
      <c r="D637" s="61"/>
      <c r="E637" s="62"/>
      <c r="F637" s="63"/>
      <c r="G637" s="64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</row>
    <row r="638" spans="4:32" ht="14.25" customHeight="1">
      <c r="D638" s="61"/>
      <c r="E638" s="62"/>
      <c r="F638" s="63"/>
      <c r="G638" s="64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</row>
    <row r="639" spans="4:32" ht="14.25" customHeight="1">
      <c r="D639" s="61"/>
      <c r="E639" s="62"/>
      <c r="F639" s="63"/>
      <c r="G639" s="64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</row>
    <row r="640" spans="4:32" ht="14.25" customHeight="1">
      <c r="D640" s="61"/>
      <c r="E640" s="62"/>
      <c r="F640" s="63"/>
      <c r="G640" s="64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</row>
    <row r="641" spans="4:32" ht="14.25" customHeight="1">
      <c r="D641" s="61"/>
      <c r="E641" s="62"/>
      <c r="F641" s="63"/>
      <c r="G641" s="64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</row>
    <row r="642" spans="4:32" ht="14.25" customHeight="1">
      <c r="D642" s="61"/>
      <c r="E642" s="62"/>
      <c r="F642" s="63"/>
      <c r="G642" s="64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</row>
    <row r="643" spans="4:32" ht="14.25" customHeight="1">
      <c r="D643" s="61"/>
      <c r="E643" s="62"/>
      <c r="F643" s="63"/>
      <c r="G643" s="64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</row>
    <row r="644" spans="4:32" ht="14.25" customHeight="1">
      <c r="D644" s="61"/>
      <c r="E644" s="62"/>
      <c r="F644" s="63"/>
      <c r="G644" s="64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</row>
    <row r="645" spans="4:32" ht="14.25" customHeight="1">
      <c r="D645" s="61"/>
      <c r="E645" s="62"/>
      <c r="F645" s="63"/>
      <c r="G645" s="64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</row>
    <row r="646" spans="4:32" ht="14.25" customHeight="1">
      <c r="D646" s="61"/>
      <c r="E646" s="62"/>
      <c r="F646" s="63"/>
      <c r="G646" s="64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</row>
    <row r="647" spans="4:32" ht="14.25" customHeight="1">
      <c r="D647" s="61"/>
      <c r="E647" s="62"/>
      <c r="F647" s="63"/>
      <c r="G647" s="64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</row>
    <row r="648" spans="4:32" ht="14.25" customHeight="1">
      <c r="D648" s="61"/>
      <c r="E648" s="62"/>
      <c r="F648" s="63"/>
      <c r="G648" s="64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</row>
    <row r="649" spans="4:32" ht="14.25" customHeight="1">
      <c r="D649" s="61"/>
      <c r="E649" s="62"/>
      <c r="F649" s="63"/>
      <c r="G649" s="64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</row>
    <row r="650" spans="4:32" ht="14.25" customHeight="1">
      <c r="D650" s="61"/>
      <c r="E650" s="62"/>
      <c r="F650" s="63"/>
      <c r="G650" s="64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</row>
    <row r="651" spans="4:32" ht="14.25" customHeight="1">
      <c r="D651" s="61"/>
      <c r="E651" s="62"/>
      <c r="F651" s="63"/>
      <c r="G651" s="64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</row>
    <row r="652" spans="4:32" ht="14.25" customHeight="1">
      <c r="D652" s="61"/>
      <c r="E652" s="62"/>
      <c r="F652" s="63"/>
      <c r="G652" s="64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</row>
    <row r="653" spans="4:32" ht="14.25" customHeight="1">
      <c r="D653" s="61"/>
      <c r="E653" s="62"/>
      <c r="F653" s="63"/>
      <c r="G653" s="64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</row>
    <row r="654" spans="4:32" ht="14.25" customHeight="1">
      <c r="D654" s="61"/>
      <c r="E654" s="62"/>
      <c r="F654" s="63"/>
      <c r="G654" s="64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</row>
    <row r="655" spans="4:32" ht="14.25" customHeight="1">
      <c r="D655" s="61"/>
      <c r="E655" s="62"/>
      <c r="F655" s="63"/>
      <c r="G655" s="64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</row>
    <row r="656" spans="4:32" ht="14.25" customHeight="1">
      <c r="D656" s="61"/>
      <c r="E656" s="62"/>
      <c r="F656" s="63"/>
      <c r="G656" s="64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</row>
    <row r="657" spans="4:32" ht="14.25" customHeight="1">
      <c r="D657" s="61"/>
      <c r="E657" s="62"/>
      <c r="F657" s="63"/>
      <c r="G657" s="64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</row>
    <row r="658" spans="4:32" ht="14.25" customHeight="1">
      <c r="D658" s="61"/>
      <c r="E658" s="62"/>
      <c r="F658" s="63"/>
      <c r="G658" s="64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</row>
    <row r="659" spans="4:32" ht="14.25" customHeight="1">
      <c r="D659" s="61"/>
      <c r="E659" s="62"/>
      <c r="F659" s="63"/>
      <c r="G659" s="64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</row>
    <row r="660" spans="4:32" ht="14.25" customHeight="1">
      <c r="D660" s="61"/>
      <c r="E660" s="62"/>
      <c r="F660" s="63"/>
      <c r="G660" s="64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</row>
    <row r="661" spans="4:32" ht="14.25" customHeight="1">
      <c r="D661" s="61"/>
      <c r="E661" s="62"/>
      <c r="F661" s="63"/>
      <c r="G661" s="64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</row>
    <row r="662" spans="4:32" ht="14.25" customHeight="1">
      <c r="D662" s="61"/>
      <c r="E662" s="62"/>
      <c r="F662" s="63"/>
      <c r="G662" s="64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</row>
    <row r="663" spans="4:32" ht="14.25" customHeight="1">
      <c r="D663" s="61"/>
      <c r="E663" s="62"/>
      <c r="F663" s="63"/>
      <c r="G663" s="64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</row>
    <row r="664" spans="4:32" ht="14.25" customHeight="1">
      <c r="D664" s="61"/>
      <c r="E664" s="62"/>
      <c r="F664" s="63"/>
      <c r="G664" s="64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</row>
    <row r="665" spans="4:32" ht="14.25" customHeight="1">
      <c r="D665" s="61"/>
      <c r="E665" s="62"/>
      <c r="F665" s="63"/>
      <c r="G665" s="64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</row>
    <row r="666" spans="4:32" ht="14.25" customHeight="1">
      <c r="D666" s="61"/>
      <c r="E666" s="62"/>
      <c r="F666" s="63"/>
      <c r="G666" s="64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</row>
    <row r="667" spans="4:32" ht="14.25" customHeight="1">
      <c r="D667" s="61"/>
      <c r="E667" s="62"/>
      <c r="F667" s="63"/>
      <c r="G667" s="64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</row>
    <row r="668" spans="4:32" ht="14.25" customHeight="1">
      <c r="D668" s="61"/>
      <c r="E668" s="62"/>
      <c r="F668" s="63"/>
      <c r="G668" s="64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</row>
    <row r="669" spans="4:32" ht="14.25" customHeight="1">
      <c r="D669" s="61"/>
      <c r="E669" s="62"/>
      <c r="F669" s="63"/>
      <c r="G669" s="64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</row>
    <row r="670" spans="4:32" ht="14.25" customHeight="1">
      <c r="D670" s="61"/>
      <c r="E670" s="62"/>
      <c r="F670" s="63"/>
      <c r="G670" s="64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</row>
    <row r="671" spans="4:32" ht="14.25" customHeight="1">
      <c r="D671" s="61"/>
      <c r="E671" s="62"/>
      <c r="F671" s="63"/>
      <c r="G671" s="64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</row>
    <row r="672" spans="4:32" ht="14.25" customHeight="1">
      <c r="D672" s="61"/>
      <c r="E672" s="62"/>
      <c r="F672" s="63"/>
      <c r="G672" s="64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</row>
    <row r="673" spans="4:32" ht="14.25" customHeight="1">
      <c r="D673" s="61"/>
      <c r="E673" s="62"/>
      <c r="F673" s="63"/>
      <c r="G673" s="64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</row>
    <row r="674" spans="4:32" ht="14.25" customHeight="1">
      <c r="D674" s="61"/>
      <c r="E674" s="62"/>
      <c r="F674" s="63"/>
      <c r="G674" s="64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</row>
    <row r="675" spans="4:32" ht="14.25" customHeight="1">
      <c r="D675" s="61"/>
      <c r="E675" s="62"/>
      <c r="F675" s="63"/>
      <c r="G675" s="64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</row>
    <row r="676" spans="4:32" ht="14.25" customHeight="1">
      <c r="D676" s="61"/>
      <c r="E676" s="62"/>
      <c r="F676" s="63"/>
      <c r="G676" s="64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</row>
    <row r="677" spans="4:32" ht="14.25" customHeight="1">
      <c r="D677" s="61"/>
      <c r="E677" s="62"/>
      <c r="F677" s="63"/>
      <c r="G677" s="64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</row>
    <row r="678" spans="4:32" ht="14.25" customHeight="1">
      <c r="D678" s="61"/>
      <c r="E678" s="62"/>
      <c r="F678" s="63"/>
      <c r="G678" s="64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</row>
    <row r="679" spans="4:32" ht="14.25" customHeight="1">
      <c r="D679" s="61"/>
      <c r="E679" s="62"/>
      <c r="F679" s="63"/>
      <c r="G679" s="64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</row>
    <row r="680" spans="4:32" ht="14.25" customHeight="1">
      <c r="D680" s="61"/>
      <c r="E680" s="62"/>
      <c r="F680" s="63"/>
      <c r="G680" s="64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</row>
    <row r="681" spans="4:32" ht="14.25" customHeight="1">
      <c r="D681" s="61"/>
      <c r="E681" s="62"/>
      <c r="F681" s="63"/>
      <c r="G681" s="64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</row>
    <row r="682" spans="4:32" ht="14.25" customHeight="1">
      <c r="D682" s="61"/>
      <c r="E682" s="62"/>
      <c r="F682" s="63"/>
      <c r="G682" s="64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</row>
    <row r="683" spans="4:32" ht="14.25" customHeight="1">
      <c r="D683" s="61"/>
      <c r="E683" s="62"/>
      <c r="F683" s="63"/>
      <c r="G683" s="64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</row>
    <row r="684" spans="4:32" ht="14.25" customHeight="1">
      <c r="D684" s="61"/>
      <c r="E684" s="62"/>
      <c r="F684" s="63"/>
      <c r="G684" s="64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</row>
    <row r="685" spans="4:32" ht="14.25" customHeight="1">
      <c r="D685" s="61"/>
      <c r="E685" s="62"/>
      <c r="F685" s="63"/>
      <c r="G685" s="64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</row>
    <row r="686" spans="4:32" ht="14.25" customHeight="1">
      <c r="D686" s="61"/>
      <c r="E686" s="62"/>
      <c r="F686" s="63"/>
      <c r="G686" s="64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</row>
    <row r="687" spans="4:32" ht="14.25" customHeight="1">
      <c r="D687" s="61"/>
      <c r="E687" s="62"/>
      <c r="F687" s="63"/>
      <c r="G687" s="64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</row>
    <row r="688" spans="4:32" ht="14.25" customHeight="1">
      <c r="D688" s="61"/>
      <c r="E688" s="62"/>
      <c r="F688" s="63"/>
      <c r="G688" s="64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</row>
    <row r="689" spans="4:32" ht="14.25" customHeight="1">
      <c r="D689" s="61"/>
      <c r="E689" s="62"/>
      <c r="F689" s="63"/>
      <c r="G689" s="64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</row>
    <row r="690" spans="4:32" ht="14.25" customHeight="1">
      <c r="D690" s="61"/>
      <c r="E690" s="62"/>
      <c r="F690" s="63"/>
      <c r="G690" s="64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</row>
    <row r="691" spans="4:32" ht="14.25" customHeight="1">
      <c r="D691" s="61"/>
      <c r="E691" s="62"/>
      <c r="F691" s="63"/>
      <c r="G691" s="64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</row>
    <row r="692" spans="4:32" ht="14.25" customHeight="1">
      <c r="D692" s="61"/>
      <c r="E692" s="62"/>
      <c r="F692" s="63"/>
      <c r="G692" s="64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</row>
    <row r="693" spans="4:32" ht="14.25" customHeight="1">
      <c r="D693" s="61"/>
      <c r="E693" s="62"/>
      <c r="F693" s="63"/>
      <c r="G693" s="64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</row>
    <row r="694" spans="4:32" ht="14.25" customHeight="1">
      <c r="D694" s="61"/>
      <c r="E694" s="62"/>
      <c r="F694" s="63"/>
      <c r="G694" s="64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</row>
    <row r="695" spans="4:32" ht="14.25" customHeight="1">
      <c r="D695" s="61"/>
      <c r="E695" s="62"/>
      <c r="F695" s="63"/>
      <c r="G695" s="64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</row>
    <row r="696" spans="4:32" ht="14.25" customHeight="1">
      <c r="D696" s="61"/>
      <c r="E696" s="62"/>
      <c r="F696" s="63"/>
      <c r="G696" s="64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</row>
    <row r="697" spans="4:32" ht="14.25" customHeight="1">
      <c r="D697" s="61"/>
      <c r="E697" s="62"/>
      <c r="F697" s="63"/>
      <c r="G697" s="64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</row>
    <row r="698" spans="4:32" ht="14.25" customHeight="1">
      <c r="D698" s="61"/>
      <c r="E698" s="62"/>
      <c r="F698" s="63"/>
      <c r="G698" s="64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</row>
    <row r="699" spans="4:32" ht="14.25" customHeight="1">
      <c r="D699" s="61"/>
      <c r="E699" s="62"/>
      <c r="F699" s="63"/>
      <c r="G699" s="64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</row>
    <row r="700" spans="4:32" ht="14.25" customHeight="1">
      <c r="D700" s="61"/>
      <c r="E700" s="62"/>
      <c r="F700" s="63"/>
      <c r="G700" s="64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</row>
    <row r="701" spans="4:32" ht="14.25" customHeight="1">
      <c r="D701" s="61"/>
      <c r="E701" s="62"/>
      <c r="F701" s="63"/>
      <c r="G701" s="64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</row>
    <row r="702" spans="4:32" ht="14.25" customHeight="1">
      <c r="D702" s="61"/>
      <c r="E702" s="62"/>
      <c r="F702" s="63"/>
      <c r="G702" s="64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</row>
    <row r="703" spans="4:32" ht="14.25" customHeight="1">
      <c r="D703" s="61"/>
      <c r="E703" s="62"/>
      <c r="F703" s="63"/>
      <c r="G703" s="64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</row>
    <row r="704" spans="4:32" ht="14.25" customHeight="1">
      <c r="D704" s="61"/>
      <c r="E704" s="62"/>
      <c r="F704" s="63"/>
      <c r="G704" s="64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</row>
    <row r="705" spans="4:32" ht="14.25" customHeight="1">
      <c r="D705" s="61"/>
      <c r="E705" s="62"/>
      <c r="F705" s="63"/>
      <c r="G705" s="64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</row>
    <row r="706" spans="4:32" ht="14.25" customHeight="1">
      <c r="D706" s="61"/>
      <c r="E706" s="62"/>
      <c r="F706" s="63"/>
      <c r="G706" s="64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</row>
    <row r="707" spans="4:32" ht="14.25" customHeight="1">
      <c r="D707" s="61"/>
      <c r="E707" s="62"/>
      <c r="F707" s="63"/>
      <c r="G707" s="64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</row>
    <row r="708" spans="4:32" ht="14.25" customHeight="1">
      <c r="D708" s="61"/>
      <c r="E708" s="62"/>
      <c r="F708" s="63"/>
      <c r="G708" s="64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</row>
    <row r="709" spans="4:32" ht="14.25" customHeight="1">
      <c r="D709" s="61"/>
      <c r="E709" s="62"/>
      <c r="F709" s="63"/>
      <c r="G709" s="64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</row>
    <row r="710" spans="4:32" ht="14.25" customHeight="1">
      <c r="D710" s="61"/>
      <c r="E710" s="62"/>
      <c r="F710" s="63"/>
      <c r="G710" s="64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</row>
    <row r="711" spans="4:32" ht="14.25" customHeight="1">
      <c r="D711" s="61"/>
      <c r="E711" s="62"/>
      <c r="F711" s="63"/>
      <c r="G711" s="64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</row>
    <row r="712" spans="4:32" ht="14.25" customHeight="1">
      <c r="D712" s="61"/>
      <c r="E712" s="62"/>
      <c r="F712" s="63"/>
      <c r="G712" s="64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</row>
    <row r="713" spans="4:32" ht="14.25" customHeight="1">
      <c r="D713" s="61"/>
      <c r="E713" s="62"/>
      <c r="F713" s="63"/>
      <c r="G713" s="64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</row>
    <row r="714" spans="4:32" ht="14.25" customHeight="1">
      <c r="D714" s="61"/>
      <c r="E714" s="62"/>
      <c r="F714" s="63"/>
      <c r="G714" s="64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</row>
    <row r="715" spans="4:32" ht="14.25" customHeight="1">
      <c r="D715" s="61"/>
      <c r="E715" s="62"/>
      <c r="F715" s="63"/>
      <c r="G715" s="64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</row>
    <row r="716" spans="4:32" ht="14.25" customHeight="1">
      <c r="D716" s="61"/>
      <c r="E716" s="62"/>
      <c r="F716" s="63"/>
      <c r="G716" s="64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</row>
    <row r="717" spans="4:32" ht="14.25" customHeight="1">
      <c r="D717" s="61"/>
      <c r="E717" s="62"/>
      <c r="F717" s="63"/>
      <c r="G717" s="64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</row>
    <row r="718" spans="4:32" ht="14.25" customHeight="1">
      <c r="D718" s="61"/>
      <c r="E718" s="62"/>
      <c r="F718" s="63"/>
      <c r="G718" s="64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</row>
    <row r="719" spans="4:32" ht="14.25" customHeight="1">
      <c r="D719" s="61"/>
      <c r="E719" s="62"/>
      <c r="F719" s="63"/>
      <c r="G719" s="64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</row>
    <row r="720" spans="4:32" ht="14.25" customHeight="1">
      <c r="D720" s="61"/>
      <c r="E720" s="62"/>
      <c r="F720" s="63"/>
      <c r="G720" s="64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</row>
    <row r="721" spans="4:32" ht="14.25" customHeight="1">
      <c r="D721" s="61"/>
      <c r="E721" s="62"/>
      <c r="F721" s="63"/>
      <c r="G721" s="64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</row>
    <row r="722" spans="4:32" ht="14.25" customHeight="1">
      <c r="D722" s="61"/>
      <c r="E722" s="62"/>
      <c r="F722" s="63"/>
      <c r="G722" s="64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</row>
    <row r="723" spans="4:32" ht="14.25" customHeight="1">
      <c r="D723" s="61"/>
      <c r="E723" s="62"/>
      <c r="F723" s="63"/>
      <c r="G723" s="64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</row>
    <row r="724" spans="4:32" ht="14.25" customHeight="1">
      <c r="D724" s="61"/>
      <c r="E724" s="62"/>
      <c r="F724" s="63"/>
      <c r="G724" s="64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</row>
    <row r="725" spans="4:32" ht="14.25" customHeight="1">
      <c r="D725" s="61"/>
      <c r="E725" s="62"/>
      <c r="F725" s="63"/>
      <c r="G725" s="64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</row>
    <row r="726" spans="4:32" ht="14.25" customHeight="1">
      <c r="D726" s="61"/>
      <c r="E726" s="62"/>
      <c r="F726" s="63"/>
      <c r="G726" s="64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</row>
    <row r="727" spans="4:32" ht="14.25" customHeight="1">
      <c r="D727" s="61"/>
      <c r="E727" s="62"/>
      <c r="F727" s="63"/>
      <c r="G727" s="64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</row>
    <row r="728" spans="4:32" ht="14.25" customHeight="1">
      <c r="D728" s="61"/>
      <c r="E728" s="62"/>
      <c r="F728" s="63"/>
      <c r="G728" s="64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</row>
    <row r="729" spans="4:32" ht="14.25" customHeight="1">
      <c r="D729" s="61"/>
      <c r="E729" s="62"/>
      <c r="F729" s="63"/>
      <c r="G729" s="64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</row>
    <row r="730" spans="4:32" ht="14.25" customHeight="1">
      <c r="D730" s="61"/>
      <c r="E730" s="62"/>
      <c r="F730" s="63"/>
      <c r="G730" s="64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</row>
    <row r="731" spans="4:32" ht="14.25" customHeight="1">
      <c r="D731" s="61"/>
      <c r="E731" s="62"/>
      <c r="F731" s="63"/>
      <c r="G731" s="64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</row>
    <row r="732" spans="4:32" ht="14.25" customHeight="1">
      <c r="D732" s="61"/>
      <c r="E732" s="62"/>
      <c r="F732" s="63"/>
      <c r="G732" s="64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</row>
    <row r="733" spans="4:32" ht="14.25" customHeight="1">
      <c r="D733" s="61"/>
      <c r="E733" s="62"/>
      <c r="F733" s="63"/>
      <c r="G733" s="64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</row>
    <row r="734" spans="4:32" ht="14.25" customHeight="1">
      <c r="D734" s="61"/>
      <c r="E734" s="62"/>
      <c r="F734" s="63"/>
      <c r="G734" s="64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</row>
    <row r="735" spans="4:32" ht="14.25" customHeight="1">
      <c r="D735" s="61"/>
      <c r="E735" s="62"/>
      <c r="F735" s="63"/>
      <c r="G735" s="64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</row>
    <row r="736" spans="4:32" ht="14.25" customHeight="1">
      <c r="D736" s="61"/>
      <c r="E736" s="62"/>
      <c r="F736" s="63"/>
      <c r="G736" s="64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</row>
    <row r="737" spans="4:32" ht="14.25" customHeight="1">
      <c r="D737" s="61"/>
      <c r="E737" s="62"/>
      <c r="F737" s="63"/>
      <c r="G737" s="64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</row>
    <row r="738" spans="4:32" ht="14.25" customHeight="1">
      <c r="D738" s="61"/>
      <c r="E738" s="62"/>
      <c r="F738" s="63"/>
      <c r="G738" s="64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</row>
    <row r="739" spans="4:32" ht="14.25" customHeight="1">
      <c r="D739" s="61"/>
      <c r="E739" s="62"/>
      <c r="F739" s="63"/>
      <c r="G739" s="64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</row>
    <row r="740" spans="4:32" ht="14.25" customHeight="1">
      <c r="D740" s="61"/>
      <c r="E740" s="62"/>
      <c r="F740" s="63"/>
      <c r="G740" s="64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</row>
    <row r="741" spans="4:32" ht="14.25" customHeight="1">
      <c r="D741" s="61"/>
      <c r="E741" s="62"/>
      <c r="F741" s="63"/>
      <c r="G741" s="64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</row>
    <row r="742" spans="4:32" ht="14.25" customHeight="1">
      <c r="D742" s="61"/>
      <c r="E742" s="62"/>
      <c r="F742" s="63"/>
      <c r="G742" s="64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</row>
    <row r="743" spans="4:32" ht="14.25" customHeight="1">
      <c r="D743" s="61"/>
      <c r="E743" s="62"/>
      <c r="F743" s="63"/>
      <c r="G743" s="64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</row>
    <row r="744" spans="4:32" ht="14.25" customHeight="1">
      <c r="D744" s="61"/>
      <c r="E744" s="62"/>
      <c r="F744" s="63"/>
      <c r="G744" s="64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</row>
    <row r="745" spans="4:32" ht="14.25" customHeight="1">
      <c r="D745" s="61"/>
      <c r="E745" s="62"/>
      <c r="F745" s="63"/>
      <c r="G745" s="64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</row>
    <row r="746" spans="4:32" ht="14.25" customHeight="1">
      <c r="D746" s="61"/>
      <c r="E746" s="62"/>
      <c r="F746" s="63"/>
      <c r="G746" s="64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</row>
    <row r="747" spans="4:32" ht="14.25" customHeight="1">
      <c r="D747" s="61"/>
      <c r="E747" s="62"/>
      <c r="F747" s="63"/>
      <c r="G747" s="64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</row>
    <row r="748" spans="4:32" ht="14.25" customHeight="1">
      <c r="D748" s="61"/>
      <c r="E748" s="62"/>
      <c r="F748" s="63"/>
      <c r="G748" s="64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</row>
    <row r="749" spans="4:32" ht="14.25" customHeight="1">
      <c r="D749" s="61"/>
      <c r="E749" s="62"/>
      <c r="F749" s="63"/>
      <c r="G749" s="64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</row>
    <row r="750" spans="4:32" ht="14.25" customHeight="1">
      <c r="D750" s="61"/>
      <c r="E750" s="62"/>
      <c r="F750" s="63"/>
      <c r="G750" s="64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</row>
    <row r="751" spans="4:32" ht="14.25" customHeight="1">
      <c r="D751" s="61"/>
      <c r="E751" s="62"/>
      <c r="F751" s="63"/>
      <c r="G751" s="64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</row>
    <row r="752" spans="4:32" ht="14.25" customHeight="1">
      <c r="D752" s="61"/>
      <c r="E752" s="62"/>
      <c r="F752" s="63"/>
      <c r="G752" s="64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</row>
    <row r="753" spans="4:32" ht="14.25" customHeight="1">
      <c r="D753" s="61"/>
      <c r="E753" s="62"/>
      <c r="F753" s="63"/>
      <c r="G753" s="64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</row>
    <row r="754" spans="4:32" ht="14.25" customHeight="1">
      <c r="D754" s="61"/>
      <c r="E754" s="62"/>
      <c r="F754" s="63"/>
      <c r="G754" s="64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</row>
    <row r="755" spans="4:32" ht="14.25" customHeight="1">
      <c r="D755" s="61"/>
      <c r="E755" s="62"/>
      <c r="F755" s="63"/>
      <c r="G755" s="64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</row>
    <row r="756" spans="4:32" ht="14.25" customHeight="1">
      <c r="D756" s="61"/>
      <c r="E756" s="62"/>
      <c r="F756" s="63"/>
      <c r="G756" s="64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</row>
    <row r="757" spans="4:32" ht="14.25" customHeight="1">
      <c r="D757" s="61"/>
      <c r="E757" s="62"/>
      <c r="F757" s="63"/>
      <c r="G757" s="64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</row>
    <row r="758" spans="4:32" ht="14.25" customHeight="1">
      <c r="D758" s="61"/>
      <c r="E758" s="62"/>
      <c r="F758" s="63"/>
      <c r="G758" s="64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</row>
    <row r="759" spans="4:32" ht="14.25" customHeight="1">
      <c r="D759" s="61"/>
      <c r="E759" s="62"/>
      <c r="F759" s="63"/>
      <c r="G759" s="64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</row>
    <row r="760" spans="4:32" ht="14.25" customHeight="1">
      <c r="D760" s="61"/>
      <c r="E760" s="62"/>
      <c r="F760" s="63"/>
      <c r="G760" s="64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</row>
    <row r="761" spans="4:32" ht="14.25" customHeight="1">
      <c r="D761" s="61"/>
      <c r="E761" s="62"/>
      <c r="F761" s="63"/>
      <c r="G761" s="64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</row>
    <row r="762" spans="4:32" ht="14.25" customHeight="1">
      <c r="D762" s="61"/>
      <c r="E762" s="62"/>
      <c r="F762" s="63"/>
      <c r="G762" s="64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</row>
    <row r="763" spans="4:32" ht="14.25" customHeight="1">
      <c r="D763" s="61"/>
      <c r="E763" s="62"/>
      <c r="F763" s="63"/>
      <c r="G763" s="64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</row>
    <row r="764" spans="4:32" ht="14.25" customHeight="1">
      <c r="D764" s="61"/>
      <c r="E764" s="62"/>
      <c r="F764" s="63"/>
      <c r="G764" s="64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</row>
    <row r="765" spans="4:32" ht="14.25" customHeight="1">
      <c r="D765" s="61"/>
      <c r="E765" s="62"/>
      <c r="F765" s="63"/>
      <c r="G765" s="64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</row>
    <row r="766" spans="4:32" ht="14.25" customHeight="1">
      <c r="D766" s="61"/>
      <c r="E766" s="62"/>
      <c r="F766" s="63"/>
      <c r="G766" s="64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</row>
    <row r="767" spans="4:32" ht="14.25" customHeight="1">
      <c r="D767" s="61"/>
      <c r="E767" s="62"/>
      <c r="F767" s="63"/>
      <c r="G767" s="64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</row>
    <row r="768" spans="4:32" ht="14.25" customHeight="1">
      <c r="D768" s="61"/>
      <c r="E768" s="62"/>
      <c r="F768" s="63"/>
      <c r="G768" s="64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</row>
    <row r="769" spans="4:32" ht="14.25" customHeight="1">
      <c r="D769" s="61"/>
      <c r="E769" s="62"/>
      <c r="F769" s="63"/>
      <c r="G769" s="64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</row>
    <row r="770" spans="4:32" ht="14.25" customHeight="1">
      <c r="D770" s="61"/>
      <c r="E770" s="62"/>
      <c r="F770" s="63"/>
      <c r="G770" s="64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</row>
    <row r="771" spans="4:32" ht="14.25" customHeight="1">
      <c r="D771" s="61"/>
      <c r="E771" s="62"/>
      <c r="F771" s="63"/>
      <c r="G771" s="64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</row>
    <row r="772" spans="4:32" ht="14.25" customHeight="1">
      <c r="D772" s="61"/>
      <c r="E772" s="62"/>
      <c r="F772" s="63"/>
      <c r="G772" s="64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</row>
    <row r="773" spans="4:32" ht="14.25" customHeight="1">
      <c r="D773" s="61"/>
      <c r="E773" s="62"/>
      <c r="F773" s="63"/>
      <c r="G773" s="64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</row>
    <row r="774" spans="4:32" ht="14.25" customHeight="1">
      <c r="D774" s="61"/>
      <c r="E774" s="62"/>
      <c r="F774" s="63"/>
      <c r="G774" s="64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</row>
    <row r="775" spans="4:32" ht="14.25" customHeight="1">
      <c r="D775" s="61"/>
      <c r="E775" s="62"/>
      <c r="F775" s="63"/>
      <c r="G775" s="64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</row>
    <row r="776" spans="4:32" ht="14.25" customHeight="1">
      <c r="D776" s="61"/>
      <c r="E776" s="62"/>
      <c r="F776" s="63"/>
      <c r="G776" s="64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</row>
    <row r="777" spans="4:32" ht="14.25" customHeight="1">
      <c r="D777" s="61"/>
      <c r="E777" s="62"/>
      <c r="F777" s="63"/>
      <c r="G777" s="64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</row>
    <row r="778" spans="4:32" ht="14.25" customHeight="1">
      <c r="D778" s="61"/>
      <c r="E778" s="62"/>
      <c r="F778" s="63"/>
      <c r="G778" s="64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</row>
    <row r="779" spans="4:32" ht="14.25" customHeight="1">
      <c r="D779" s="61"/>
      <c r="E779" s="62"/>
      <c r="F779" s="63"/>
      <c r="G779" s="64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</row>
    <row r="780" spans="4:32" ht="14.25" customHeight="1">
      <c r="D780" s="61"/>
      <c r="E780" s="62"/>
      <c r="F780" s="63"/>
      <c r="G780" s="64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</row>
    <row r="781" spans="4:32" ht="14.25" customHeight="1">
      <c r="D781" s="61"/>
      <c r="E781" s="62"/>
      <c r="F781" s="63"/>
      <c r="G781" s="64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</row>
    <row r="782" spans="4:32" ht="14.25" customHeight="1">
      <c r="D782" s="61"/>
      <c r="E782" s="62"/>
      <c r="F782" s="63"/>
      <c r="G782" s="64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</row>
    <row r="783" spans="4:32" ht="14.25" customHeight="1">
      <c r="D783" s="61"/>
      <c r="E783" s="62"/>
      <c r="F783" s="63"/>
      <c r="G783" s="64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</row>
    <row r="784" spans="4:32" ht="14.25" customHeight="1">
      <c r="D784" s="61"/>
      <c r="E784" s="62"/>
      <c r="F784" s="63"/>
      <c r="G784" s="64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</row>
    <row r="785" spans="4:32" ht="14.25" customHeight="1">
      <c r="D785" s="61"/>
      <c r="E785" s="62"/>
      <c r="F785" s="63"/>
      <c r="G785" s="64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</row>
    <row r="786" spans="4:32" ht="14.25" customHeight="1">
      <c r="D786" s="61"/>
      <c r="E786" s="62"/>
      <c r="F786" s="63"/>
      <c r="G786" s="64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</row>
    <row r="787" spans="4:32" ht="14.25" customHeight="1">
      <c r="D787" s="61"/>
      <c r="E787" s="62"/>
      <c r="F787" s="63"/>
      <c r="G787" s="64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</row>
    <row r="788" spans="4:32" ht="14.25" customHeight="1">
      <c r="D788" s="61"/>
      <c r="E788" s="62"/>
      <c r="F788" s="63"/>
      <c r="G788" s="64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</row>
    <row r="789" spans="4:32" ht="14.25" customHeight="1">
      <c r="D789" s="61"/>
      <c r="E789" s="62"/>
      <c r="F789" s="63"/>
      <c r="G789" s="64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</row>
    <row r="790" spans="4:32" ht="14.25" customHeight="1">
      <c r="D790" s="61"/>
      <c r="E790" s="62"/>
      <c r="F790" s="63"/>
      <c r="G790" s="64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</row>
    <row r="791" spans="4:32" ht="14.25" customHeight="1">
      <c r="D791" s="61"/>
      <c r="E791" s="62"/>
      <c r="F791" s="63"/>
      <c r="G791" s="64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</row>
    <row r="792" spans="4:32" ht="14.25" customHeight="1">
      <c r="D792" s="61"/>
      <c r="E792" s="62"/>
      <c r="F792" s="63"/>
      <c r="G792" s="64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</row>
    <row r="793" spans="4:32" ht="14.25" customHeight="1">
      <c r="D793" s="61"/>
      <c r="E793" s="62"/>
      <c r="F793" s="63"/>
      <c r="G793" s="64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</row>
    <row r="794" spans="4:32" ht="14.25" customHeight="1">
      <c r="D794" s="61"/>
      <c r="E794" s="62"/>
      <c r="F794" s="63"/>
      <c r="G794" s="64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</row>
    <row r="795" spans="4:32" ht="14.25" customHeight="1">
      <c r="D795" s="61"/>
      <c r="E795" s="62"/>
      <c r="F795" s="63"/>
      <c r="G795" s="64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</row>
    <row r="796" spans="4:32" ht="14.25" customHeight="1">
      <c r="D796" s="61"/>
      <c r="E796" s="62"/>
      <c r="F796" s="63"/>
      <c r="G796" s="64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</row>
    <row r="797" spans="4:32" ht="14.25" customHeight="1">
      <c r="D797" s="61"/>
      <c r="E797" s="62"/>
      <c r="F797" s="63"/>
      <c r="G797" s="64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</row>
    <row r="798" spans="4:32" ht="14.25" customHeight="1">
      <c r="D798" s="61"/>
      <c r="E798" s="62"/>
      <c r="F798" s="63"/>
      <c r="G798" s="64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</row>
    <row r="799" spans="4:32" ht="14.25" customHeight="1">
      <c r="D799" s="61"/>
      <c r="E799" s="62"/>
      <c r="F799" s="63"/>
      <c r="G799" s="64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</row>
    <row r="800" spans="4:32" ht="14.25" customHeight="1">
      <c r="D800" s="61"/>
      <c r="E800" s="62"/>
      <c r="F800" s="63"/>
      <c r="G800" s="64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</row>
    <row r="801" spans="4:32" ht="14.25" customHeight="1">
      <c r="D801" s="61"/>
      <c r="E801" s="62"/>
      <c r="F801" s="63"/>
      <c r="G801" s="64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</row>
    <row r="802" spans="4:32" ht="14.25" customHeight="1">
      <c r="D802" s="61"/>
      <c r="E802" s="62"/>
      <c r="F802" s="63"/>
      <c r="G802" s="64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</row>
    <row r="803" spans="4:32" ht="14.25" customHeight="1">
      <c r="D803" s="61"/>
      <c r="E803" s="62"/>
      <c r="F803" s="63"/>
      <c r="G803" s="64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</row>
    <row r="804" spans="4:32" ht="14.25" customHeight="1">
      <c r="D804" s="61"/>
      <c r="E804" s="62"/>
      <c r="F804" s="63"/>
      <c r="G804" s="64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</row>
    <row r="805" spans="4:32" ht="14.25" customHeight="1">
      <c r="D805" s="61"/>
      <c r="E805" s="62"/>
      <c r="F805" s="63"/>
      <c r="G805" s="64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</row>
    <row r="806" spans="4:32" ht="14.25" customHeight="1">
      <c r="D806" s="61"/>
      <c r="E806" s="62"/>
      <c r="F806" s="63"/>
      <c r="G806" s="64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</row>
    <row r="807" spans="4:32" ht="14.25" customHeight="1">
      <c r="D807" s="61"/>
      <c r="E807" s="62"/>
      <c r="F807" s="63"/>
      <c r="G807" s="64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</row>
    <row r="808" spans="4:32" ht="14.25" customHeight="1">
      <c r="D808" s="61"/>
      <c r="E808" s="62"/>
      <c r="F808" s="63"/>
      <c r="G808" s="64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</row>
    <row r="809" spans="4:32" ht="14.25" customHeight="1">
      <c r="D809" s="61"/>
      <c r="E809" s="62"/>
      <c r="F809" s="63"/>
      <c r="G809" s="64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</row>
    <row r="810" spans="4:32" ht="14.25" customHeight="1">
      <c r="D810" s="61"/>
      <c r="E810" s="62"/>
      <c r="F810" s="63"/>
      <c r="G810" s="64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</row>
    <row r="811" spans="4:32" ht="14.25" customHeight="1">
      <c r="D811" s="61"/>
      <c r="E811" s="62"/>
      <c r="F811" s="63"/>
      <c r="G811" s="64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</row>
    <row r="812" spans="4:32" ht="14.25" customHeight="1">
      <c r="D812" s="61"/>
      <c r="E812" s="62"/>
      <c r="F812" s="63"/>
      <c r="G812" s="64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</row>
    <row r="813" spans="4:32" ht="14.25" customHeight="1">
      <c r="D813" s="61"/>
      <c r="E813" s="62"/>
      <c r="F813" s="63"/>
      <c r="G813" s="64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</row>
    <row r="814" spans="4:32" ht="14.25" customHeight="1">
      <c r="D814" s="61"/>
      <c r="E814" s="62"/>
      <c r="F814" s="63"/>
      <c r="G814" s="64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</row>
    <row r="815" spans="4:32" ht="14.25" customHeight="1">
      <c r="D815" s="61"/>
      <c r="E815" s="62"/>
      <c r="F815" s="63"/>
      <c r="G815" s="64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</row>
    <row r="816" spans="4:32" ht="14.25" customHeight="1">
      <c r="D816" s="61"/>
      <c r="E816" s="62"/>
      <c r="F816" s="63"/>
      <c r="G816" s="64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</row>
    <row r="817" spans="4:32" ht="14.25" customHeight="1">
      <c r="D817" s="61"/>
      <c r="E817" s="62"/>
      <c r="F817" s="63"/>
      <c r="G817" s="64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</row>
    <row r="818" spans="4:32" ht="14.25" customHeight="1">
      <c r="D818" s="61"/>
      <c r="E818" s="62"/>
      <c r="F818" s="63"/>
      <c r="G818" s="64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</row>
    <row r="819" spans="4:32" ht="14.25" customHeight="1">
      <c r="D819" s="61"/>
      <c r="E819" s="62"/>
      <c r="F819" s="63"/>
      <c r="G819" s="64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</row>
    <row r="820" spans="4:32" ht="14.25" customHeight="1">
      <c r="D820" s="61"/>
      <c r="E820" s="62"/>
      <c r="F820" s="63"/>
      <c r="G820" s="64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</row>
    <row r="821" spans="4:32" ht="14.25" customHeight="1">
      <c r="D821" s="61"/>
      <c r="E821" s="62"/>
      <c r="F821" s="63"/>
      <c r="G821" s="64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</row>
    <row r="822" spans="4:32" ht="14.25" customHeight="1">
      <c r="D822" s="61"/>
      <c r="E822" s="62"/>
      <c r="F822" s="63"/>
      <c r="G822" s="64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</row>
    <row r="823" spans="4:32" ht="14.25" customHeight="1">
      <c r="D823" s="61"/>
      <c r="E823" s="62"/>
      <c r="F823" s="63"/>
      <c r="G823" s="64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</row>
    <row r="824" spans="4:32" ht="14.25" customHeight="1">
      <c r="D824" s="61"/>
      <c r="E824" s="62"/>
      <c r="F824" s="63"/>
      <c r="G824" s="64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</row>
    <row r="825" spans="4:32" ht="14.25" customHeight="1">
      <c r="D825" s="61"/>
      <c r="E825" s="62"/>
      <c r="F825" s="63"/>
      <c r="G825" s="64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</row>
    <row r="826" spans="4:32" ht="14.25" customHeight="1">
      <c r="D826" s="61"/>
      <c r="E826" s="62"/>
      <c r="F826" s="63"/>
      <c r="G826" s="64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</row>
    <row r="827" spans="4:32" ht="14.25" customHeight="1">
      <c r="D827" s="61"/>
      <c r="E827" s="62"/>
      <c r="F827" s="63"/>
      <c r="G827" s="64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</row>
    <row r="828" spans="4:32" ht="14.25" customHeight="1">
      <c r="D828" s="61"/>
      <c r="E828" s="62"/>
      <c r="F828" s="63"/>
      <c r="G828" s="64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</row>
    <row r="829" spans="4:32" ht="14.25" customHeight="1">
      <c r="D829" s="61"/>
      <c r="E829" s="62"/>
      <c r="F829" s="63"/>
      <c r="G829" s="64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</row>
    <row r="830" spans="4:32" ht="14.25" customHeight="1">
      <c r="D830" s="61"/>
      <c r="E830" s="62"/>
      <c r="F830" s="63"/>
      <c r="G830" s="64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</row>
    <row r="831" spans="4:32" ht="14.25" customHeight="1">
      <c r="D831" s="61"/>
      <c r="E831" s="62"/>
      <c r="F831" s="63"/>
      <c r="G831" s="64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</row>
    <row r="832" spans="4:32" ht="14.25" customHeight="1">
      <c r="D832" s="61"/>
      <c r="E832" s="62"/>
      <c r="F832" s="63"/>
      <c r="G832" s="64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</row>
    <row r="833" spans="4:32" ht="14.25" customHeight="1">
      <c r="D833" s="61"/>
      <c r="E833" s="62"/>
      <c r="F833" s="63"/>
      <c r="G833" s="64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</row>
    <row r="834" spans="4:32" ht="14.25" customHeight="1">
      <c r="D834" s="61"/>
      <c r="E834" s="62"/>
      <c r="F834" s="63"/>
      <c r="G834" s="64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</row>
    <row r="835" spans="4:32" ht="14.25" customHeight="1">
      <c r="D835" s="61"/>
      <c r="E835" s="62"/>
      <c r="F835" s="63"/>
      <c r="G835" s="64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</row>
    <row r="836" spans="4:32" ht="14.25" customHeight="1">
      <c r="D836" s="61"/>
      <c r="E836" s="62"/>
      <c r="F836" s="63"/>
      <c r="G836" s="64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</row>
    <row r="837" spans="4:32" ht="14.25" customHeight="1">
      <c r="D837" s="61"/>
      <c r="E837" s="62"/>
      <c r="F837" s="63"/>
      <c r="G837" s="64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</row>
    <row r="838" spans="4:32" ht="14.25" customHeight="1">
      <c r="D838" s="61"/>
      <c r="E838" s="62"/>
      <c r="F838" s="63"/>
      <c r="G838" s="64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</row>
    <row r="839" spans="4:32" ht="14.25" customHeight="1">
      <c r="D839" s="61"/>
      <c r="E839" s="62"/>
      <c r="F839" s="63"/>
      <c r="G839" s="64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</row>
    <row r="840" spans="4:32" ht="14.25" customHeight="1">
      <c r="D840" s="61"/>
      <c r="E840" s="62"/>
      <c r="F840" s="63"/>
      <c r="G840" s="64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</row>
    <row r="841" spans="4:32" ht="14.25" customHeight="1">
      <c r="D841" s="61"/>
      <c r="E841" s="62"/>
      <c r="F841" s="63"/>
      <c r="G841" s="64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</row>
    <row r="842" spans="4:32" ht="14.25" customHeight="1">
      <c r="D842" s="61"/>
      <c r="E842" s="62"/>
      <c r="F842" s="63"/>
      <c r="G842" s="64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</row>
    <row r="843" spans="4:32" ht="14.25" customHeight="1">
      <c r="D843" s="61"/>
      <c r="E843" s="62"/>
      <c r="F843" s="63"/>
      <c r="G843" s="64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</row>
    <row r="844" spans="4:32" ht="14.25" customHeight="1">
      <c r="D844" s="61"/>
      <c r="E844" s="62"/>
      <c r="F844" s="63"/>
      <c r="G844" s="64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</row>
    <row r="845" spans="4:32" ht="14.25" customHeight="1">
      <c r="D845" s="61"/>
      <c r="E845" s="62"/>
      <c r="F845" s="63"/>
      <c r="G845" s="64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</row>
    <row r="846" spans="4:32" ht="14.25" customHeight="1">
      <c r="D846" s="61"/>
      <c r="E846" s="62"/>
      <c r="F846" s="63"/>
      <c r="G846" s="64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</row>
    <row r="847" spans="4:32" ht="14.25" customHeight="1">
      <c r="D847" s="61"/>
      <c r="E847" s="62"/>
      <c r="F847" s="63"/>
      <c r="G847" s="64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</row>
    <row r="848" spans="4:32" ht="14.25" customHeight="1">
      <c r="D848" s="61"/>
      <c r="E848" s="62"/>
      <c r="F848" s="63"/>
      <c r="G848" s="64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</row>
    <row r="849" spans="4:32" ht="14.25" customHeight="1">
      <c r="D849" s="61"/>
      <c r="E849" s="62"/>
      <c r="F849" s="63"/>
      <c r="G849" s="64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</row>
    <row r="850" spans="4:32" ht="14.25" customHeight="1">
      <c r="D850" s="61"/>
      <c r="E850" s="62"/>
      <c r="F850" s="63"/>
      <c r="G850" s="64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</row>
    <row r="851" spans="4:32" ht="14.25" customHeight="1">
      <c r="D851" s="61"/>
      <c r="E851" s="62"/>
      <c r="F851" s="63"/>
      <c r="G851" s="64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</row>
    <row r="852" spans="4:32" ht="14.25" customHeight="1">
      <c r="D852" s="61"/>
      <c r="E852" s="62"/>
      <c r="F852" s="63"/>
      <c r="G852" s="64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</row>
    <row r="853" spans="4:32" ht="14.25" customHeight="1">
      <c r="D853" s="61"/>
      <c r="E853" s="62"/>
      <c r="F853" s="63"/>
      <c r="G853" s="64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</row>
    <row r="854" spans="4:32" ht="14.25" customHeight="1">
      <c r="D854" s="61"/>
      <c r="E854" s="62"/>
      <c r="F854" s="63"/>
      <c r="G854" s="64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</row>
    <row r="855" spans="4:32" ht="14.25" customHeight="1">
      <c r="D855" s="61"/>
      <c r="E855" s="62"/>
      <c r="F855" s="63"/>
      <c r="G855" s="64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</row>
    <row r="856" spans="4:32" ht="14.25" customHeight="1">
      <c r="D856" s="61"/>
      <c r="E856" s="62"/>
      <c r="F856" s="63"/>
      <c r="G856" s="64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</row>
    <row r="857" spans="4:32" ht="14.25" customHeight="1">
      <c r="D857" s="61"/>
      <c r="E857" s="62"/>
      <c r="F857" s="63"/>
      <c r="G857" s="64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</row>
    <row r="858" spans="4:32" ht="14.25" customHeight="1">
      <c r="D858" s="61"/>
      <c r="E858" s="62"/>
      <c r="F858" s="63"/>
      <c r="G858" s="64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</row>
    <row r="859" spans="4:32" ht="14.25" customHeight="1">
      <c r="D859" s="61"/>
      <c r="E859" s="62"/>
      <c r="F859" s="63"/>
      <c r="G859" s="64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</row>
    <row r="860" spans="4:32" ht="14.25" customHeight="1">
      <c r="D860" s="61"/>
      <c r="E860" s="62"/>
      <c r="F860" s="63"/>
      <c r="G860" s="64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</row>
    <row r="861" spans="4:32" ht="14.25" customHeight="1">
      <c r="D861" s="61"/>
      <c r="E861" s="62"/>
      <c r="F861" s="63"/>
      <c r="G861" s="64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</row>
    <row r="862" spans="4:32" ht="14.25" customHeight="1">
      <c r="D862" s="61"/>
      <c r="E862" s="62"/>
      <c r="F862" s="63"/>
      <c r="G862" s="64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</row>
    <row r="863" spans="4:32" ht="14.25" customHeight="1">
      <c r="D863" s="61"/>
      <c r="E863" s="62"/>
      <c r="F863" s="63"/>
      <c r="G863" s="64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</row>
    <row r="864" spans="4:32" ht="14.25" customHeight="1">
      <c r="D864" s="61"/>
      <c r="E864" s="62"/>
      <c r="F864" s="63"/>
      <c r="G864" s="64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</row>
    <row r="865" spans="4:32" ht="14.25" customHeight="1">
      <c r="D865" s="61"/>
      <c r="E865" s="62"/>
      <c r="F865" s="63"/>
      <c r="G865" s="64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</row>
    <row r="866" spans="4:32" ht="14.25" customHeight="1">
      <c r="D866" s="61"/>
      <c r="E866" s="62"/>
      <c r="F866" s="63"/>
      <c r="G866" s="64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</row>
    <row r="867" spans="4:32" ht="14.25" customHeight="1">
      <c r="D867" s="61"/>
      <c r="E867" s="62"/>
      <c r="F867" s="63"/>
      <c r="G867" s="64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</row>
    <row r="868" spans="4:32" ht="14.25" customHeight="1">
      <c r="D868" s="61"/>
      <c r="E868" s="62"/>
      <c r="F868" s="63"/>
      <c r="G868" s="64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</row>
    <row r="869" spans="4:32" ht="14.25" customHeight="1">
      <c r="D869" s="61"/>
      <c r="E869" s="62"/>
      <c r="F869" s="63"/>
      <c r="G869" s="64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</row>
    <row r="870" spans="4:32" ht="14.25" customHeight="1">
      <c r="D870" s="61"/>
      <c r="E870" s="62"/>
      <c r="F870" s="63"/>
      <c r="G870" s="64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</row>
    <row r="871" spans="4:32" ht="14.25" customHeight="1">
      <c r="D871" s="61"/>
      <c r="E871" s="62"/>
      <c r="F871" s="63"/>
      <c r="G871" s="64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</row>
    <row r="872" spans="4:32" ht="14.25" customHeight="1">
      <c r="D872" s="61"/>
      <c r="E872" s="62"/>
      <c r="F872" s="63"/>
      <c r="G872" s="64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</row>
    <row r="873" spans="4:32" ht="14.25" customHeight="1">
      <c r="D873" s="61"/>
      <c r="E873" s="62"/>
      <c r="F873" s="63"/>
      <c r="G873" s="64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</row>
    <row r="874" spans="4:32" ht="14.25" customHeight="1">
      <c r="D874" s="61"/>
      <c r="E874" s="62"/>
      <c r="F874" s="63"/>
      <c r="G874" s="64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</row>
    <row r="875" spans="4:32" ht="14.25" customHeight="1">
      <c r="D875" s="61"/>
      <c r="E875" s="62"/>
      <c r="F875" s="63"/>
      <c r="G875" s="64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</row>
    <row r="876" spans="4:32" ht="14.25" customHeight="1">
      <c r="D876" s="61"/>
      <c r="E876" s="62"/>
      <c r="F876" s="63"/>
      <c r="G876" s="64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</row>
    <row r="877" spans="4:32" ht="14.25" customHeight="1">
      <c r="D877" s="61"/>
      <c r="E877" s="62"/>
      <c r="F877" s="63"/>
      <c r="G877" s="64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</row>
    <row r="878" spans="4:32" ht="14.25" customHeight="1">
      <c r="D878" s="61"/>
      <c r="E878" s="62"/>
      <c r="F878" s="63"/>
      <c r="G878" s="64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</row>
    <row r="879" spans="4:32" ht="14.25" customHeight="1">
      <c r="D879" s="61"/>
      <c r="E879" s="62"/>
      <c r="F879" s="63"/>
      <c r="G879" s="64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</row>
    <row r="880" spans="4:32" ht="14.25" customHeight="1">
      <c r="D880" s="61"/>
      <c r="E880" s="62"/>
      <c r="F880" s="63"/>
      <c r="G880" s="64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</row>
    <row r="881" spans="4:32" ht="14.25" customHeight="1">
      <c r="D881" s="61"/>
      <c r="E881" s="62"/>
      <c r="F881" s="63"/>
      <c r="G881" s="64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</row>
    <row r="882" spans="4:32" ht="14.25" customHeight="1">
      <c r="D882" s="61"/>
      <c r="E882" s="62"/>
      <c r="F882" s="63"/>
      <c r="G882" s="64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</row>
    <row r="883" spans="4:32" ht="14.25" customHeight="1">
      <c r="D883" s="61"/>
      <c r="E883" s="62"/>
      <c r="F883" s="63"/>
      <c r="G883" s="64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</row>
    <row r="884" spans="4:32" ht="14.25" customHeight="1">
      <c r="D884" s="61"/>
      <c r="E884" s="62"/>
      <c r="F884" s="63"/>
      <c r="G884" s="64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</row>
    <row r="885" spans="4:32" ht="14.25" customHeight="1">
      <c r="D885" s="61"/>
      <c r="E885" s="62"/>
      <c r="F885" s="63"/>
      <c r="G885" s="64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</row>
    <row r="886" spans="4:32" ht="14.25" customHeight="1">
      <c r="D886" s="61"/>
      <c r="E886" s="62"/>
      <c r="F886" s="63"/>
      <c r="G886" s="64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</row>
    <row r="887" spans="4:32" ht="14.25" customHeight="1">
      <c r="D887" s="61"/>
      <c r="E887" s="62"/>
      <c r="F887" s="63"/>
      <c r="G887" s="64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</row>
    <row r="888" spans="4:32" ht="14.25" customHeight="1">
      <c r="D888" s="61"/>
      <c r="E888" s="62"/>
      <c r="F888" s="63"/>
      <c r="G888" s="64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</row>
    <row r="889" spans="4:32" ht="14.25" customHeight="1">
      <c r="D889" s="61"/>
      <c r="E889" s="62"/>
      <c r="F889" s="63"/>
      <c r="G889" s="64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</row>
    <row r="890" spans="4:32" ht="14.25" customHeight="1">
      <c r="D890" s="61"/>
      <c r="E890" s="62"/>
      <c r="F890" s="63"/>
      <c r="G890" s="64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</row>
    <row r="891" spans="4:32" ht="14.25" customHeight="1">
      <c r="D891" s="61"/>
      <c r="E891" s="62"/>
      <c r="F891" s="63"/>
      <c r="G891" s="64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</row>
    <row r="892" spans="4:32" ht="14.25" customHeight="1">
      <c r="D892" s="61"/>
      <c r="E892" s="62"/>
      <c r="F892" s="63"/>
      <c r="G892" s="64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</row>
    <row r="893" spans="4:32" ht="14.25" customHeight="1">
      <c r="D893" s="61"/>
      <c r="E893" s="62"/>
      <c r="F893" s="63"/>
      <c r="G893" s="64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</row>
    <row r="894" spans="4:32" ht="14.25" customHeight="1">
      <c r="D894" s="61"/>
      <c r="E894" s="62"/>
      <c r="F894" s="63"/>
      <c r="G894" s="64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</row>
    <row r="895" spans="4:32" ht="14.25" customHeight="1">
      <c r="D895" s="61"/>
      <c r="E895" s="62"/>
      <c r="F895" s="63"/>
      <c r="G895" s="64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</row>
    <row r="896" spans="4:32" ht="14.25" customHeight="1">
      <c r="D896" s="61"/>
      <c r="E896" s="62"/>
      <c r="F896" s="63"/>
      <c r="G896" s="64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</row>
    <row r="897" spans="4:32" ht="14.25" customHeight="1">
      <c r="D897" s="61"/>
      <c r="E897" s="62"/>
      <c r="F897" s="63"/>
      <c r="G897" s="64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</row>
    <row r="898" spans="4:32" ht="14.25" customHeight="1">
      <c r="D898" s="61"/>
      <c r="E898" s="62"/>
      <c r="F898" s="63"/>
      <c r="G898" s="64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</row>
    <row r="899" spans="4:32" ht="14.25" customHeight="1">
      <c r="D899" s="61"/>
      <c r="E899" s="62"/>
      <c r="F899" s="63"/>
      <c r="G899" s="64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</row>
    <row r="900" spans="4:32" ht="14.25" customHeight="1">
      <c r="D900" s="61"/>
      <c r="E900" s="62"/>
      <c r="F900" s="63"/>
      <c r="G900" s="64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</row>
    <row r="901" spans="4:32" ht="14.25" customHeight="1">
      <c r="D901" s="61"/>
      <c r="E901" s="62"/>
      <c r="F901" s="63"/>
      <c r="G901" s="64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</row>
    <row r="902" spans="4:32" ht="14.25" customHeight="1">
      <c r="D902" s="61"/>
      <c r="E902" s="62"/>
      <c r="F902" s="63"/>
      <c r="G902" s="64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</row>
    <row r="903" spans="4:32" ht="14.25" customHeight="1">
      <c r="D903" s="61"/>
      <c r="E903" s="62"/>
      <c r="F903" s="63"/>
      <c r="G903" s="64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</row>
    <row r="904" spans="4:32" ht="14.25" customHeight="1">
      <c r="D904" s="61"/>
      <c r="E904" s="62"/>
      <c r="F904" s="63"/>
      <c r="G904" s="64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</row>
    <row r="905" spans="4:32" ht="14.25" customHeight="1">
      <c r="D905" s="61"/>
      <c r="E905" s="62"/>
      <c r="F905" s="63"/>
      <c r="G905" s="64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</row>
    <row r="906" spans="4:32" ht="14.25" customHeight="1">
      <c r="D906" s="61"/>
      <c r="E906" s="62"/>
      <c r="F906" s="63"/>
      <c r="G906" s="64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</row>
    <row r="907" spans="4:32" ht="14.25" customHeight="1">
      <c r="D907" s="61"/>
      <c r="E907" s="62"/>
      <c r="F907" s="63"/>
      <c r="G907" s="64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</row>
    <row r="908" spans="4:32" ht="14.25" customHeight="1">
      <c r="D908" s="61"/>
      <c r="E908" s="62"/>
      <c r="F908" s="63"/>
      <c r="G908" s="64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</row>
    <row r="909" spans="4:32" ht="14.25" customHeight="1">
      <c r="D909" s="61"/>
      <c r="E909" s="62"/>
      <c r="F909" s="63"/>
      <c r="G909" s="64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</row>
    <row r="910" spans="4:32" ht="14.25" customHeight="1">
      <c r="D910" s="61"/>
      <c r="E910" s="62"/>
      <c r="F910" s="63"/>
      <c r="G910" s="64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</row>
    <row r="911" spans="4:32" ht="14.25" customHeight="1">
      <c r="D911" s="61"/>
      <c r="E911" s="62"/>
      <c r="F911" s="63"/>
      <c r="G911" s="64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</row>
    <row r="912" spans="4:32" ht="14.25" customHeight="1">
      <c r="D912" s="61"/>
      <c r="E912" s="62"/>
      <c r="F912" s="63"/>
      <c r="G912" s="64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</row>
    <row r="913" spans="4:32" ht="14.25" customHeight="1">
      <c r="D913" s="61"/>
      <c r="E913" s="62"/>
      <c r="F913" s="63"/>
      <c r="G913" s="64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</row>
    <row r="914" spans="4:32" ht="14.25" customHeight="1">
      <c r="D914" s="61"/>
      <c r="E914" s="62"/>
      <c r="F914" s="63"/>
      <c r="G914" s="64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</row>
    <row r="915" spans="4:32" ht="14.25" customHeight="1">
      <c r="D915" s="61"/>
      <c r="E915" s="62"/>
      <c r="F915" s="63"/>
      <c r="G915" s="64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</row>
    <row r="916" spans="4:32" ht="14.25" customHeight="1">
      <c r="D916" s="61"/>
      <c r="E916" s="62"/>
      <c r="F916" s="63"/>
      <c r="G916" s="64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</row>
    <row r="917" spans="4:32" ht="14.25" customHeight="1">
      <c r="D917" s="61"/>
      <c r="E917" s="62"/>
      <c r="F917" s="63"/>
      <c r="G917" s="64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</row>
    <row r="918" spans="4:32" ht="14.25" customHeight="1">
      <c r="D918" s="61"/>
      <c r="E918" s="62"/>
      <c r="F918" s="63"/>
      <c r="G918" s="64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</row>
    <row r="919" spans="4:32" ht="14.25" customHeight="1">
      <c r="D919" s="61"/>
      <c r="E919" s="62"/>
      <c r="F919" s="63"/>
      <c r="G919" s="64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</row>
    <row r="920" spans="4:32" ht="14.25" customHeight="1">
      <c r="D920" s="61"/>
      <c r="E920" s="62"/>
      <c r="F920" s="63"/>
      <c r="G920" s="64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</row>
    <row r="921" spans="4:32" ht="14.25" customHeight="1">
      <c r="D921" s="61"/>
      <c r="E921" s="62"/>
      <c r="F921" s="63"/>
      <c r="G921" s="64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</row>
    <row r="922" spans="4:32" ht="14.25" customHeight="1">
      <c r="D922" s="61"/>
      <c r="E922" s="62"/>
      <c r="F922" s="63"/>
      <c r="G922" s="64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</row>
    <row r="923" spans="4:32" ht="14.25" customHeight="1">
      <c r="D923" s="61"/>
      <c r="E923" s="62"/>
      <c r="F923" s="63"/>
      <c r="G923" s="64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</row>
    <row r="924" spans="4:32" ht="14.25" customHeight="1">
      <c r="D924" s="61"/>
      <c r="E924" s="62"/>
      <c r="F924" s="63"/>
      <c r="G924" s="64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</row>
    <row r="925" spans="4:32" ht="14.25" customHeight="1">
      <c r="D925" s="61"/>
      <c r="E925" s="62"/>
      <c r="F925" s="63"/>
      <c r="G925" s="64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</row>
    <row r="926" spans="4:32" ht="14.25" customHeight="1">
      <c r="D926" s="61"/>
      <c r="E926" s="62"/>
      <c r="F926" s="63"/>
      <c r="G926" s="64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</row>
    <row r="927" spans="4:32" ht="14.25" customHeight="1">
      <c r="D927" s="61"/>
      <c r="E927" s="62"/>
      <c r="F927" s="63"/>
      <c r="G927" s="64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</row>
    <row r="928" spans="4:32" ht="14.25" customHeight="1">
      <c r="D928" s="61"/>
      <c r="E928" s="62"/>
      <c r="F928" s="63"/>
      <c r="G928" s="64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</row>
    <row r="929" spans="4:32" ht="14.25" customHeight="1">
      <c r="D929" s="61"/>
      <c r="E929" s="62"/>
      <c r="F929" s="63"/>
      <c r="G929" s="64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</row>
    <row r="930" spans="4:32" ht="14.25" customHeight="1">
      <c r="D930" s="61"/>
      <c r="E930" s="62"/>
      <c r="F930" s="63"/>
      <c r="G930" s="64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</row>
    <row r="931" spans="4:32" ht="14.25" customHeight="1">
      <c r="D931" s="61"/>
      <c r="E931" s="62"/>
      <c r="F931" s="63"/>
      <c r="G931" s="64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</row>
    <row r="932" spans="4:32" ht="14.25" customHeight="1">
      <c r="D932" s="61"/>
      <c r="E932" s="62"/>
      <c r="F932" s="63"/>
      <c r="G932" s="64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</row>
    <row r="933" spans="4:32" ht="14.25" customHeight="1">
      <c r="D933" s="61"/>
      <c r="E933" s="62"/>
      <c r="F933" s="63"/>
      <c r="G933" s="64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</row>
    <row r="934" spans="4:32" ht="14.25" customHeight="1">
      <c r="D934" s="61"/>
      <c r="E934" s="62"/>
      <c r="F934" s="63"/>
      <c r="G934" s="64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</row>
    <row r="935" spans="4:32" ht="14.25" customHeight="1">
      <c r="D935" s="61"/>
      <c r="E935" s="62"/>
      <c r="F935" s="63"/>
      <c r="G935" s="64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</row>
    <row r="936" spans="4:32" ht="14.25" customHeight="1">
      <c r="D936" s="61"/>
      <c r="E936" s="62"/>
      <c r="F936" s="63"/>
      <c r="G936" s="64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</row>
    <row r="937" spans="4:32" ht="14.25" customHeight="1">
      <c r="D937" s="61"/>
      <c r="E937" s="62"/>
      <c r="F937" s="63"/>
      <c r="G937" s="64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</row>
    <row r="938" spans="4:32" ht="14.25" customHeight="1">
      <c r="D938" s="61"/>
      <c r="E938" s="62"/>
      <c r="F938" s="63"/>
      <c r="G938" s="64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</row>
    <row r="939" spans="4:32" ht="14.25" customHeight="1">
      <c r="D939" s="61"/>
      <c r="E939" s="62"/>
      <c r="F939" s="63"/>
      <c r="G939" s="64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</row>
    <row r="940" spans="4:32" ht="14.25" customHeight="1">
      <c r="D940" s="61"/>
      <c r="E940" s="62"/>
      <c r="F940" s="63"/>
      <c r="G940" s="64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</row>
    <row r="941" spans="4:32" ht="14.25" customHeight="1">
      <c r="D941" s="61"/>
      <c r="E941" s="62"/>
      <c r="F941" s="63"/>
      <c r="G941" s="64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</row>
    <row r="942" spans="4:32" ht="14.25" customHeight="1">
      <c r="D942" s="61"/>
      <c r="E942" s="62"/>
      <c r="F942" s="63"/>
      <c r="G942" s="64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</row>
    <row r="943" spans="4:32" ht="14.25" customHeight="1">
      <c r="D943" s="61"/>
      <c r="E943" s="62"/>
      <c r="F943" s="63"/>
      <c r="G943" s="64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</row>
    <row r="944" spans="4:32" ht="14.25" customHeight="1">
      <c r="D944" s="61"/>
      <c r="E944" s="62"/>
      <c r="F944" s="63"/>
      <c r="G944" s="64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</row>
    <row r="945" spans="4:32" ht="14.25" customHeight="1">
      <c r="D945" s="61"/>
      <c r="E945" s="62"/>
      <c r="F945" s="63"/>
      <c r="G945" s="64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</row>
    <row r="946" spans="4:32" ht="14.25" customHeight="1">
      <c r="D946" s="61"/>
      <c r="E946" s="62"/>
      <c r="F946" s="63"/>
      <c r="G946" s="64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</row>
    <row r="947" spans="4:32" ht="14.25" customHeight="1">
      <c r="D947" s="61"/>
      <c r="E947" s="62"/>
      <c r="F947" s="63"/>
      <c r="G947" s="64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</row>
    <row r="948" spans="4:32" ht="14.25" customHeight="1">
      <c r="D948" s="61"/>
      <c r="E948" s="62"/>
      <c r="F948" s="63"/>
      <c r="G948" s="64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</row>
    <row r="949" spans="4:32" ht="14.25" customHeight="1">
      <c r="D949" s="61"/>
      <c r="E949" s="62"/>
      <c r="F949" s="63"/>
      <c r="G949" s="64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</row>
    <row r="950" spans="4:32" ht="14.25" customHeight="1">
      <c r="D950" s="61"/>
      <c r="E950" s="62"/>
      <c r="F950" s="63"/>
      <c r="G950" s="64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</row>
    <row r="951" spans="4:32" ht="14.25" customHeight="1">
      <c r="D951" s="61"/>
      <c r="E951" s="62"/>
      <c r="F951" s="63"/>
      <c r="G951" s="64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</row>
    <row r="952" spans="4:32" ht="14.25" customHeight="1">
      <c r="D952" s="61"/>
      <c r="E952" s="62"/>
      <c r="F952" s="63"/>
      <c r="G952" s="64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</row>
    <row r="953" spans="4:32" ht="14.25" customHeight="1">
      <c r="D953" s="61"/>
      <c r="E953" s="62"/>
      <c r="F953" s="63"/>
      <c r="G953" s="64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</row>
    <row r="954" spans="4:32" ht="14.25" customHeight="1">
      <c r="D954" s="61"/>
      <c r="E954" s="62"/>
      <c r="F954" s="63"/>
      <c r="G954" s="64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</row>
    <row r="955" spans="4:32" ht="14.25" customHeight="1">
      <c r="D955" s="61"/>
      <c r="E955" s="62"/>
      <c r="F955" s="63"/>
      <c r="G955" s="64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</row>
    <row r="956" spans="4:32" ht="14.25" customHeight="1">
      <c r="D956" s="61"/>
      <c r="E956" s="62"/>
      <c r="F956" s="63"/>
      <c r="G956" s="64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</row>
    <row r="957" spans="4:32" ht="14.25" customHeight="1">
      <c r="D957" s="61"/>
      <c r="E957" s="62"/>
      <c r="F957" s="63"/>
      <c r="G957" s="64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</row>
    <row r="958" spans="4:32" ht="14.25" customHeight="1">
      <c r="D958" s="61"/>
      <c r="E958" s="62"/>
      <c r="F958" s="63"/>
      <c r="G958" s="64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</row>
    <row r="959" spans="4:32" ht="14.25" customHeight="1">
      <c r="D959" s="61"/>
      <c r="E959" s="62"/>
      <c r="F959" s="63"/>
      <c r="G959" s="64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</row>
    <row r="960" spans="4:32" ht="14.25" customHeight="1">
      <c r="D960" s="61"/>
      <c r="E960" s="62"/>
      <c r="F960" s="63"/>
      <c r="G960" s="64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</row>
    <row r="961" spans="4:32" ht="14.25" customHeight="1">
      <c r="D961" s="61"/>
      <c r="E961" s="62"/>
      <c r="F961" s="63"/>
      <c r="G961" s="64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</row>
    <row r="962" spans="4:32" ht="14.25" customHeight="1">
      <c r="D962" s="61"/>
      <c r="E962" s="62"/>
      <c r="F962" s="63"/>
      <c r="G962" s="64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</row>
    <row r="963" spans="4:32" ht="14.25" customHeight="1">
      <c r="D963" s="61"/>
      <c r="E963" s="62"/>
      <c r="F963" s="63"/>
      <c r="G963" s="64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</row>
    <row r="964" spans="4:32" ht="14.25" customHeight="1">
      <c r="D964" s="61"/>
      <c r="E964" s="62"/>
      <c r="F964" s="63"/>
      <c r="G964" s="64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</row>
    <row r="965" spans="4:32" ht="14.25" customHeight="1">
      <c r="D965" s="61"/>
      <c r="E965" s="62"/>
      <c r="F965" s="63"/>
      <c r="G965" s="64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</row>
    <row r="966" spans="4:32" ht="14.25" customHeight="1">
      <c r="D966" s="61"/>
      <c r="E966" s="62"/>
      <c r="F966" s="63"/>
      <c r="G966" s="64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</row>
    <row r="967" spans="4:32" ht="14.25" customHeight="1">
      <c r="D967" s="61"/>
      <c r="E967" s="62"/>
      <c r="F967" s="63"/>
      <c r="G967" s="64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</row>
    <row r="968" spans="4:32" ht="14.25" customHeight="1">
      <c r="D968" s="61"/>
      <c r="E968" s="62"/>
      <c r="F968" s="63"/>
      <c r="G968" s="64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</row>
    <row r="969" spans="4:32" ht="14.25" customHeight="1">
      <c r="D969" s="61"/>
      <c r="E969" s="62"/>
      <c r="F969" s="63"/>
      <c r="G969" s="64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</row>
    <row r="970" spans="4:32" ht="14.25" customHeight="1">
      <c r="D970" s="61"/>
      <c r="E970" s="62"/>
      <c r="F970" s="63"/>
      <c r="G970" s="64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</row>
    <row r="971" spans="4:32" ht="14.25" customHeight="1">
      <c r="D971" s="61"/>
      <c r="E971" s="62"/>
      <c r="F971" s="63"/>
      <c r="G971" s="64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</row>
    <row r="972" spans="4:32" ht="14.25" customHeight="1">
      <c r="D972" s="61"/>
      <c r="E972" s="62"/>
      <c r="F972" s="63"/>
      <c r="G972" s="64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</row>
    <row r="973" spans="4:32" ht="14.25" customHeight="1">
      <c r="D973" s="61"/>
      <c r="E973" s="62"/>
      <c r="F973" s="63"/>
      <c r="G973" s="64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</row>
    <row r="974" spans="4:32" ht="14.25" customHeight="1">
      <c r="D974" s="61"/>
      <c r="E974" s="62"/>
      <c r="F974" s="63"/>
      <c r="G974" s="64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</row>
    <row r="975" spans="4:32" ht="14.25" customHeight="1">
      <c r="D975" s="61"/>
      <c r="E975" s="62"/>
      <c r="F975" s="63"/>
      <c r="G975" s="64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</row>
    <row r="976" spans="4:32" ht="14.25" customHeight="1">
      <c r="D976" s="61"/>
      <c r="E976" s="62"/>
      <c r="F976" s="63"/>
      <c r="G976" s="64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</row>
    <row r="977" spans="4:32" ht="14.25" customHeight="1">
      <c r="D977" s="61"/>
      <c r="E977" s="62"/>
      <c r="F977" s="63"/>
      <c r="G977" s="64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</row>
    <row r="978" spans="4:32" ht="14.25" customHeight="1">
      <c r="D978" s="61"/>
      <c r="E978" s="62"/>
      <c r="F978" s="63"/>
      <c r="G978" s="64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</row>
    <row r="979" spans="4:32" ht="14.25" customHeight="1">
      <c r="D979" s="61"/>
      <c r="E979" s="62"/>
      <c r="F979" s="63"/>
      <c r="G979" s="64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</row>
    <row r="980" spans="4:32" ht="14.25" customHeight="1">
      <c r="D980" s="61"/>
      <c r="E980" s="62"/>
      <c r="F980" s="63"/>
      <c r="G980" s="64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</row>
    <row r="981" spans="4:32" ht="14.25" customHeight="1">
      <c r="D981" s="61"/>
      <c r="E981" s="62"/>
      <c r="F981" s="63"/>
      <c r="G981" s="64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</row>
    <row r="982" spans="4:32" ht="14.25" customHeight="1">
      <c r="D982" s="61"/>
      <c r="E982" s="62"/>
      <c r="F982" s="63"/>
      <c r="G982" s="64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</row>
    <row r="983" spans="4:32" ht="14.25" customHeight="1">
      <c r="D983" s="61"/>
      <c r="E983" s="62"/>
      <c r="F983" s="63"/>
      <c r="G983" s="64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</row>
    <row r="984" spans="4:32" ht="14.25" customHeight="1">
      <c r="D984" s="61"/>
      <c r="E984" s="62"/>
      <c r="F984" s="63"/>
      <c r="G984" s="64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</row>
    <row r="985" spans="4:32" ht="14.25" customHeight="1">
      <c r="D985" s="61"/>
      <c r="E985" s="62"/>
      <c r="F985" s="63"/>
      <c r="G985" s="64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</row>
    <row r="986" spans="4:32" ht="14.25" customHeight="1">
      <c r="D986" s="61"/>
      <c r="E986" s="62"/>
      <c r="F986" s="63"/>
      <c r="G986" s="64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</row>
    <row r="987" spans="4:32" ht="14.25" customHeight="1">
      <c r="D987" s="61"/>
      <c r="E987" s="62"/>
      <c r="F987" s="63"/>
      <c r="G987" s="64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</row>
    <row r="988" spans="4:32" ht="14.25" customHeight="1">
      <c r="D988" s="61"/>
      <c r="E988" s="62"/>
      <c r="F988" s="63"/>
      <c r="G988" s="64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</row>
    <row r="989" spans="4:32" ht="14.25" customHeight="1">
      <c r="D989" s="61"/>
      <c r="E989" s="62"/>
      <c r="F989" s="63"/>
      <c r="G989" s="64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</row>
    <row r="990" spans="4:32" ht="14.25" customHeight="1">
      <c r="D990" s="61"/>
      <c r="E990" s="62"/>
      <c r="F990" s="63"/>
      <c r="G990" s="64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</row>
    <row r="991" spans="4:32" ht="14.25" customHeight="1">
      <c r="D991" s="61"/>
      <c r="E991" s="62"/>
      <c r="F991" s="63"/>
      <c r="G991" s="64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</row>
    <row r="992" spans="4:32" ht="14.25" customHeight="1">
      <c r="D992" s="61"/>
      <c r="E992" s="62"/>
      <c r="F992" s="63"/>
      <c r="G992" s="64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</row>
    <row r="993" spans="4:32" ht="14.25" customHeight="1">
      <c r="D993" s="61"/>
      <c r="E993" s="62"/>
      <c r="F993" s="63"/>
      <c r="G993" s="64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</row>
    <row r="994" spans="4:32" ht="14.25" customHeight="1">
      <c r="D994" s="61"/>
      <c r="E994" s="62"/>
      <c r="F994" s="63"/>
      <c r="G994" s="64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</row>
    <row r="995" spans="4:32" ht="14.25" customHeight="1">
      <c r="D995" s="61"/>
      <c r="E995" s="62"/>
      <c r="F995" s="63"/>
      <c r="G995" s="64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</row>
    <row r="996" spans="4:32" ht="14.25" customHeight="1">
      <c r="D996" s="61"/>
      <c r="E996" s="62"/>
      <c r="F996" s="63"/>
      <c r="G996" s="64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</row>
    <row r="997" spans="4:32" ht="14.25" customHeight="1">
      <c r="D997" s="61"/>
      <c r="E997" s="62"/>
      <c r="F997" s="63"/>
      <c r="G997" s="64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</row>
    <row r="998" spans="4:32" ht="14.25" customHeight="1">
      <c r="D998" s="61"/>
      <c r="E998" s="62"/>
      <c r="F998" s="63"/>
      <c r="G998" s="64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</row>
    <row r="999" spans="4:32" ht="14.25" customHeight="1">
      <c r="D999" s="61"/>
      <c r="E999" s="62"/>
      <c r="F999" s="63"/>
      <c r="G999" s="64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  <c r="AA999" s="56"/>
      <c r="AB999" s="56"/>
      <c r="AC999" s="56"/>
      <c r="AD999" s="56"/>
      <c r="AE999" s="56"/>
      <c r="AF999" s="56"/>
    </row>
    <row r="1000" spans="4:32" ht="14.25" customHeight="1">
      <c r="D1000" s="61"/>
      <c r="E1000" s="62"/>
      <c r="F1000" s="63"/>
      <c r="G1000" s="64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  <c r="AA1000" s="56"/>
      <c r="AB1000" s="56"/>
      <c r="AC1000" s="56"/>
      <c r="AD1000" s="56"/>
      <c r="AE1000" s="56"/>
      <c r="AF1000" s="56"/>
    </row>
    <row r="1001" spans="4:32" ht="14.25" customHeight="1">
      <c r="D1001" s="61"/>
      <c r="E1001" s="62"/>
      <c r="F1001" s="63"/>
      <c r="G1001" s="64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  <c r="AA1001" s="56"/>
      <c r="AB1001" s="56"/>
      <c r="AC1001" s="56"/>
      <c r="AD1001" s="56"/>
      <c r="AE1001" s="56"/>
      <c r="AF1001" s="56"/>
    </row>
    <row r="1002" spans="4:32" ht="14.25" customHeight="1">
      <c r="D1002" s="61"/>
      <c r="E1002" s="62"/>
      <c r="F1002" s="63"/>
      <c r="G1002" s="64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  <c r="AA1002" s="56"/>
      <c r="AB1002" s="56"/>
      <c r="AC1002" s="56"/>
      <c r="AD1002" s="56"/>
      <c r="AE1002" s="56"/>
      <c r="AF1002" s="56"/>
    </row>
    <row r="1003" spans="4:32" ht="14.25" customHeight="1">
      <c r="D1003" s="61"/>
      <c r="E1003" s="62"/>
      <c r="F1003" s="63"/>
      <c r="G1003" s="64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  <c r="AA1003" s="56"/>
      <c r="AB1003" s="56"/>
      <c r="AC1003" s="56"/>
      <c r="AD1003" s="56"/>
      <c r="AE1003" s="56"/>
      <c r="AF1003" s="56"/>
    </row>
    <row r="1004" spans="4:32" ht="14.25" customHeight="1">
      <c r="D1004" s="61"/>
      <c r="E1004" s="62"/>
      <c r="F1004" s="63"/>
      <c r="G1004" s="64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  <c r="AA1004" s="56"/>
      <c r="AB1004" s="56"/>
      <c r="AC1004" s="56"/>
      <c r="AD1004" s="56"/>
      <c r="AE1004" s="56"/>
      <c r="AF1004" s="56"/>
    </row>
    <row r="1005" spans="4:32" ht="14.25" customHeight="1">
      <c r="D1005" s="61"/>
      <c r="E1005" s="62"/>
      <c r="F1005" s="63"/>
      <c r="G1005" s="64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</row>
    <row r="1006" spans="4:32" ht="14.25" customHeight="1">
      <c r="D1006" s="61"/>
      <c r="E1006" s="62"/>
      <c r="F1006" s="63"/>
      <c r="G1006" s="64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</row>
    <row r="1007" spans="4:32" ht="14.25" customHeight="1">
      <c r="D1007" s="61"/>
      <c r="E1007" s="62"/>
      <c r="F1007" s="63"/>
      <c r="G1007" s="64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</row>
    <row r="1008" spans="4:32" ht="14.25" customHeight="1">
      <c r="D1008" s="61"/>
      <c r="E1008" s="62"/>
      <c r="F1008" s="63"/>
      <c r="G1008" s="64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</row>
    <row r="1009" spans="16:32" ht="14.25" customHeight="1"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</row>
    <row r="1010" spans="16:32" ht="14.25" customHeight="1"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</row>
  </sheetData>
  <mergeCells count="15">
    <mergeCell ref="L42:O42"/>
    <mergeCell ref="K55:N55"/>
    <mergeCell ref="A1:B3"/>
    <mergeCell ref="D1:F1"/>
    <mergeCell ref="G1:J1"/>
    <mergeCell ref="K1:N1"/>
    <mergeCell ref="O1:R1"/>
    <mergeCell ref="D4:R4"/>
    <mergeCell ref="A13:R13"/>
    <mergeCell ref="A22:R22"/>
    <mergeCell ref="A5:A12"/>
    <mergeCell ref="A14:A21"/>
    <mergeCell ref="A23:A31"/>
    <mergeCell ref="D42:G42"/>
    <mergeCell ref="H42:K42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010"/>
  <sheetViews>
    <sheetView workbookViewId="0">
      <selection activeCell="B28" sqref="B28"/>
    </sheetView>
  </sheetViews>
  <sheetFormatPr defaultColWidth="14.42578125" defaultRowHeight="15" customHeight="1"/>
  <cols>
    <col min="1" max="1" width="11.42578125" bestFit="1" customWidth="1"/>
    <col min="2" max="2" width="18.140625" bestFit="1" customWidth="1"/>
    <col min="3" max="3" width="57" bestFit="1" customWidth="1"/>
    <col min="4" max="4" width="14.7109375" bestFit="1" customWidth="1"/>
    <col min="5" max="5" width="8.28515625" bestFit="1" customWidth="1"/>
    <col min="6" max="6" width="13.85546875" bestFit="1" customWidth="1"/>
    <col min="7" max="7" width="10.140625" bestFit="1" customWidth="1"/>
    <col min="8" max="8" width="14.7109375" bestFit="1" customWidth="1"/>
    <col min="9" max="9" width="8.28515625" bestFit="1" customWidth="1"/>
    <col min="10" max="10" width="13.85546875" bestFit="1" customWidth="1"/>
    <col min="11" max="11" width="10.42578125" bestFit="1" customWidth="1"/>
    <col min="12" max="12" width="14.7109375" bestFit="1" customWidth="1"/>
    <col min="13" max="13" width="10.140625" bestFit="1" customWidth="1"/>
    <col min="14" max="14" width="13.85546875" bestFit="1" customWidth="1"/>
    <col min="15" max="15" width="10.7109375" bestFit="1" customWidth="1"/>
    <col min="16" max="16" width="10.140625" bestFit="1" customWidth="1"/>
    <col min="17" max="17" width="13.85546875" bestFit="1" customWidth="1"/>
    <col min="18" max="18" width="10.42578125" bestFit="1" customWidth="1"/>
    <col min="19" max="31" width="9.42578125" customWidth="1"/>
  </cols>
  <sheetData>
    <row r="1" spans="1:31" ht="14.25" customHeight="1">
      <c r="A1" s="225"/>
      <c r="B1" s="226"/>
      <c r="C1" s="1" t="s">
        <v>0</v>
      </c>
      <c r="D1" s="231">
        <v>2022</v>
      </c>
      <c r="E1" s="222"/>
      <c r="F1" s="222"/>
      <c r="G1" s="231">
        <v>2023</v>
      </c>
      <c r="H1" s="222"/>
      <c r="I1" s="222"/>
      <c r="J1" s="222"/>
      <c r="K1" s="231">
        <v>2024</v>
      </c>
      <c r="L1" s="222"/>
      <c r="M1" s="222"/>
      <c r="N1" s="223"/>
      <c r="O1" s="243">
        <v>2025</v>
      </c>
      <c r="P1" s="244"/>
      <c r="Q1" s="244"/>
      <c r="R1" s="230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</row>
    <row r="2" spans="1:31" ht="14.25" customHeight="1">
      <c r="A2" s="227"/>
      <c r="B2" s="228"/>
      <c r="C2" s="1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2" t="s">
        <v>2</v>
      </c>
      <c r="I2" s="3" t="s">
        <v>3</v>
      </c>
      <c r="J2" s="4" t="s">
        <v>4</v>
      </c>
      <c r="K2" s="5" t="s">
        <v>5</v>
      </c>
      <c r="L2" s="2" t="s">
        <v>2</v>
      </c>
      <c r="M2" s="3" t="s">
        <v>3</v>
      </c>
      <c r="N2" s="4" t="s">
        <v>4</v>
      </c>
      <c r="O2" s="160" t="s">
        <v>5</v>
      </c>
      <c r="P2" s="161" t="s">
        <v>2</v>
      </c>
      <c r="Q2" s="162" t="s">
        <v>3</v>
      </c>
      <c r="R2" s="4" t="s">
        <v>4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</row>
    <row r="3" spans="1:31" ht="14.25" customHeight="1">
      <c r="A3" s="229"/>
      <c r="B3" s="230"/>
      <c r="C3" s="6" t="s">
        <v>6</v>
      </c>
      <c r="D3" s="114" t="s">
        <v>71</v>
      </c>
      <c r="E3" s="115" t="s">
        <v>71</v>
      </c>
      <c r="F3" s="137" t="s">
        <v>99</v>
      </c>
      <c r="G3" s="163" t="s">
        <v>71</v>
      </c>
      <c r="H3" s="74">
        <v>45083</v>
      </c>
      <c r="I3" s="115" t="s">
        <v>71</v>
      </c>
      <c r="J3" s="70">
        <v>45283</v>
      </c>
      <c r="K3" s="68">
        <v>45367</v>
      </c>
      <c r="L3" s="74">
        <v>45462</v>
      </c>
      <c r="M3" s="75">
        <v>45572</v>
      </c>
      <c r="N3" s="75">
        <v>45644</v>
      </c>
      <c r="O3" s="164">
        <v>45692</v>
      </c>
      <c r="P3" s="74">
        <v>45810</v>
      </c>
      <c r="Q3" s="75">
        <v>45903</v>
      </c>
      <c r="R3" s="165">
        <v>45980</v>
      </c>
      <c r="S3" s="118"/>
      <c r="T3" s="118"/>
      <c r="U3" s="118"/>
      <c r="V3" s="118"/>
      <c r="W3" s="166"/>
      <c r="X3" s="118"/>
      <c r="Y3" s="118"/>
      <c r="Z3" s="118"/>
      <c r="AA3" s="118"/>
      <c r="AB3" s="118"/>
      <c r="AC3" s="118"/>
      <c r="AD3" s="118"/>
      <c r="AE3" s="118"/>
    </row>
    <row r="4" spans="1:31" ht="14.25" customHeight="1">
      <c r="A4" s="14" t="s">
        <v>7</v>
      </c>
      <c r="B4" s="14" t="s">
        <v>8</v>
      </c>
      <c r="C4" s="15" t="s">
        <v>52</v>
      </c>
      <c r="D4" s="239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67"/>
      <c r="P4" s="167"/>
      <c r="Q4" s="167"/>
      <c r="R4" s="168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</row>
    <row r="5" spans="1:31" ht="23.25" customHeight="1">
      <c r="A5" s="233" t="s">
        <v>10</v>
      </c>
      <c r="B5" s="16" t="s">
        <v>11</v>
      </c>
      <c r="C5" s="16" t="s">
        <v>12</v>
      </c>
      <c r="D5" s="17"/>
      <c r="E5" s="18"/>
      <c r="F5" s="19">
        <v>0</v>
      </c>
      <c r="G5" s="84"/>
      <c r="H5" s="17">
        <v>0</v>
      </c>
      <c r="I5" s="18"/>
      <c r="J5" s="19">
        <v>0</v>
      </c>
      <c r="K5" s="84">
        <v>0</v>
      </c>
      <c r="L5" s="17">
        <v>0</v>
      </c>
      <c r="M5" s="169">
        <v>1</v>
      </c>
      <c r="N5" s="19">
        <v>0</v>
      </c>
      <c r="O5" s="170">
        <v>0</v>
      </c>
      <c r="P5" s="171">
        <v>0</v>
      </c>
      <c r="Q5" s="172">
        <v>0</v>
      </c>
      <c r="R5" s="27">
        <v>0</v>
      </c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</row>
    <row r="6" spans="1:31" ht="22.5" customHeight="1">
      <c r="A6" s="219"/>
      <c r="B6" s="24" t="s">
        <v>13</v>
      </c>
      <c r="C6" s="24" t="s">
        <v>14</v>
      </c>
      <c r="D6" s="25"/>
      <c r="E6" s="26"/>
      <c r="F6" s="27">
        <v>0</v>
      </c>
      <c r="G6" s="86"/>
      <c r="H6" s="25">
        <v>0</v>
      </c>
      <c r="I6" s="26"/>
      <c r="J6" s="27">
        <v>0</v>
      </c>
      <c r="K6" s="86">
        <v>0</v>
      </c>
      <c r="L6" s="25">
        <v>0</v>
      </c>
      <c r="M6" s="173">
        <v>0</v>
      </c>
      <c r="N6" s="27">
        <v>0</v>
      </c>
      <c r="O6" s="160">
        <v>0</v>
      </c>
      <c r="P6" s="174">
        <v>0</v>
      </c>
      <c r="Q6" s="172">
        <v>0</v>
      </c>
      <c r="R6" s="27">
        <v>0</v>
      </c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</row>
    <row r="7" spans="1:31" ht="22.5" customHeight="1">
      <c r="A7" s="219"/>
      <c r="B7" s="16" t="s">
        <v>15</v>
      </c>
      <c r="C7" s="16" t="s">
        <v>16</v>
      </c>
      <c r="D7" s="17"/>
      <c r="E7" s="18"/>
      <c r="F7" s="19">
        <v>0</v>
      </c>
      <c r="G7" s="84"/>
      <c r="H7" s="17">
        <v>0</v>
      </c>
      <c r="I7" s="18"/>
      <c r="J7" s="19">
        <v>0</v>
      </c>
      <c r="K7" s="84">
        <v>0</v>
      </c>
      <c r="L7" s="17">
        <v>0</v>
      </c>
      <c r="M7" s="175">
        <v>0</v>
      </c>
      <c r="N7" s="19">
        <v>0</v>
      </c>
      <c r="O7" s="170">
        <v>0</v>
      </c>
      <c r="P7" s="174">
        <v>0</v>
      </c>
      <c r="Q7" s="172">
        <v>0</v>
      </c>
      <c r="R7" s="27">
        <v>0</v>
      </c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</row>
    <row r="8" spans="1:31" ht="22.5" customHeight="1">
      <c r="A8" s="219"/>
      <c r="B8" s="24" t="s">
        <v>17</v>
      </c>
      <c r="C8" s="24" t="s">
        <v>18</v>
      </c>
      <c r="D8" s="25"/>
      <c r="E8" s="26"/>
      <c r="F8" s="27">
        <v>0</v>
      </c>
      <c r="G8" s="86"/>
      <c r="H8" s="25">
        <v>0</v>
      </c>
      <c r="I8" s="26"/>
      <c r="J8" s="27">
        <v>1</v>
      </c>
      <c r="K8" s="86">
        <v>0</v>
      </c>
      <c r="L8" s="25">
        <v>0</v>
      </c>
      <c r="M8" s="173">
        <v>1</v>
      </c>
      <c r="N8" s="27">
        <v>0</v>
      </c>
      <c r="O8" s="160">
        <v>0</v>
      </c>
      <c r="P8" s="174">
        <v>0</v>
      </c>
      <c r="Q8" s="172">
        <v>0</v>
      </c>
      <c r="R8" s="27">
        <v>2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</row>
    <row r="9" spans="1:31" ht="22.5" customHeight="1">
      <c r="A9" s="219"/>
      <c r="B9" s="16" t="s">
        <v>19</v>
      </c>
      <c r="C9" s="16" t="s">
        <v>20</v>
      </c>
      <c r="D9" s="17"/>
      <c r="E9" s="18"/>
      <c r="F9" s="19">
        <v>0</v>
      </c>
      <c r="G9" s="84"/>
      <c r="H9" s="17">
        <v>3</v>
      </c>
      <c r="I9" s="18"/>
      <c r="J9" s="19">
        <v>14</v>
      </c>
      <c r="K9" s="84">
        <v>4</v>
      </c>
      <c r="L9" s="17">
        <v>2</v>
      </c>
      <c r="M9" s="175">
        <v>23</v>
      </c>
      <c r="N9" s="19">
        <v>0</v>
      </c>
      <c r="O9" s="170">
        <v>17</v>
      </c>
      <c r="P9" s="174">
        <v>20</v>
      </c>
      <c r="Q9" s="172">
        <v>23</v>
      </c>
      <c r="R9" s="27">
        <v>35</v>
      </c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</row>
    <row r="10" spans="1:31" ht="23.25" customHeight="1">
      <c r="A10" s="219"/>
      <c r="B10" s="24" t="s">
        <v>21</v>
      </c>
      <c r="C10" s="24" t="s">
        <v>22</v>
      </c>
      <c r="D10" s="25"/>
      <c r="E10" s="26"/>
      <c r="F10" s="27">
        <v>0</v>
      </c>
      <c r="G10" s="86"/>
      <c r="H10" s="25">
        <v>0</v>
      </c>
      <c r="I10" s="26"/>
      <c r="J10" s="27">
        <v>3</v>
      </c>
      <c r="K10" s="86">
        <v>2</v>
      </c>
      <c r="L10" s="25">
        <v>3</v>
      </c>
      <c r="M10" s="173">
        <v>17</v>
      </c>
      <c r="N10" s="27">
        <v>0</v>
      </c>
      <c r="O10" s="160">
        <v>59</v>
      </c>
      <c r="P10" s="174">
        <v>2</v>
      </c>
      <c r="Q10" s="172">
        <v>22</v>
      </c>
      <c r="R10" s="27">
        <v>19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</row>
    <row r="11" spans="1:31" ht="24" customHeight="1">
      <c r="A11" s="219"/>
      <c r="B11" s="16" t="s">
        <v>23</v>
      </c>
      <c r="C11" s="16" t="s">
        <v>24</v>
      </c>
      <c r="D11" s="17"/>
      <c r="E11" s="18"/>
      <c r="F11" s="19">
        <v>0</v>
      </c>
      <c r="G11" s="84"/>
      <c r="H11" s="17">
        <v>0</v>
      </c>
      <c r="I11" s="18"/>
      <c r="J11" s="19">
        <v>0</v>
      </c>
      <c r="K11" s="84">
        <v>0</v>
      </c>
      <c r="L11" s="17">
        <v>0</v>
      </c>
      <c r="M11" s="175">
        <v>0</v>
      </c>
      <c r="N11" s="19">
        <v>0</v>
      </c>
      <c r="O11" s="170">
        <v>0</v>
      </c>
      <c r="P11" s="174">
        <v>2</v>
      </c>
      <c r="Q11" s="172">
        <v>3</v>
      </c>
      <c r="R11" s="27">
        <v>1</v>
      </c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</row>
    <row r="12" spans="1:31" ht="24.75" customHeight="1">
      <c r="A12" s="220"/>
      <c r="B12" s="32" t="s">
        <v>25</v>
      </c>
      <c r="C12" s="32" t="s">
        <v>26</v>
      </c>
      <c r="D12" s="25"/>
      <c r="E12" s="26"/>
      <c r="F12" s="27">
        <v>0</v>
      </c>
      <c r="G12" s="86"/>
      <c r="H12" s="25">
        <v>0</v>
      </c>
      <c r="I12" s="26"/>
      <c r="J12" s="27">
        <v>0</v>
      </c>
      <c r="K12" s="86">
        <v>0</v>
      </c>
      <c r="L12" s="25">
        <v>0</v>
      </c>
      <c r="M12" s="173">
        <v>1</v>
      </c>
      <c r="N12" s="27">
        <v>0</v>
      </c>
      <c r="O12" s="160">
        <v>3</v>
      </c>
      <c r="P12" s="174">
        <v>0</v>
      </c>
      <c r="Q12" s="172">
        <v>2</v>
      </c>
      <c r="R12" s="27">
        <v>0</v>
      </c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</row>
    <row r="13" spans="1:31" ht="6" customHeight="1">
      <c r="A13" s="221"/>
      <c r="B13" s="222"/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3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</row>
    <row r="14" spans="1:31" ht="24.75" customHeight="1">
      <c r="A14" s="218" t="s">
        <v>27</v>
      </c>
      <c r="B14" s="16" t="s">
        <v>11</v>
      </c>
      <c r="C14" s="16" t="s">
        <v>12</v>
      </c>
      <c r="D14" s="17"/>
      <c r="E14" s="18"/>
      <c r="F14" s="123">
        <v>0</v>
      </c>
      <c r="G14" s="124"/>
      <c r="H14" s="17">
        <v>0</v>
      </c>
      <c r="I14" s="18"/>
      <c r="J14" s="123">
        <v>0</v>
      </c>
      <c r="K14" s="124">
        <v>0</v>
      </c>
      <c r="L14" s="17">
        <v>0</v>
      </c>
      <c r="M14" s="169">
        <v>0</v>
      </c>
      <c r="N14" s="123">
        <v>0</v>
      </c>
      <c r="O14" s="176">
        <v>0</v>
      </c>
      <c r="P14" s="171">
        <v>0</v>
      </c>
      <c r="Q14" s="18">
        <v>1</v>
      </c>
      <c r="R14" s="125">
        <v>0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</row>
    <row r="15" spans="1:31" ht="25.5" customHeight="1">
      <c r="A15" s="219"/>
      <c r="B15" s="24" t="s">
        <v>28</v>
      </c>
      <c r="C15" s="24" t="s">
        <v>29</v>
      </c>
      <c r="D15" s="25"/>
      <c r="E15" s="26"/>
      <c r="F15" s="125">
        <v>0</v>
      </c>
      <c r="G15" s="126"/>
      <c r="H15" s="25">
        <v>0</v>
      </c>
      <c r="I15" s="26"/>
      <c r="J15" s="125">
        <v>2</v>
      </c>
      <c r="K15" s="126">
        <v>3</v>
      </c>
      <c r="L15" s="25">
        <v>2</v>
      </c>
      <c r="M15" s="173">
        <v>1</v>
      </c>
      <c r="N15" s="125">
        <v>0</v>
      </c>
      <c r="O15" s="177">
        <v>4</v>
      </c>
      <c r="P15" s="174">
        <v>0</v>
      </c>
      <c r="Q15" s="18">
        <v>2</v>
      </c>
      <c r="R15" s="125">
        <v>5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</row>
    <row r="16" spans="1:31" ht="23.25" customHeight="1">
      <c r="A16" s="219"/>
      <c r="B16" s="16" t="s">
        <v>15</v>
      </c>
      <c r="C16" s="16" t="s">
        <v>16</v>
      </c>
      <c r="D16" s="17"/>
      <c r="E16" s="127"/>
      <c r="F16" s="123">
        <v>0</v>
      </c>
      <c r="G16" s="124"/>
      <c r="H16" s="17">
        <v>0</v>
      </c>
      <c r="I16" s="18"/>
      <c r="J16" s="123">
        <v>0</v>
      </c>
      <c r="K16" s="124">
        <v>0</v>
      </c>
      <c r="L16" s="17">
        <v>0</v>
      </c>
      <c r="M16" s="175">
        <v>0</v>
      </c>
      <c r="N16" s="123">
        <v>0</v>
      </c>
      <c r="O16" s="176">
        <v>0</v>
      </c>
      <c r="P16" s="174">
        <v>0</v>
      </c>
      <c r="Q16" s="18">
        <v>0</v>
      </c>
      <c r="R16" s="125">
        <v>0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</row>
    <row r="17" spans="1:31" ht="25.5" customHeight="1">
      <c r="A17" s="219"/>
      <c r="B17" s="24" t="s">
        <v>17</v>
      </c>
      <c r="C17" s="24" t="s">
        <v>18</v>
      </c>
      <c r="D17" s="25"/>
      <c r="E17" s="26"/>
      <c r="F17" s="125">
        <v>0</v>
      </c>
      <c r="G17" s="126"/>
      <c r="H17" s="25">
        <v>0</v>
      </c>
      <c r="I17" s="26"/>
      <c r="J17" s="125">
        <v>0</v>
      </c>
      <c r="K17" s="126">
        <v>0</v>
      </c>
      <c r="L17" s="25">
        <v>0</v>
      </c>
      <c r="M17" s="173">
        <v>0</v>
      </c>
      <c r="N17" s="125">
        <v>0</v>
      </c>
      <c r="O17" s="177">
        <v>0</v>
      </c>
      <c r="P17" s="174">
        <v>0</v>
      </c>
      <c r="Q17" s="18">
        <v>0</v>
      </c>
      <c r="R17" s="125">
        <v>0</v>
      </c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</row>
    <row r="18" spans="1:31" ht="22.5" customHeight="1">
      <c r="A18" s="219"/>
      <c r="B18" s="16" t="s">
        <v>19</v>
      </c>
      <c r="C18" s="16" t="s">
        <v>20</v>
      </c>
      <c r="D18" s="17"/>
      <c r="E18" s="127"/>
      <c r="F18" s="123">
        <v>0</v>
      </c>
      <c r="G18" s="124"/>
      <c r="H18" s="17">
        <v>7</v>
      </c>
      <c r="I18" s="18"/>
      <c r="J18" s="123">
        <v>0</v>
      </c>
      <c r="K18" s="124">
        <v>36</v>
      </c>
      <c r="L18" s="17">
        <v>6</v>
      </c>
      <c r="M18" s="175">
        <v>22</v>
      </c>
      <c r="N18" s="123">
        <v>2</v>
      </c>
      <c r="O18" s="176">
        <v>1</v>
      </c>
      <c r="P18" s="174">
        <v>8</v>
      </c>
      <c r="Q18" s="18">
        <v>6</v>
      </c>
      <c r="R18" s="125">
        <v>16</v>
      </c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</row>
    <row r="19" spans="1:31" ht="24" customHeight="1">
      <c r="A19" s="219"/>
      <c r="B19" s="24" t="s">
        <v>21</v>
      </c>
      <c r="C19" s="24" t="s">
        <v>22</v>
      </c>
      <c r="D19" s="25"/>
      <c r="E19" s="128"/>
      <c r="F19" s="125">
        <v>0</v>
      </c>
      <c r="G19" s="126"/>
      <c r="H19" s="25">
        <v>0</v>
      </c>
      <c r="I19" s="26"/>
      <c r="J19" s="125">
        <v>0</v>
      </c>
      <c r="K19" s="126">
        <v>5</v>
      </c>
      <c r="L19" s="25">
        <v>0</v>
      </c>
      <c r="M19" s="173">
        <v>0</v>
      </c>
      <c r="N19" s="125">
        <v>6</v>
      </c>
      <c r="O19" s="177">
        <v>8</v>
      </c>
      <c r="P19" s="174">
        <v>0</v>
      </c>
      <c r="Q19" s="18">
        <v>7</v>
      </c>
      <c r="R19" s="125">
        <v>1</v>
      </c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</row>
    <row r="20" spans="1:31" ht="25.5" customHeight="1">
      <c r="A20" s="219"/>
      <c r="B20" s="16" t="s">
        <v>23</v>
      </c>
      <c r="C20" s="16" t="s">
        <v>24</v>
      </c>
      <c r="D20" s="17"/>
      <c r="E20" s="18"/>
      <c r="F20" s="123">
        <v>0</v>
      </c>
      <c r="G20" s="124"/>
      <c r="H20" s="17">
        <v>0</v>
      </c>
      <c r="I20" s="18"/>
      <c r="J20" s="123">
        <v>0</v>
      </c>
      <c r="K20" s="124">
        <v>0</v>
      </c>
      <c r="L20" s="17">
        <v>0</v>
      </c>
      <c r="M20" s="175">
        <v>0</v>
      </c>
      <c r="N20" s="123">
        <v>0</v>
      </c>
      <c r="O20" s="176">
        <v>0</v>
      </c>
      <c r="P20" s="174">
        <v>6</v>
      </c>
      <c r="Q20" s="18">
        <v>0</v>
      </c>
      <c r="R20" s="125">
        <v>0</v>
      </c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</row>
    <row r="21" spans="1:31" ht="25.5" customHeight="1">
      <c r="A21" s="220"/>
      <c r="B21" s="32" t="s">
        <v>25</v>
      </c>
      <c r="C21" s="32" t="s">
        <v>26</v>
      </c>
      <c r="D21" s="25"/>
      <c r="E21" s="26"/>
      <c r="F21" s="125">
        <v>0</v>
      </c>
      <c r="G21" s="126"/>
      <c r="H21" s="25">
        <v>1</v>
      </c>
      <c r="I21" s="26"/>
      <c r="J21" s="125">
        <v>0</v>
      </c>
      <c r="K21" s="126">
        <v>0</v>
      </c>
      <c r="L21" s="25">
        <v>0</v>
      </c>
      <c r="M21" s="173">
        <v>1</v>
      </c>
      <c r="N21" s="125">
        <v>0</v>
      </c>
      <c r="O21" s="177">
        <v>0</v>
      </c>
      <c r="P21" s="174">
        <v>0</v>
      </c>
      <c r="Q21" s="18">
        <v>0</v>
      </c>
      <c r="R21" s="125">
        <v>0</v>
      </c>
      <c r="S21" s="97"/>
      <c r="T21" s="97"/>
      <c r="U21" s="97"/>
      <c r="V21" s="97"/>
      <c r="W21" s="97"/>
      <c r="X21" s="85"/>
      <c r="Y21" s="85"/>
      <c r="Z21" s="85"/>
      <c r="AA21" s="85"/>
      <c r="AB21" s="85"/>
      <c r="AC21" s="85"/>
      <c r="AD21" s="85"/>
      <c r="AE21" s="85"/>
    </row>
    <row r="22" spans="1:31" ht="6" customHeight="1">
      <c r="A22" s="221"/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3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</row>
    <row r="23" spans="1:31" ht="22.5" customHeight="1">
      <c r="A23" s="224" t="s">
        <v>30</v>
      </c>
      <c r="B23" s="38" t="s">
        <v>11</v>
      </c>
      <c r="C23" s="38" t="s">
        <v>12</v>
      </c>
      <c r="D23" s="21">
        <f t="shared" ref="D23:R23" si="0">SUM(D5+D14)</f>
        <v>0</v>
      </c>
      <c r="E23" s="22">
        <f t="shared" si="0"/>
        <v>0</v>
      </c>
      <c r="F23" s="39">
        <f t="shared" si="0"/>
        <v>0</v>
      </c>
      <c r="G23" s="40">
        <f t="shared" si="0"/>
        <v>0</v>
      </c>
      <c r="H23" s="21">
        <f t="shared" si="0"/>
        <v>0</v>
      </c>
      <c r="I23" s="22">
        <f t="shared" si="0"/>
        <v>0</v>
      </c>
      <c r="J23" s="39">
        <f t="shared" si="0"/>
        <v>0</v>
      </c>
      <c r="K23" s="40">
        <f t="shared" si="0"/>
        <v>0</v>
      </c>
      <c r="L23" s="21">
        <f t="shared" si="0"/>
        <v>0</v>
      </c>
      <c r="M23" s="22">
        <f t="shared" si="0"/>
        <v>1</v>
      </c>
      <c r="N23" s="39">
        <f t="shared" si="0"/>
        <v>0</v>
      </c>
      <c r="O23" s="158">
        <f t="shared" si="0"/>
        <v>0</v>
      </c>
      <c r="P23" s="29">
        <f t="shared" si="0"/>
        <v>0</v>
      </c>
      <c r="Q23" s="30">
        <f t="shared" si="0"/>
        <v>1</v>
      </c>
      <c r="R23" s="39">
        <f t="shared" si="0"/>
        <v>0</v>
      </c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</row>
    <row r="24" spans="1:31" ht="22.5" customHeight="1">
      <c r="A24" s="219"/>
      <c r="B24" s="24" t="s">
        <v>13</v>
      </c>
      <c r="C24" s="24" t="s">
        <v>14</v>
      </c>
      <c r="D24" s="29">
        <f t="shared" ref="D24:R24" si="1">SUM(D6)</f>
        <v>0</v>
      </c>
      <c r="E24" s="30">
        <f t="shared" si="1"/>
        <v>0</v>
      </c>
      <c r="F24" s="41">
        <f t="shared" si="1"/>
        <v>0</v>
      </c>
      <c r="G24" s="42">
        <f t="shared" si="1"/>
        <v>0</v>
      </c>
      <c r="H24" s="29">
        <f t="shared" si="1"/>
        <v>0</v>
      </c>
      <c r="I24" s="30">
        <f t="shared" si="1"/>
        <v>0</v>
      </c>
      <c r="J24" s="41">
        <f t="shared" si="1"/>
        <v>0</v>
      </c>
      <c r="K24" s="42">
        <f t="shared" si="1"/>
        <v>0</v>
      </c>
      <c r="L24" s="29">
        <f t="shared" si="1"/>
        <v>0</v>
      </c>
      <c r="M24" s="30">
        <f t="shared" si="1"/>
        <v>0</v>
      </c>
      <c r="N24" s="39">
        <f t="shared" si="1"/>
        <v>0</v>
      </c>
      <c r="O24" s="158">
        <f t="shared" si="1"/>
        <v>0</v>
      </c>
      <c r="P24" s="29">
        <f t="shared" si="1"/>
        <v>0</v>
      </c>
      <c r="Q24" s="30">
        <f t="shared" si="1"/>
        <v>0</v>
      </c>
      <c r="R24" s="39">
        <f t="shared" si="1"/>
        <v>0</v>
      </c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 spans="1:31" ht="25.5" customHeight="1">
      <c r="A25" s="219"/>
      <c r="B25" s="38" t="s">
        <v>28</v>
      </c>
      <c r="C25" s="38" t="s">
        <v>29</v>
      </c>
      <c r="D25" s="17">
        <f t="shared" ref="D25:R25" si="2">SUM(D15)</f>
        <v>0</v>
      </c>
      <c r="E25" s="22">
        <f t="shared" si="2"/>
        <v>0</v>
      </c>
      <c r="F25" s="39">
        <f t="shared" si="2"/>
        <v>0</v>
      </c>
      <c r="G25" s="40">
        <f t="shared" si="2"/>
        <v>0</v>
      </c>
      <c r="H25" s="39">
        <f t="shared" si="2"/>
        <v>0</v>
      </c>
      <c r="I25" s="40">
        <f t="shared" si="2"/>
        <v>0</v>
      </c>
      <c r="J25" s="39">
        <f t="shared" si="2"/>
        <v>2</v>
      </c>
      <c r="K25" s="40">
        <f t="shared" si="2"/>
        <v>3</v>
      </c>
      <c r="L25" s="39">
        <f t="shared" si="2"/>
        <v>2</v>
      </c>
      <c r="M25" s="22">
        <f t="shared" si="2"/>
        <v>1</v>
      </c>
      <c r="N25" s="39">
        <f t="shared" si="2"/>
        <v>0</v>
      </c>
      <c r="O25" s="178">
        <f t="shared" si="2"/>
        <v>4</v>
      </c>
      <c r="P25" s="179">
        <f t="shared" si="2"/>
        <v>0</v>
      </c>
      <c r="Q25" s="180">
        <f t="shared" si="2"/>
        <v>2</v>
      </c>
      <c r="R25" s="181">
        <f t="shared" si="2"/>
        <v>5</v>
      </c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</row>
    <row r="26" spans="1:31" ht="24.75" customHeight="1">
      <c r="A26" s="219"/>
      <c r="B26" s="24" t="s">
        <v>15</v>
      </c>
      <c r="C26" s="24" t="s">
        <v>16</v>
      </c>
      <c r="D26" s="29">
        <f t="shared" ref="D26:R26" si="3">SUM(D7+D16)</f>
        <v>0</v>
      </c>
      <c r="E26" s="30">
        <f t="shared" si="3"/>
        <v>0</v>
      </c>
      <c r="F26" s="41">
        <f t="shared" si="3"/>
        <v>0</v>
      </c>
      <c r="G26" s="42">
        <f t="shared" si="3"/>
        <v>0</v>
      </c>
      <c r="H26" s="29">
        <f t="shared" si="3"/>
        <v>0</v>
      </c>
      <c r="I26" s="30">
        <f t="shared" si="3"/>
        <v>0</v>
      </c>
      <c r="J26" s="41">
        <f t="shared" si="3"/>
        <v>0</v>
      </c>
      <c r="K26" s="42">
        <f t="shared" si="3"/>
        <v>0</v>
      </c>
      <c r="L26" s="29">
        <f t="shared" si="3"/>
        <v>0</v>
      </c>
      <c r="M26" s="30">
        <f t="shared" si="3"/>
        <v>0</v>
      </c>
      <c r="N26" s="39">
        <f t="shared" si="3"/>
        <v>0</v>
      </c>
      <c r="O26" s="158">
        <f t="shared" si="3"/>
        <v>0</v>
      </c>
      <c r="P26" s="29">
        <f t="shared" si="3"/>
        <v>0</v>
      </c>
      <c r="Q26" s="30">
        <f t="shared" si="3"/>
        <v>0</v>
      </c>
      <c r="R26" s="39">
        <f t="shared" si="3"/>
        <v>0</v>
      </c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</row>
    <row r="27" spans="1:31" ht="23.25" customHeight="1">
      <c r="A27" s="219"/>
      <c r="B27" s="38" t="s">
        <v>17</v>
      </c>
      <c r="C27" s="38" t="s">
        <v>18</v>
      </c>
      <c r="D27" s="21">
        <f t="shared" ref="D27:R27" si="4">SUM(D8+D17)</f>
        <v>0</v>
      </c>
      <c r="E27" s="22">
        <f t="shared" si="4"/>
        <v>0</v>
      </c>
      <c r="F27" s="39">
        <f t="shared" si="4"/>
        <v>0</v>
      </c>
      <c r="G27" s="40">
        <f t="shared" si="4"/>
        <v>0</v>
      </c>
      <c r="H27" s="21">
        <f t="shared" si="4"/>
        <v>0</v>
      </c>
      <c r="I27" s="22">
        <f t="shared" si="4"/>
        <v>0</v>
      </c>
      <c r="J27" s="39">
        <f t="shared" si="4"/>
        <v>1</v>
      </c>
      <c r="K27" s="40">
        <f t="shared" si="4"/>
        <v>0</v>
      </c>
      <c r="L27" s="21">
        <f t="shared" si="4"/>
        <v>0</v>
      </c>
      <c r="M27" s="22">
        <f t="shared" si="4"/>
        <v>1</v>
      </c>
      <c r="N27" s="39">
        <f t="shared" si="4"/>
        <v>0</v>
      </c>
      <c r="O27" s="158">
        <f t="shared" si="4"/>
        <v>0</v>
      </c>
      <c r="P27" s="29">
        <f t="shared" si="4"/>
        <v>0</v>
      </c>
      <c r="Q27" s="30">
        <f t="shared" si="4"/>
        <v>0</v>
      </c>
      <c r="R27" s="39">
        <f t="shared" si="4"/>
        <v>2</v>
      </c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</row>
    <row r="28" spans="1:31" ht="22.5" customHeight="1">
      <c r="A28" s="219"/>
      <c r="B28" s="24" t="s">
        <v>19</v>
      </c>
      <c r="C28" s="24" t="s">
        <v>20</v>
      </c>
      <c r="D28" s="29">
        <f t="shared" ref="D28:R28" si="5">SUM(D9+D18)</f>
        <v>0</v>
      </c>
      <c r="E28" s="30">
        <f t="shared" si="5"/>
        <v>0</v>
      </c>
      <c r="F28" s="41">
        <f t="shared" si="5"/>
        <v>0</v>
      </c>
      <c r="G28" s="42">
        <f t="shared" si="5"/>
        <v>0</v>
      </c>
      <c r="H28" s="29">
        <f t="shared" si="5"/>
        <v>10</v>
      </c>
      <c r="I28" s="30">
        <f t="shared" si="5"/>
        <v>0</v>
      </c>
      <c r="J28" s="41">
        <f t="shared" si="5"/>
        <v>14</v>
      </c>
      <c r="K28" s="42">
        <f t="shared" si="5"/>
        <v>40</v>
      </c>
      <c r="L28" s="29">
        <f t="shared" si="5"/>
        <v>8</v>
      </c>
      <c r="M28" s="30">
        <f t="shared" si="5"/>
        <v>45</v>
      </c>
      <c r="N28" s="39">
        <f t="shared" si="5"/>
        <v>2</v>
      </c>
      <c r="O28" s="158">
        <f t="shared" si="5"/>
        <v>18</v>
      </c>
      <c r="P28" s="29">
        <f t="shared" si="5"/>
        <v>28</v>
      </c>
      <c r="Q28" s="30">
        <f t="shared" si="5"/>
        <v>29</v>
      </c>
      <c r="R28" s="39">
        <f t="shared" si="5"/>
        <v>51</v>
      </c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</row>
    <row r="29" spans="1:31" ht="24.75" customHeight="1">
      <c r="A29" s="219"/>
      <c r="B29" s="38" t="s">
        <v>21</v>
      </c>
      <c r="C29" s="38" t="s">
        <v>22</v>
      </c>
      <c r="D29" s="21">
        <f t="shared" ref="D29:R29" si="6">SUM(D10+D19)</f>
        <v>0</v>
      </c>
      <c r="E29" s="22">
        <f t="shared" si="6"/>
        <v>0</v>
      </c>
      <c r="F29" s="39">
        <f t="shared" si="6"/>
        <v>0</v>
      </c>
      <c r="G29" s="40">
        <f t="shared" si="6"/>
        <v>0</v>
      </c>
      <c r="H29" s="21">
        <f t="shared" si="6"/>
        <v>0</v>
      </c>
      <c r="I29" s="22">
        <f t="shared" si="6"/>
        <v>0</v>
      </c>
      <c r="J29" s="39">
        <f t="shared" si="6"/>
        <v>3</v>
      </c>
      <c r="K29" s="40">
        <f t="shared" si="6"/>
        <v>7</v>
      </c>
      <c r="L29" s="21">
        <f t="shared" si="6"/>
        <v>3</v>
      </c>
      <c r="M29" s="22">
        <f t="shared" si="6"/>
        <v>17</v>
      </c>
      <c r="N29" s="39">
        <f t="shared" si="6"/>
        <v>6</v>
      </c>
      <c r="O29" s="158">
        <f t="shared" si="6"/>
        <v>67</v>
      </c>
      <c r="P29" s="29">
        <f t="shared" si="6"/>
        <v>2</v>
      </c>
      <c r="Q29" s="30">
        <f t="shared" si="6"/>
        <v>29</v>
      </c>
      <c r="R29" s="39">
        <f t="shared" si="6"/>
        <v>20</v>
      </c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</row>
    <row r="30" spans="1:31" ht="24.75" customHeight="1">
      <c r="A30" s="219"/>
      <c r="B30" s="24" t="s">
        <v>23</v>
      </c>
      <c r="C30" s="24" t="s">
        <v>24</v>
      </c>
      <c r="D30" s="29">
        <f t="shared" ref="D30:R30" si="7">SUM(D11+D20)</f>
        <v>0</v>
      </c>
      <c r="E30" s="30">
        <f t="shared" si="7"/>
        <v>0</v>
      </c>
      <c r="F30" s="41">
        <f t="shared" si="7"/>
        <v>0</v>
      </c>
      <c r="G30" s="42">
        <f t="shared" si="7"/>
        <v>0</v>
      </c>
      <c r="H30" s="29">
        <f t="shared" si="7"/>
        <v>0</v>
      </c>
      <c r="I30" s="30">
        <f t="shared" si="7"/>
        <v>0</v>
      </c>
      <c r="J30" s="41">
        <f t="shared" si="7"/>
        <v>0</v>
      </c>
      <c r="K30" s="42">
        <f t="shared" si="7"/>
        <v>0</v>
      </c>
      <c r="L30" s="29">
        <f t="shared" si="7"/>
        <v>0</v>
      </c>
      <c r="M30" s="30">
        <f t="shared" si="7"/>
        <v>0</v>
      </c>
      <c r="N30" s="39">
        <f t="shared" si="7"/>
        <v>0</v>
      </c>
      <c r="O30" s="158">
        <f t="shared" si="7"/>
        <v>0</v>
      </c>
      <c r="P30" s="29">
        <f t="shared" si="7"/>
        <v>8</v>
      </c>
      <c r="Q30" s="30">
        <f t="shared" si="7"/>
        <v>3</v>
      </c>
      <c r="R30" s="39">
        <f t="shared" si="7"/>
        <v>1</v>
      </c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</row>
    <row r="31" spans="1:31" ht="25.5" customHeight="1">
      <c r="A31" s="220"/>
      <c r="B31" s="43" t="s">
        <v>25</v>
      </c>
      <c r="C31" s="43" t="s">
        <v>26</v>
      </c>
      <c r="D31" s="21">
        <f t="shared" ref="D31:R31" si="8">SUM(D12+D21)</f>
        <v>0</v>
      </c>
      <c r="E31" s="22">
        <f t="shared" si="8"/>
        <v>0</v>
      </c>
      <c r="F31" s="39">
        <f t="shared" si="8"/>
        <v>0</v>
      </c>
      <c r="G31" s="40">
        <f t="shared" si="8"/>
        <v>0</v>
      </c>
      <c r="H31" s="21">
        <f t="shared" si="8"/>
        <v>1</v>
      </c>
      <c r="I31" s="22">
        <f t="shared" si="8"/>
        <v>0</v>
      </c>
      <c r="J31" s="39">
        <f t="shared" si="8"/>
        <v>0</v>
      </c>
      <c r="K31" s="40">
        <f t="shared" si="8"/>
        <v>0</v>
      </c>
      <c r="L31" s="21">
        <f t="shared" si="8"/>
        <v>0</v>
      </c>
      <c r="M31" s="22">
        <f t="shared" si="8"/>
        <v>2</v>
      </c>
      <c r="N31" s="39">
        <f t="shared" si="8"/>
        <v>0</v>
      </c>
      <c r="O31" s="158">
        <f t="shared" si="8"/>
        <v>3</v>
      </c>
      <c r="P31" s="29">
        <f t="shared" si="8"/>
        <v>0</v>
      </c>
      <c r="Q31" s="30">
        <f t="shared" si="8"/>
        <v>2</v>
      </c>
      <c r="R31" s="39">
        <f t="shared" si="8"/>
        <v>0</v>
      </c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</row>
    <row r="32" spans="1:31" ht="21.75" customHeight="1">
      <c r="A32" s="44"/>
      <c r="B32" s="44"/>
      <c r="C32" s="45" t="s">
        <v>30</v>
      </c>
      <c r="D32" s="46">
        <f t="shared" ref="D32:R32" si="9">SUM(D23:D31)</f>
        <v>0</v>
      </c>
      <c r="E32" s="47">
        <f t="shared" si="9"/>
        <v>0</v>
      </c>
      <c r="F32" s="48">
        <f t="shared" si="9"/>
        <v>0</v>
      </c>
      <c r="G32" s="49">
        <f t="shared" si="9"/>
        <v>0</v>
      </c>
      <c r="H32" s="46">
        <f t="shared" si="9"/>
        <v>11</v>
      </c>
      <c r="I32" s="47">
        <f t="shared" si="9"/>
        <v>0</v>
      </c>
      <c r="J32" s="48">
        <f t="shared" si="9"/>
        <v>20</v>
      </c>
      <c r="K32" s="49">
        <f t="shared" si="9"/>
        <v>50</v>
      </c>
      <c r="L32" s="46">
        <f t="shared" si="9"/>
        <v>13</v>
      </c>
      <c r="M32" s="47">
        <f t="shared" si="9"/>
        <v>67</v>
      </c>
      <c r="N32" s="39">
        <f t="shared" si="9"/>
        <v>8</v>
      </c>
      <c r="O32" s="158">
        <f t="shared" si="9"/>
        <v>92</v>
      </c>
      <c r="P32" s="29">
        <f t="shared" si="9"/>
        <v>38</v>
      </c>
      <c r="Q32" s="30">
        <f t="shared" si="9"/>
        <v>66</v>
      </c>
      <c r="R32" s="39">
        <f t="shared" si="9"/>
        <v>79</v>
      </c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</row>
    <row r="33" spans="1:31" ht="24.75" customHeight="1">
      <c r="A33" s="50"/>
      <c r="B33" s="50"/>
      <c r="C33" s="45" t="s">
        <v>31</v>
      </c>
      <c r="D33" s="131" t="s">
        <v>71</v>
      </c>
      <c r="E33" s="132" t="s">
        <v>71</v>
      </c>
      <c r="F33" s="53">
        <f t="shared" ref="F33:R33" si="10">F32*40</f>
        <v>0</v>
      </c>
      <c r="G33" s="54">
        <f t="shared" si="10"/>
        <v>0</v>
      </c>
      <c r="H33" s="51">
        <f t="shared" si="10"/>
        <v>440</v>
      </c>
      <c r="I33" s="52">
        <f t="shared" si="10"/>
        <v>0</v>
      </c>
      <c r="J33" s="53">
        <f t="shared" si="10"/>
        <v>800</v>
      </c>
      <c r="K33" s="54">
        <f t="shared" si="10"/>
        <v>2000</v>
      </c>
      <c r="L33" s="51">
        <f t="shared" si="10"/>
        <v>520</v>
      </c>
      <c r="M33" s="52">
        <f t="shared" si="10"/>
        <v>2680</v>
      </c>
      <c r="N33" s="39">
        <f t="shared" si="10"/>
        <v>320</v>
      </c>
      <c r="O33" s="158">
        <f t="shared" si="10"/>
        <v>3680</v>
      </c>
      <c r="P33" s="29">
        <f t="shared" si="10"/>
        <v>1520</v>
      </c>
      <c r="Q33" s="30">
        <f t="shared" si="10"/>
        <v>2640</v>
      </c>
      <c r="R33" s="39">
        <f t="shared" si="10"/>
        <v>3160</v>
      </c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</row>
    <row r="34" spans="1:31" ht="27.75" customHeight="1">
      <c r="A34" s="50"/>
      <c r="C34" s="98" t="s">
        <v>53</v>
      </c>
      <c r="D34" s="99"/>
      <c r="E34" s="99"/>
      <c r="F34" s="100"/>
      <c r="G34" s="100"/>
      <c r="H34" s="100"/>
      <c r="I34" s="100"/>
      <c r="J34" s="100"/>
      <c r="K34" s="100"/>
      <c r="L34" s="100"/>
      <c r="M34" s="100"/>
      <c r="N34" s="100"/>
      <c r="O34" s="182"/>
      <c r="P34" s="100"/>
      <c r="Q34" s="100"/>
      <c r="R34" s="100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</row>
    <row r="35" spans="1:31" ht="15" customHeight="1">
      <c r="D35" s="5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183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</row>
    <row r="36" spans="1:31" ht="15" customHeight="1">
      <c r="B36" s="57" t="s">
        <v>32</v>
      </c>
      <c r="C36" s="58"/>
      <c r="D36" s="55"/>
      <c r="O36" s="183"/>
      <c r="R36" s="55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</row>
    <row r="37" spans="1:31" ht="18.75" customHeight="1">
      <c r="B37" s="59" t="s">
        <v>33</v>
      </c>
      <c r="C37" s="217" t="s">
        <v>128</v>
      </c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183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</row>
    <row r="38" spans="1:31" ht="17.25" customHeight="1">
      <c r="B38" s="59" t="s">
        <v>34</v>
      </c>
      <c r="C38" s="217" t="s">
        <v>128</v>
      </c>
      <c r="D38" s="55"/>
      <c r="E38" s="55"/>
      <c r="F38" s="56"/>
      <c r="G38" s="56"/>
      <c r="H38" s="56"/>
      <c r="I38" s="56"/>
      <c r="J38" s="56"/>
      <c r="K38" s="56"/>
      <c r="L38" s="56"/>
      <c r="M38" s="56"/>
      <c r="N38" s="56"/>
      <c r="O38" s="183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5" customHeight="1">
      <c r="A39" s="50"/>
      <c r="B39" s="59" t="s">
        <v>35</v>
      </c>
      <c r="C39" s="217" t="s">
        <v>128</v>
      </c>
      <c r="D39" s="55"/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183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</row>
    <row r="40" spans="1:31" ht="15" customHeight="1">
      <c r="A40" s="50"/>
      <c r="B40" s="59" t="s">
        <v>36</v>
      </c>
      <c r="C40" s="217" t="s">
        <v>128</v>
      </c>
      <c r="D40" s="55"/>
      <c r="E40" s="55"/>
      <c r="F40" s="56"/>
      <c r="G40" s="56"/>
      <c r="H40" s="56"/>
      <c r="I40" s="56"/>
      <c r="J40" s="56"/>
      <c r="K40" s="56"/>
      <c r="L40" s="56"/>
      <c r="M40" s="56"/>
      <c r="N40" s="56"/>
      <c r="O40" s="183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</row>
    <row r="41" spans="1:31" ht="15" customHeight="1">
      <c r="A41" s="50"/>
      <c r="B41" s="50"/>
      <c r="C41" s="50"/>
      <c r="D41" s="55"/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183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</row>
    <row r="42" spans="1:31" ht="15" customHeight="1">
      <c r="A42" s="50"/>
      <c r="B42" s="50"/>
      <c r="C42" s="50"/>
      <c r="D42" s="55"/>
      <c r="E42" s="55"/>
      <c r="F42" s="56"/>
      <c r="G42" s="56"/>
      <c r="H42" s="56"/>
      <c r="I42" s="56"/>
      <c r="J42" s="56"/>
      <c r="K42" s="56"/>
      <c r="L42" s="56"/>
      <c r="M42" s="56"/>
      <c r="N42" s="56"/>
      <c r="O42" s="183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</row>
    <row r="43" spans="1:31" ht="23.25" customHeight="1">
      <c r="C43" s="50"/>
      <c r="D43" s="237">
        <v>2022</v>
      </c>
      <c r="E43" s="222"/>
      <c r="F43" s="222"/>
      <c r="G43" s="223"/>
      <c r="H43" s="234">
        <v>2023</v>
      </c>
      <c r="I43" s="222"/>
      <c r="J43" s="222"/>
      <c r="K43" s="223"/>
      <c r="L43" s="234">
        <v>2024</v>
      </c>
      <c r="M43" s="222"/>
      <c r="N43" s="223"/>
      <c r="P43" s="101"/>
      <c r="Q43" s="101"/>
      <c r="R43" s="184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/>
      <c r="AD43" s="185"/>
      <c r="AE43" s="185"/>
    </row>
    <row r="44" spans="1:31" ht="14.25" customHeight="1">
      <c r="C44" s="50"/>
      <c r="D44" s="103" t="s">
        <v>58</v>
      </c>
      <c r="E44" s="104" t="s">
        <v>59</v>
      </c>
      <c r="F44" s="105" t="s">
        <v>60</v>
      </c>
      <c r="G44" s="106" t="s">
        <v>61</v>
      </c>
      <c r="H44" s="107" t="s">
        <v>62</v>
      </c>
      <c r="I44" s="104" t="s">
        <v>63</v>
      </c>
      <c r="J44" s="105" t="s">
        <v>64</v>
      </c>
      <c r="K44" s="106" t="s">
        <v>65</v>
      </c>
      <c r="L44" s="107" t="s">
        <v>66</v>
      </c>
      <c r="M44" s="104" t="s">
        <v>67</v>
      </c>
      <c r="N44" s="105" t="s">
        <v>68</v>
      </c>
      <c r="O44" s="186" t="s">
        <v>69</v>
      </c>
      <c r="P44" s="104" t="s">
        <v>67</v>
      </c>
      <c r="Q44" s="105" t="s">
        <v>68</v>
      </c>
      <c r="R44" s="106" t="s">
        <v>69</v>
      </c>
      <c r="S44" s="187"/>
      <c r="T44" s="187"/>
      <c r="U44" s="187"/>
      <c r="V44" s="187"/>
      <c r="W44" s="187"/>
      <c r="X44" s="187"/>
      <c r="Y44" s="187"/>
      <c r="Z44" s="187"/>
      <c r="AA44" s="187"/>
      <c r="AB44" s="187"/>
      <c r="AC44" s="187"/>
      <c r="AD44" s="187"/>
      <c r="AE44" s="187"/>
    </row>
    <row r="45" spans="1:31" ht="14.25" customHeight="1">
      <c r="C45" s="38" t="s">
        <v>11</v>
      </c>
      <c r="D45" s="109">
        <f t="shared" ref="D45:R45" si="11">D24*40</f>
        <v>0</v>
      </c>
      <c r="E45" s="109">
        <f t="shared" si="11"/>
        <v>0</v>
      </c>
      <c r="F45" s="109">
        <f t="shared" si="11"/>
        <v>0</v>
      </c>
      <c r="G45" s="109">
        <f t="shared" si="11"/>
        <v>0</v>
      </c>
      <c r="H45" s="109">
        <f t="shared" si="11"/>
        <v>0</v>
      </c>
      <c r="I45" s="109">
        <f t="shared" si="11"/>
        <v>0</v>
      </c>
      <c r="J45" s="109">
        <f t="shared" si="11"/>
        <v>0</v>
      </c>
      <c r="K45" s="109">
        <f t="shared" si="11"/>
        <v>0</v>
      </c>
      <c r="L45" s="109">
        <f t="shared" si="11"/>
        <v>0</v>
      </c>
      <c r="M45" s="109">
        <f t="shared" si="11"/>
        <v>0</v>
      </c>
      <c r="N45" s="109">
        <f t="shared" si="11"/>
        <v>0</v>
      </c>
      <c r="O45" s="188">
        <f t="shared" si="11"/>
        <v>0</v>
      </c>
      <c r="P45" s="109">
        <f t="shared" si="11"/>
        <v>0</v>
      </c>
      <c r="Q45" s="109">
        <f t="shared" si="11"/>
        <v>0</v>
      </c>
      <c r="R45" s="109">
        <f t="shared" si="11"/>
        <v>0</v>
      </c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</row>
    <row r="46" spans="1:31" ht="14.25" customHeight="1">
      <c r="C46" s="24" t="s">
        <v>13</v>
      </c>
      <c r="D46" s="136">
        <f t="shared" ref="D46:R46" si="12">D25*40</f>
        <v>0</v>
      </c>
      <c r="E46" s="136">
        <f t="shared" si="12"/>
        <v>0</v>
      </c>
      <c r="F46" s="136">
        <f t="shared" si="12"/>
        <v>0</v>
      </c>
      <c r="G46" s="136">
        <f t="shared" si="12"/>
        <v>0</v>
      </c>
      <c r="H46" s="136">
        <f t="shared" si="12"/>
        <v>0</v>
      </c>
      <c r="I46" s="136">
        <f t="shared" si="12"/>
        <v>0</v>
      </c>
      <c r="J46" s="136">
        <f t="shared" si="12"/>
        <v>80</v>
      </c>
      <c r="K46" s="136">
        <f t="shared" si="12"/>
        <v>120</v>
      </c>
      <c r="L46" s="136">
        <f t="shared" si="12"/>
        <v>80</v>
      </c>
      <c r="M46" s="136">
        <f t="shared" si="12"/>
        <v>40</v>
      </c>
      <c r="N46" s="136">
        <f t="shared" si="12"/>
        <v>0</v>
      </c>
      <c r="O46" s="189">
        <f t="shared" si="12"/>
        <v>160</v>
      </c>
      <c r="P46" s="136">
        <f t="shared" si="12"/>
        <v>0</v>
      </c>
      <c r="Q46" s="136">
        <f t="shared" si="12"/>
        <v>80</v>
      </c>
      <c r="R46" s="136">
        <f t="shared" si="12"/>
        <v>200</v>
      </c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</row>
    <row r="47" spans="1:31" ht="14.25" customHeight="1">
      <c r="C47" s="38" t="s">
        <v>28</v>
      </c>
      <c r="D47" s="109">
        <f t="shared" ref="D47:R47" si="13">D26*40</f>
        <v>0</v>
      </c>
      <c r="E47" s="109">
        <f t="shared" si="13"/>
        <v>0</v>
      </c>
      <c r="F47" s="109">
        <f t="shared" si="13"/>
        <v>0</v>
      </c>
      <c r="G47" s="109">
        <f t="shared" si="13"/>
        <v>0</v>
      </c>
      <c r="H47" s="109">
        <f t="shared" si="13"/>
        <v>0</v>
      </c>
      <c r="I47" s="109">
        <f t="shared" si="13"/>
        <v>0</v>
      </c>
      <c r="J47" s="109">
        <f t="shared" si="13"/>
        <v>0</v>
      </c>
      <c r="K47" s="109">
        <f t="shared" si="13"/>
        <v>0</v>
      </c>
      <c r="L47" s="109">
        <f t="shared" si="13"/>
        <v>0</v>
      </c>
      <c r="M47" s="109">
        <f t="shared" si="13"/>
        <v>0</v>
      </c>
      <c r="N47" s="109">
        <f t="shared" si="13"/>
        <v>0</v>
      </c>
      <c r="O47" s="188">
        <f t="shared" si="13"/>
        <v>0</v>
      </c>
      <c r="P47" s="109">
        <f t="shared" si="13"/>
        <v>0</v>
      </c>
      <c r="Q47" s="109">
        <f t="shared" si="13"/>
        <v>0</v>
      </c>
      <c r="R47" s="109">
        <f t="shared" si="13"/>
        <v>0</v>
      </c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</row>
    <row r="48" spans="1:31" ht="14.25" customHeight="1">
      <c r="C48" s="24" t="s">
        <v>15</v>
      </c>
      <c r="D48" s="136">
        <f t="shared" ref="D48:R48" si="14">D27*40</f>
        <v>0</v>
      </c>
      <c r="E48" s="136">
        <f t="shared" si="14"/>
        <v>0</v>
      </c>
      <c r="F48" s="136">
        <f t="shared" si="14"/>
        <v>0</v>
      </c>
      <c r="G48" s="136">
        <f t="shared" si="14"/>
        <v>0</v>
      </c>
      <c r="H48" s="136">
        <f t="shared" si="14"/>
        <v>0</v>
      </c>
      <c r="I48" s="136">
        <f t="shared" si="14"/>
        <v>0</v>
      </c>
      <c r="J48" s="136">
        <f t="shared" si="14"/>
        <v>40</v>
      </c>
      <c r="K48" s="136">
        <f t="shared" si="14"/>
        <v>0</v>
      </c>
      <c r="L48" s="136">
        <f t="shared" si="14"/>
        <v>0</v>
      </c>
      <c r="M48" s="136">
        <f t="shared" si="14"/>
        <v>40</v>
      </c>
      <c r="N48" s="136">
        <f t="shared" si="14"/>
        <v>0</v>
      </c>
      <c r="O48" s="189">
        <f t="shared" si="14"/>
        <v>0</v>
      </c>
      <c r="P48" s="136">
        <f t="shared" si="14"/>
        <v>0</v>
      </c>
      <c r="Q48" s="136">
        <f t="shared" si="14"/>
        <v>0</v>
      </c>
      <c r="R48" s="136">
        <f t="shared" si="14"/>
        <v>80</v>
      </c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</row>
    <row r="49" spans="3:31" ht="14.25" customHeight="1">
      <c r="C49" s="38" t="s">
        <v>17</v>
      </c>
      <c r="D49" s="109">
        <f t="shared" ref="D49:R49" si="15">D28*40</f>
        <v>0</v>
      </c>
      <c r="E49" s="109">
        <f t="shared" si="15"/>
        <v>0</v>
      </c>
      <c r="F49" s="109">
        <f t="shared" si="15"/>
        <v>0</v>
      </c>
      <c r="G49" s="109">
        <f t="shared" si="15"/>
        <v>0</v>
      </c>
      <c r="H49" s="109">
        <f t="shared" si="15"/>
        <v>400</v>
      </c>
      <c r="I49" s="109">
        <f t="shared" si="15"/>
        <v>0</v>
      </c>
      <c r="J49" s="109">
        <f t="shared" si="15"/>
        <v>560</v>
      </c>
      <c r="K49" s="109">
        <f t="shared" si="15"/>
        <v>1600</v>
      </c>
      <c r="L49" s="109">
        <f t="shared" si="15"/>
        <v>320</v>
      </c>
      <c r="M49" s="109">
        <f t="shared" si="15"/>
        <v>1800</v>
      </c>
      <c r="N49" s="109">
        <f t="shared" si="15"/>
        <v>80</v>
      </c>
      <c r="O49" s="188">
        <f t="shared" si="15"/>
        <v>720</v>
      </c>
      <c r="P49" s="109">
        <f t="shared" si="15"/>
        <v>1120</v>
      </c>
      <c r="Q49" s="109">
        <f t="shared" si="15"/>
        <v>1160</v>
      </c>
      <c r="R49" s="109">
        <f t="shared" si="15"/>
        <v>2040</v>
      </c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3:31" ht="14.25" customHeight="1">
      <c r="C50" s="24" t="s">
        <v>19</v>
      </c>
      <c r="D50" s="136">
        <f t="shared" ref="D50:R50" si="16">D29*40</f>
        <v>0</v>
      </c>
      <c r="E50" s="136">
        <f t="shared" si="16"/>
        <v>0</v>
      </c>
      <c r="F50" s="136">
        <f t="shared" si="16"/>
        <v>0</v>
      </c>
      <c r="G50" s="136">
        <f t="shared" si="16"/>
        <v>0</v>
      </c>
      <c r="H50" s="136">
        <f t="shared" si="16"/>
        <v>0</v>
      </c>
      <c r="I50" s="136">
        <f t="shared" si="16"/>
        <v>0</v>
      </c>
      <c r="J50" s="136">
        <f t="shared" si="16"/>
        <v>120</v>
      </c>
      <c r="K50" s="136">
        <f t="shared" si="16"/>
        <v>280</v>
      </c>
      <c r="L50" s="136">
        <f t="shared" si="16"/>
        <v>120</v>
      </c>
      <c r="M50" s="136">
        <f t="shared" si="16"/>
        <v>680</v>
      </c>
      <c r="N50" s="136">
        <f t="shared" si="16"/>
        <v>240</v>
      </c>
      <c r="O50" s="189">
        <f t="shared" si="16"/>
        <v>2680</v>
      </c>
      <c r="P50" s="136">
        <f t="shared" si="16"/>
        <v>80</v>
      </c>
      <c r="Q50" s="136">
        <f t="shared" si="16"/>
        <v>1160</v>
      </c>
      <c r="R50" s="136">
        <f t="shared" si="16"/>
        <v>800</v>
      </c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</row>
    <row r="51" spans="3:31" ht="14.25" customHeight="1">
      <c r="C51" s="38" t="s">
        <v>21</v>
      </c>
      <c r="D51" s="109">
        <f t="shared" ref="D51:R51" si="17">D30*40</f>
        <v>0</v>
      </c>
      <c r="E51" s="109">
        <f t="shared" si="17"/>
        <v>0</v>
      </c>
      <c r="F51" s="109">
        <f t="shared" si="17"/>
        <v>0</v>
      </c>
      <c r="G51" s="109">
        <f t="shared" si="17"/>
        <v>0</v>
      </c>
      <c r="H51" s="109">
        <f t="shared" si="17"/>
        <v>0</v>
      </c>
      <c r="I51" s="109">
        <f t="shared" si="17"/>
        <v>0</v>
      </c>
      <c r="J51" s="109">
        <f t="shared" si="17"/>
        <v>0</v>
      </c>
      <c r="K51" s="109">
        <f t="shared" si="17"/>
        <v>0</v>
      </c>
      <c r="L51" s="109">
        <f t="shared" si="17"/>
        <v>0</v>
      </c>
      <c r="M51" s="109">
        <f t="shared" si="17"/>
        <v>0</v>
      </c>
      <c r="N51" s="109">
        <f t="shared" si="17"/>
        <v>0</v>
      </c>
      <c r="O51" s="188">
        <f t="shared" si="17"/>
        <v>0</v>
      </c>
      <c r="P51" s="109">
        <f t="shared" si="17"/>
        <v>320</v>
      </c>
      <c r="Q51" s="109">
        <f t="shared" si="17"/>
        <v>120</v>
      </c>
      <c r="R51" s="109">
        <f t="shared" si="17"/>
        <v>40</v>
      </c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</row>
    <row r="52" spans="3:31" ht="14.25" customHeight="1">
      <c r="C52" s="24" t="s">
        <v>23</v>
      </c>
      <c r="D52" s="136">
        <f t="shared" ref="D52:R52" si="18">D31*40</f>
        <v>0</v>
      </c>
      <c r="E52" s="136">
        <f t="shared" si="18"/>
        <v>0</v>
      </c>
      <c r="F52" s="136">
        <f t="shared" si="18"/>
        <v>0</v>
      </c>
      <c r="G52" s="136">
        <f t="shared" si="18"/>
        <v>0</v>
      </c>
      <c r="H52" s="136">
        <f t="shared" si="18"/>
        <v>40</v>
      </c>
      <c r="I52" s="136">
        <f t="shared" si="18"/>
        <v>0</v>
      </c>
      <c r="J52" s="136">
        <f t="shared" si="18"/>
        <v>0</v>
      </c>
      <c r="K52" s="136">
        <f t="shared" si="18"/>
        <v>0</v>
      </c>
      <c r="L52" s="136">
        <f t="shared" si="18"/>
        <v>0</v>
      </c>
      <c r="M52" s="136">
        <f t="shared" si="18"/>
        <v>80</v>
      </c>
      <c r="N52" s="136">
        <f t="shared" si="18"/>
        <v>0</v>
      </c>
      <c r="O52" s="189">
        <f t="shared" si="18"/>
        <v>120</v>
      </c>
      <c r="P52" s="136">
        <f t="shared" si="18"/>
        <v>0</v>
      </c>
      <c r="Q52" s="136">
        <f t="shared" si="18"/>
        <v>80</v>
      </c>
      <c r="R52" s="136">
        <f t="shared" si="18"/>
        <v>0</v>
      </c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</row>
    <row r="53" spans="3:31" ht="14.25" customHeight="1">
      <c r="C53" s="43" t="s">
        <v>25</v>
      </c>
      <c r="D53" s="109">
        <f t="shared" ref="D53:R53" si="19">D32*40</f>
        <v>0</v>
      </c>
      <c r="E53" s="109">
        <f t="shared" si="19"/>
        <v>0</v>
      </c>
      <c r="F53" s="109">
        <f t="shared" si="19"/>
        <v>0</v>
      </c>
      <c r="G53" s="109">
        <f t="shared" si="19"/>
        <v>0</v>
      </c>
      <c r="H53" s="109">
        <f t="shared" si="19"/>
        <v>440</v>
      </c>
      <c r="I53" s="109">
        <f t="shared" si="19"/>
        <v>0</v>
      </c>
      <c r="J53" s="109">
        <f t="shared" si="19"/>
        <v>800</v>
      </c>
      <c r="K53" s="109">
        <f t="shared" si="19"/>
        <v>2000</v>
      </c>
      <c r="L53" s="109">
        <f t="shared" si="19"/>
        <v>520</v>
      </c>
      <c r="M53" s="109">
        <f t="shared" si="19"/>
        <v>2680</v>
      </c>
      <c r="N53" s="109">
        <f t="shared" si="19"/>
        <v>320</v>
      </c>
      <c r="O53" s="188">
        <f t="shared" si="19"/>
        <v>3680</v>
      </c>
      <c r="P53" s="109">
        <f t="shared" si="19"/>
        <v>1520</v>
      </c>
      <c r="Q53" s="109">
        <f t="shared" si="19"/>
        <v>2640</v>
      </c>
      <c r="R53" s="109">
        <f t="shared" si="19"/>
        <v>3160</v>
      </c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</row>
    <row r="54" spans="3:31" ht="14.25" customHeight="1"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82"/>
      <c r="P54" s="100"/>
      <c r="Q54" s="100"/>
      <c r="R54" s="100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</row>
    <row r="55" spans="3:31" ht="14.25" customHeight="1"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183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</row>
    <row r="56" spans="3:31" ht="14.25" customHeight="1">
      <c r="C56" s="67" t="s">
        <v>90</v>
      </c>
      <c r="D56" s="56"/>
      <c r="E56" s="56"/>
      <c r="F56" s="56"/>
      <c r="G56" s="56"/>
      <c r="H56" s="56"/>
      <c r="I56" s="56"/>
      <c r="J56" s="56"/>
      <c r="K56" s="238">
        <f>SUM(K47:N47)</f>
        <v>0</v>
      </c>
      <c r="L56" s="222"/>
      <c r="M56" s="222"/>
      <c r="N56" s="223"/>
      <c r="O56" s="183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</row>
    <row r="57" spans="3:31" ht="14.25" customHeight="1"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183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</row>
    <row r="58" spans="3:31" ht="14.25" customHeight="1"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183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</row>
    <row r="59" spans="3:31" ht="14.25" customHeight="1"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183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</row>
    <row r="60" spans="3:31" ht="14.25" customHeight="1"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183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</row>
    <row r="61" spans="3:31" ht="14.25" customHeight="1"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183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</row>
    <row r="62" spans="3:31" ht="14.25" customHeight="1"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183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3:31" ht="14.25" customHeight="1"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183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</row>
    <row r="64" spans="3:31" ht="14.25" customHeight="1"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183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</row>
    <row r="65" spans="4:31" ht="14.25" customHeight="1"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183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</row>
    <row r="66" spans="4:31" ht="14.25" customHeight="1"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183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</row>
    <row r="67" spans="4:31" ht="14.25" customHeight="1"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183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</row>
    <row r="68" spans="4:31" ht="14.25" customHeight="1"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183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</row>
    <row r="69" spans="4:31" ht="14.25" customHeight="1"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183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</row>
    <row r="70" spans="4:31" ht="14.25" customHeight="1"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183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</row>
    <row r="71" spans="4:31" ht="14.25" customHeight="1"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183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</row>
    <row r="72" spans="4:31" ht="14.25" customHeight="1"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183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</row>
    <row r="73" spans="4:31" ht="14.25" customHeight="1"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183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</row>
    <row r="74" spans="4:31" ht="14.25" customHeight="1"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183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</row>
    <row r="75" spans="4:31" ht="14.25" customHeight="1"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183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4:31" ht="14.25" customHeight="1"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183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</row>
    <row r="77" spans="4:31" ht="14.25" customHeight="1"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183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</row>
    <row r="78" spans="4:31" ht="14.25" customHeight="1"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183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</row>
    <row r="79" spans="4:31" ht="14.25" customHeight="1"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183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</row>
    <row r="80" spans="4:31" ht="14.25" customHeight="1"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183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</row>
    <row r="81" spans="4:31" ht="14.25" customHeight="1"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183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</row>
    <row r="82" spans="4:31" ht="14.25" customHeight="1"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183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</row>
    <row r="83" spans="4:31" ht="14.25" customHeight="1"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183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</row>
    <row r="84" spans="4:31" ht="14.25" customHeight="1"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183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4:31" ht="14.25" customHeight="1"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183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</row>
    <row r="86" spans="4:31" ht="14.25" customHeight="1"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183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</row>
    <row r="87" spans="4:31" ht="14.25" customHeight="1"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183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</row>
    <row r="88" spans="4:31" ht="14.25" customHeight="1"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183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</row>
    <row r="89" spans="4:31" ht="14.25" customHeight="1"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183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</row>
    <row r="90" spans="4:31" ht="14.25" customHeight="1"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183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</row>
    <row r="91" spans="4:31" ht="14.25" customHeight="1"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183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</row>
    <row r="92" spans="4:31" ht="14.25" customHeight="1"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183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</row>
    <row r="93" spans="4:31" ht="14.25" customHeight="1"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183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</row>
    <row r="94" spans="4:31" ht="14.25" customHeight="1"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183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</row>
    <row r="95" spans="4:31" ht="14.25" customHeight="1"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183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</row>
    <row r="96" spans="4:31" ht="14.25" customHeight="1"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183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</row>
    <row r="97" spans="4:31" ht="14.25" customHeight="1"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183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</row>
    <row r="98" spans="4:31" ht="14.25" customHeight="1"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183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</row>
    <row r="99" spans="4:31" ht="14.25" customHeight="1"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183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</row>
    <row r="100" spans="4:31" ht="14.25" customHeight="1"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183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</row>
    <row r="101" spans="4:31" ht="14.25" customHeight="1"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183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</row>
    <row r="102" spans="4:31" ht="14.25" customHeight="1"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183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</row>
    <row r="103" spans="4:31" ht="14.25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183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</row>
    <row r="104" spans="4:31" ht="14.25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183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</row>
    <row r="105" spans="4:31" ht="14.25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183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</row>
    <row r="106" spans="4:31" ht="14.25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183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</row>
    <row r="107" spans="4:31" ht="14.25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183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</row>
    <row r="108" spans="4:31" ht="14.25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183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</row>
    <row r="109" spans="4:31" ht="14.25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183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</row>
    <row r="110" spans="4:31" ht="14.25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183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</row>
    <row r="111" spans="4:31" ht="14.25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183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</row>
    <row r="112" spans="4:31" ht="14.25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183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</row>
    <row r="113" spans="4:15" ht="14.25" customHeight="1">
      <c r="D113" s="61"/>
      <c r="E113" s="62"/>
      <c r="F113" s="63"/>
      <c r="G113" s="64"/>
      <c r="O113" s="190"/>
    </row>
    <row r="114" spans="4:15" ht="14.25" customHeight="1">
      <c r="D114" s="61"/>
      <c r="E114" s="62"/>
      <c r="F114" s="63"/>
      <c r="G114" s="64"/>
      <c r="O114" s="190"/>
    </row>
    <row r="115" spans="4:15" ht="14.25" customHeight="1">
      <c r="D115" s="61"/>
      <c r="E115" s="62"/>
      <c r="F115" s="63"/>
      <c r="G115" s="64"/>
      <c r="O115" s="190"/>
    </row>
    <row r="116" spans="4:15" ht="14.25" customHeight="1">
      <c r="D116" s="61"/>
      <c r="E116" s="62"/>
      <c r="F116" s="63"/>
      <c r="G116" s="64"/>
      <c r="O116" s="190"/>
    </row>
    <row r="117" spans="4:15" ht="14.25" customHeight="1">
      <c r="D117" s="61"/>
      <c r="E117" s="62"/>
      <c r="F117" s="63"/>
      <c r="G117" s="64"/>
      <c r="O117" s="190"/>
    </row>
    <row r="118" spans="4:15" ht="14.25" customHeight="1">
      <c r="D118" s="61"/>
      <c r="E118" s="62"/>
      <c r="F118" s="63"/>
      <c r="G118" s="64"/>
      <c r="O118" s="190"/>
    </row>
    <row r="119" spans="4:15" ht="14.25" customHeight="1">
      <c r="D119" s="61"/>
      <c r="E119" s="62"/>
      <c r="F119" s="63"/>
      <c r="G119" s="64"/>
      <c r="O119" s="190"/>
    </row>
    <row r="120" spans="4:15" ht="14.25" customHeight="1">
      <c r="D120" s="61"/>
      <c r="E120" s="62"/>
      <c r="F120" s="63"/>
      <c r="G120" s="64"/>
      <c r="O120" s="190"/>
    </row>
    <row r="121" spans="4:15" ht="14.25" customHeight="1">
      <c r="D121" s="61"/>
      <c r="E121" s="62"/>
      <c r="F121" s="63"/>
      <c r="G121" s="64"/>
      <c r="O121" s="190"/>
    </row>
    <row r="122" spans="4:15" ht="14.25" customHeight="1">
      <c r="D122" s="61"/>
      <c r="E122" s="62"/>
      <c r="F122" s="63"/>
      <c r="G122" s="64"/>
      <c r="O122" s="190"/>
    </row>
    <row r="123" spans="4:15" ht="14.25" customHeight="1">
      <c r="D123" s="61"/>
      <c r="E123" s="62"/>
      <c r="F123" s="63"/>
      <c r="G123" s="64"/>
      <c r="O123" s="190"/>
    </row>
    <row r="124" spans="4:15" ht="14.25" customHeight="1">
      <c r="D124" s="61"/>
      <c r="E124" s="62"/>
      <c r="F124" s="63"/>
      <c r="G124" s="64"/>
      <c r="O124" s="190"/>
    </row>
    <row r="125" spans="4:15" ht="14.25" customHeight="1">
      <c r="D125" s="61"/>
      <c r="E125" s="62"/>
      <c r="F125" s="63"/>
      <c r="G125" s="64"/>
      <c r="O125" s="190"/>
    </row>
    <row r="126" spans="4:15" ht="14.25" customHeight="1">
      <c r="D126" s="61"/>
      <c r="E126" s="62"/>
      <c r="F126" s="63"/>
      <c r="G126" s="64"/>
      <c r="O126" s="190"/>
    </row>
    <row r="127" spans="4:15" ht="14.25" customHeight="1">
      <c r="D127" s="61"/>
      <c r="E127" s="62"/>
      <c r="F127" s="63"/>
      <c r="G127" s="64"/>
      <c r="O127" s="190"/>
    </row>
    <row r="128" spans="4:15" ht="14.25" customHeight="1">
      <c r="D128" s="61"/>
      <c r="E128" s="62"/>
      <c r="F128" s="63"/>
      <c r="G128" s="64"/>
      <c r="O128" s="190"/>
    </row>
    <row r="129" spans="4:15" ht="14.25" customHeight="1">
      <c r="D129" s="61"/>
      <c r="E129" s="62"/>
      <c r="F129" s="63"/>
      <c r="G129" s="64"/>
      <c r="O129" s="190"/>
    </row>
    <row r="130" spans="4:15" ht="14.25" customHeight="1">
      <c r="D130" s="61"/>
      <c r="E130" s="62"/>
      <c r="F130" s="63"/>
      <c r="G130" s="64"/>
      <c r="O130" s="190"/>
    </row>
    <row r="131" spans="4:15" ht="14.25" customHeight="1">
      <c r="D131" s="61"/>
      <c r="E131" s="62"/>
      <c r="F131" s="63"/>
      <c r="G131" s="64"/>
      <c r="O131" s="190"/>
    </row>
    <row r="132" spans="4:15" ht="14.25" customHeight="1">
      <c r="D132" s="61"/>
      <c r="E132" s="62"/>
      <c r="F132" s="63"/>
      <c r="G132" s="64"/>
      <c r="O132" s="190"/>
    </row>
    <row r="133" spans="4:15" ht="14.25" customHeight="1">
      <c r="D133" s="61"/>
      <c r="E133" s="62"/>
      <c r="F133" s="63"/>
      <c r="G133" s="64"/>
      <c r="O133" s="190"/>
    </row>
    <row r="134" spans="4:15" ht="14.25" customHeight="1">
      <c r="D134" s="61"/>
      <c r="E134" s="62"/>
      <c r="F134" s="63"/>
      <c r="G134" s="64"/>
      <c r="O134" s="190"/>
    </row>
    <row r="135" spans="4:15" ht="14.25" customHeight="1">
      <c r="D135" s="61"/>
      <c r="E135" s="62"/>
      <c r="F135" s="63"/>
      <c r="G135" s="64"/>
      <c r="O135" s="190"/>
    </row>
    <row r="136" spans="4:15" ht="14.25" customHeight="1">
      <c r="D136" s="61"/>
      <c r="E136" s="62"/>
      <c r="F136" s="63"/>
      <c r="G136" s="64"/>
      <c r="O136" s="190"/>
    </row>
    <row r="137" spans="4:15" ht="14.25" customHeight="1">
      <c r="D137" s="61"/>
      <c r="E137" s="62"/>
      <c r="F137" s="63"/>
      <c r="G137" s="64"/>
      <c r="O137" s="190"/>
    </row>
    <row r="138" spans="4:15" ht="14.25" customHeight="1">
      <c r="D138" s="61"/>
      <c r="E138" s="62"/>
      <c r="F138" s="63"/>
      <c r="G138" s="64"/>
      <c r="O138" s="190"/>
    </row>
    <row r="139" spans="4:15" ht="14.25" customHeight="1">
      <c r="D139" s="61"/>
      <c r="E139" s="62"/>
      <c r="F139" s="63"/>
      <c r="G139" s="64"/>
      <c r="O139" s="190"/>
    </row>
    <row r="140" spans="4:15" ht="14.25" customHeight="1">
      <c r="D140" s="61"/>
      <c r="E140" s="62"/>
      <c r="F140" s="63"/>
      <c r="G140" s="64"/>
      <c r="O140" s="190"/>
    </row>
    <row r="141" spans="4:15" ht="14.25" customHeight="1">
      <c r="D141" s="61"/>
      <c r="E141" s="62"/>
      <c r="F141" s="63"/>
      <c r="G141" s="64"/>
      <c r="O141" s="190"/>
    </row>
    <row r="142" spans="4:15" ht="14.25" customHeight="1">
      <c r="D142" s="61"/>
      <c r="E142" s="62"/>
      <c r="F142" s="63"/>
      <c r="G142" s="64"/>
      <c r="O142" s="190"/>
    </row>
    <row r="143" spans="4:15" ht="14.25" customHeight="1">
      <c r="D143" s="61"/>
      <c r="E143" s="62"/>
      <c r="F143" s="63"/>
      <c r="G143" s="64"/>
      <c r="O143" s="190"/>
    </row>
    <row r="144" spans="4:15" ht="14.25" customHeight="1">
      <c r="D144" s="61"/>
      <c r="E144" s="62"/>
      <c r="F144" s="63"/>
      <c r="G144" s="64"/>
      <c r="O144" s="190"/>
    </row>
    <row r="145" spans="4:15" ht="14.25" customHeight="1">
      <c r="D145" s="61"/>
      <c r="E145" s="62"/>
      <c r="F145" s="63"/>
      <c r="G145" s="64"/>
      <c r="O145" s="190"/>
    </row>
    <row r="146" spans="4:15" ht="14.25" customHeight="1">
      <c r="D146" s="61"/>
      <c r="E146" s="62"/>
      <c r="F146" s="63"/>
      <c r="G146" s="64"/>
      <c r="O146" s="190"/>
    </row>
    <row r="147" spans="4:15" ht="14.25" customHeight="1">
      <c r="D147" s="61"/>
      <c r="E147" s="62"/>
      <c r="F147" s="63"/>
      <c r="G147" s="64"/>
      <c r="O147" s="190"/>
    </row>
    <row r="148" spans="4:15" ht="14.25" customHeight="1">
      <c r="D148" s="61"/>
      <c r="E148" s="62"/>
      <c r="F148" s="63"/>
      <c r="G148" s="64"/>
      <c r="O148" s="190"/>
    </row>
    <row r="149" spans="4:15" ht="14.25" customHeight="1">
      <c r="D149" s="61"/>
      <c r="E149" s="62"/>
      <c r="F149" s="63"/>
      <c r="G149" s="64"/>
      <c r="O149" s="190"/>
    </row>
    <row r="150" spans="4:15" ht="14.25" customHeight="1">
      <c r="D150" s="61"/>
      <c r="E150" s="62"/>
      <c r="F150" s="63"/>
      <c r="G150" s="64"/>
      <c r="O150" s="190"/>
    </row>
    <row r="151" spans="4:15" ht="14.25" customHeight="1">
      <c r="D151" s="61"/>
      <c r="E151" s="62"/>
      <c r="F151" s="63"/>
      <c r="G151" s="64"/>
      <c r="O151" s="190"/>
    </row>
    <row r="152" spans="4:15" ht="14.25" customHeight="1">
      <c r="D152" s="61"/>
      <c r="E152" s="62"/>
      <c r="F152" s="63"/>
      <c r="G152" s="64"/>
      <c r="O152" s="190"/>
    </row>
    <row r="153" spans="4:15" ht="14.25" customHeight="1">
      <c r="D153" s="61"/>
      <c r="E153" s="62"/>
      <c r="F153" s="63"/>
      <c r="G153" s="64"/>
      <c r="O153" s="190"/>
    </row>
    <row r="154" spans="4:15" ht="14.25" customHeight="1">
      <c r="D154" s="61"/>
      <c r="E154" s="62"/>
      <c r="F154" s="63"/>
      <c r="G154" s="64"/>
      <c r="O154" s="190"/>
    </row>
    <row r="155" spans="4:15" ht="14.25" customHeight="1">
      <c r="D155" s="61"/>
      <c r="E155" s="62"/>
      <c r="F155" s="63"/>
      <c r="G155" s="64"/>
      <c r="O155" s="190"/>
    </row>
    <row r="156" spans="4:15" ht="14.25" customHeight="1">
      <c r="D156" s="61"/>
      <c r="E156" s="62"/>
      <c r="F156" s="63"/>
      <c r="G156" s="64"/>
      <c r="O156" s="190"/>
    </row>
    <row r="157" spans="4:15" ht="14.25" customHeight="1">
      <c r="D157" s="61"/>
      <c r="E157" s="62"/>
      <c r="F157" s="63"/>
      <c r="G157" s="64"/>
      <c r="O157" s="190"/>
    </row>
    <row r="158" spans="4:15" ht="14.25" customHeight="1">
      <c r="D158" s="61"/>
      <c r="E158" s="62"/>
      <c r="F158" s="63"/>
      <c r="G158" s="64"/>
      <c r="O158" s="190"/>
    </row>
    <row r="159" spans="4:15" ht="14.25" customHeight="1">
      <c r="D159" s="61"/>
      <c r="E159" s="62"/>
      <c r="F159" s="63"/>
      <c r="G159" s="64"/>
      <c r="O159" s="190"/>
    </row>
    <row r="160" spans="4:15" ht="14.25" customHeight="1">
      <c r="D160" s="61"/>
      <c r="E160" s="62"/>
      <c r="F160" s="63"/>
      <c r="G160" s="64"/>
      <c r="O160" s="190"/>
    </row>
    <row r="161" spans="4:15" ht="14.25" customHeight="1">
      <c r="D161" s="61"/>
      <c r="E161" s="62"/>
      <c r="F161" s="63"/>
      <c r="G161" s="64"/>
      <c r="O161" s="190"/>
    </row>
    <row r="162" spans="4:15" ht="14.25" customHeight="1">
      <c r="D162" s="61"/>
      <c r="E162" s="62"/>
      <c r="F162" s="63"/>
      <c r="G162" s="64"/>
      <c r="O162" s="190"/>
    </row>
    <row r="163" spans="4:15" ht="14.25" customHeight="1">
      <c r="D163" s="61"/>
      <c r="E163" s="62"/>
      <c r="F163" s="63"/>
      <c r="G163" s="64"/>
      <c r="O163" s="190"/>
    </row>
    <row r="164" spans="4:15" ht="14.25" customHeight="1">
      <c r="D164" s="61"/>
      <c r="E164" s="62"/>
      <c r="F164" s="63"/>
      <c r="G164" s="64"/>
      <c r="O164" s="190"/>
    </row>
    <row r="165" spans="4:15" ht="14.25" customHeight="1">
      <c r="D165" s="61"/>
      <c r="E165" s="62"/>
      <c r="F165" s="63"/>
      <c r="G165" s="64"/>
      <c r="O165" s="190"/>
    </row>
    <row r="166" spans="4:15" ht="14.25" customHeight="1">
      <c r="D166" s="61"/>
      <c r="E166" s="62"/>
      <c r="F166" s="63"/>
      <c r="G166" s="64"/>
      <c r="O166" s="190"/>
    </row>
    <row r="167" spans="4:15" ht="14.25" customHeight="1">
      <c r="D167" s="61"/>
      <c r="E167" s="62"/>
      <c r="F167" s="63"/>
      <c r="G167" s="64"/>
      <c r="O167" s="190"/>
    </row>
    <row r="168" spans="4:15" ht="14.25" customHeight="1">
      <c r="D168" s="61"/>
      <c r="E168" s="62"/>
      <c r="F168" s="63"/>
      <c r="G168" s="64"/>
      <c r="O168" s="190"/>
    </row>
    <row r="169" spans="4:15" ht="14.25" customHeight="1">
      <c r="D169" s="61"/>
      <c r="E169" s="62"/>
      <c r="F169" s="63"/>
      <c r="G169" s="64"/>
      <c r="O169" s="190"/>
    </row>
    <row r="170" spans="4:15" ht="14.25" customHeight="1">
      <c r="D170" s="61"/>
      <c r="E170" s="62"/>
      <c r="F170" s="63"/>
      <c r="G170" s="64"/>
      <c r="O170" s="190"/>
    </row>
    <row r="171" spans="4:15" ht="14.25" customHeight="1">
      <c r="D171" s="61"/>
      <c r="E171" s="62"/>
      <c r="F171" s="63"/>
      <c r="G171" s="64"/>
      <c r="O171" s="190"/>
    </row>
    <row r="172" spans="4:15" ht="14.25" customHeight="1">
      <c r="D172" s="61"/>
      <c r="E172" s="62"/>
      <c r="F172" s="63"/>
      <c r="G172" s="64"/>
      <c r="O172" s="190"/>
    </row>
    <row r="173" spans="4:15" ht="14.25" customHeight="1">
      <c r="D173" s="61"/>
      <c r="E173" s="62"/>
      <c r="F173" s="63"/>
      <c r="G173" s="64"/>
      <c r="O173" s="190"/>
    </row>
    <row r="174" spans="4:15" ht="14.25" customHeight="1">
      <c r="D174" s="61"/>
      <c r="E174" s="62"/>
      <c r="F174" s="63"/>
      <c r="G174" s="64"/>
      <c r="O174" s="190"/>
    </row>
    <row r="175" spans="4:15" ht="14.25" customHeight="1">
      <c r="D175" s="61"/>
      <c r="E175" s="62"/>
      <c r="F175" s="63"/>
      <c r="G175" s="64"/>
      <c r="O175" s="190"/>
    </row>
    <row r="176" spans="4:15" ht="14.25" customHeight="1">
      <c r="D176" s="61"/>
      <c r="E176" s="62"/>
      <c r="F176" s="63"/>
      <c r="G176" s="64"/>
      <c r="O176" s="190"/>
    </row>
    <row r="177" spans="4:15" ht="14.25" customHeight="1">
      <c r="D177" s="61"/>
      <c r="E177" s="62"/>
      <c r="F177" s="63"/>
      <c r="G177" s="64"/>
      <c r="O177" s="190"/>
    </row>
    <row r="178" spans="4:15" ht="14.25" customHeight="1">
      <c r="D178" s="61"/>
      <c r="E178" s="62"/>
      <c r="F178" s="63"/>
      <c r="G178" s="64"/>
      <c r="O178" s="190"/>
    </row>
    <row r="179" spans="4:15" ht="14.25" customHeight="1">
      <c r="D179" s="61"/>
      <c r="E179" s="62"/>
      <c r="F179" s="63"/>
      <c r="G179" s="64"/>
      <c r="O179" s="190"/>
    </row>
    <row r="180" spans="4:15" ht="14.25" customHeight="1">
      <c r="D180" s="61"/>
      <c r="E180" s="62"/>
      <c r="F180" s="63"/>
      <c r="G180" s="64"/>
      <c r="O180" s="190"/>
    </row>
    <row r="181" spans="4:15" ht="14.25" customHeight="1">
      <c r="D181" s="61"/>
      <c r="E181" s="62"/>
      <c r="F181" s="63"/>
      <c r="G181" s="64"/>
      <c r="O181" s="190"/>
    </row>
    <row r="182" spans="4:15" ht="14.25" customHeight="1">
      <c r="D182" s="61"/>
      <c r="E182" s="62"/>
      <c r="F182" s="63"/>
      <c r="G182" s="64"/>
      <c r="O182" s="190"/>
    </row>
    <row r="183" spans="4:15" ht="14.25" customHeight="1">
      <c r="D183" s="61"/>
      <c r="E183" s="62"/>
      <c r="F183" s="63"/>
      <c r="G183" s="64"/>
      <c r="O183" s="190"/>
    </row>
    <row r="184" spans="4:15" ht="14.25" customHeight="1">
      <c r="D184" s="61"/>
      <c r="E184" s="62"/>
      <c r="F184" s="63"/>
      <c r="G184" s="64"/>
      <c r="O184" s="190"/>
    </row>
    <row r="185" spans="4:15" ht="14.25" customHeight="1">
      <c r="D185" s="61"/>
      <c r="E185" s="62"/>
      <c r="F185" s="63"/>
      <c r="G185" s="64"/>
      <c r="O185" s="190"/>
    </row>
    <row r="186" spans="4:15" ht="14.25" customHeight="1">
      <c r="D186" s="61"/>
      <c r="E186" s="62"/>
      <c r="F186" s="63"/>
      <c r="G186" s="64"/>
      <c r="O186" s="190"/>
    </row>
    <row r="187" spans="4:15" ht="14.25" customHeight="1">
      <c r="D187" s="61"/>
      <c r="E187" s="62"/>
      <c r="F187" s="63"/>
      <c r="G187" s="64"/>
      <c r="O187" s="190"/>
    </row>
    <row r="188" spans="4:15" ht="14.25" customHeight="1">
      <c r="D188" s="61"/>
      <c r="E188" s="62"/>
      <c r="F188" s="63"/>
      <c r="G188" s="64"/>
      <c r="O188" s="190"/>
    </row>
    <row r="189" spans="4:15" ht="14.25" customHeight="1">
      <c r="D189" s="61"/>
      <c r="E189" s="62"/>
      <c r="F189" s="63"/>
      <c r="G189" s="64"/>
      <c r="O189" s="190"/>
    </row>
    <row r="190" spans="4:15" ht="14.25" customHeight="1">
      <c r="D190" s="61"/>
      <c r="E190" s="62"/>
      <c r="F190" s="63"/>
      <c r="G190" s="64"/>
      <c r="O190" s="190"/>
    </row>
    <row r="191" spans="4:15" ht="14.25" customHeight="1">
      <c r="D191" s="61"/>
      <c r="E191" s="62"/>
      <c r="F191" s="63"/>
      <c r="G191" s="64"/>
      <c r="O191" s="190"/>
    </row>
    <row r="192" spans="4:15" ht="14.25" customHeight="1">
      <c r="D192" s="61"/>
      <c r="E192" s="62"/>
      <c r="F192" s="63"/>
      <c r="G192" s="64"/>
      <c r="O192" s="190"/>
    </row>
    <row r="193" spans="4:15" ht="14.25" customHeight="1">
      <c r="D193" s="61"/>
      <c r="E193" s="62"/>
      <c r="F193" s="63"/>
      <c r="G193" s="64"/>
      <c r="O193" s="190"/>
    </row>
    <row r="194" spans="4:15" ht="14.25" customHeight="1">
      <c r="D194" s="61"/>
      <c r="E194" s="62"/>
      <c r="F194" s="63"/>
      <c r="G194" s="64"/>
      <c r="O194" s="190"/>
    </row>
    <row r="195" spans="4:15" ht="14.25" customHeight="1">
      <c r="D195" s="61"/>
      <c r="E195" s="62"/>
      <c r="F195" s="63"/>
      <c r="G195" s="64"/>
      <c r="O195" s="190"/>
    </row>
    <row r="196" spans="4:15" ht="14.25" customHeight="1">
      <c r="D196" s="61"/>
      <c r="E196" s="62"/>
      <c r="F196" s="63"/>
      <c r="G196" s="64"/>
      <c r="O196" s="190"/>
    </row>
    <row r="197" spans="4:15" ht="14.25" customHeight="1">
      <c r="D197" s="61"/>
      <c r="E197" s="62"/>
      <c r="F197" s="63"/>
      <c r="G197" s="64"/>
      <c r="O197" s="190"/>
    </row>
    <row r="198" spans="4:15" ht="14.25" customHeight="1">
      <c r="D198" s="61"/>
      <c r="E198" s="62"/>
      <c r="F198" s="63"/>
      <c r="G198" s="64"/>
      <c r="O198" s="190"/>
    </row>
    <row r="199" spans="4:15" ht="14.25" customHeight="1">
      <c r="D199" s="61"/>
      <c r="E199" s="62"/>
      <c r="F199" s="63"/>
      <c r="G199" s="64"/>
      <c r="O199" s="190"/>
    </row>
    <row r="200" spans="4:15" ht="14.25" customHeight="1">
      <c r="D200" s="61"/>
      <c r="E200" s="62"/>
      <c r="F200" s="63"/>
      <c r="G200" s="64"/>
      <c r="O200" s="190"/>
    </row>
    <row r="201" spans="4:15" ht="14.25" customHeight="1">
      <c r="D201" s="61"/>
      <c r="E201" s="62"/>
      <c r="F201" s="63"/>
      <c r="G201" s="64"/>
      <c r="O201" s="190"/>
    </row>
    <row r="202" spans="4:15" ht="14.25" customHeight="1">
      <c r="D202" s="61"/>
      <c r="E202" s="62"/>
      <c r="F202" s="63"/>
      <c r="G202" s="64"/>
      <c r="O202" s="190"/>
    </row>
    <row r="203" spans="4:15" ht="14.25" customHeight="1">
      <c r="D203" s="61"/>
      <c r="E203" s="62"/>
      <c r="F203" s="63"/>
      <c r="G203" s="64"/>
      <c r="O203" s="190"/>
    </row>
    <row r="204" spans="4:15" ht="14.25" customHeight="1">
      <c r="D204" s="61"/>
      <c r="E204" s="62"/>
      <c r="F204" s="63"/>
      <c r="G204" s="64"/>
      <c r="O204" s="190"/>
    </row>
    <row r="205" spans="4:15" ht="14.25" customHeight="1">
      <c r="D205" s="61"/>
      <c r="E205" s="62"/>
      <c r="F205" s="63"/>
      <c r="G205" s="64"/>
      <c r="O205" s="190"/>
    </row>
    <row r="206" spans="4:15" ht="14.25" customHeight="1">
      <c r="D206" s="61"/>
      <c r="E206" s="62"/>
      <c r="F206" s="63"/>
      <c r="G206" s="64"/>
      <c r="O206" s="190"/>
    </row>
    <row r="207" spans="4:15" ht="14.25" customHeight="1">
      <c r="D207" s="61"/>
      <c r="E207" s="62"/>
      <c r="F207" s="63"/>
      <c r="G207" s="64"/>
      <c r="O207" s="190"/>
    </row>
    <row r="208" spans="4:15" ht="14.25" customHeight="1">
      <c r="D208" s="61"/>
      <c r="E208" s="62"/>
      <c r="F208" s="63"/>
      <c r="G208" s="64"/>
      <c r="O208" s="190"/>
    </row>
    <row r="209" spans="4:15" ht="14.25" customHeight="1">
      <c r="D209" s="61"/>
      <c r="E209" s="62"/>
      <c r="F209" s="63"/>
      <c r="G209" s="64"/>
      <c r="O209" s="190"/>
    </row>
    <row r="210" spans="4:15" ht="14.25" customHeight="1">
      <c r="D210" s="61"/>
      <c r="E210" s="62"/>
      <c r="F210" s="63"/>
      <c r="G210" s="64"/>
      <c r="O210" s="190"/>
    </row>
    <row r="211" spans="4:15" ht="14.25" customHeight="1">
      <c r="D211" s="61"/>
      <c r="E211" s="62"/>
      <c r="F211" s="63"/>
      <c r="G211" s="64"/>
      <c r="O211" s="190"/>
    </row>
    <row r="212" spans="4:15" ht="14.25" customHeight="1">
      <c r="D212" s="61"/>
      <c r="E212" s="62"/>
      <c r="F212" s="63"/>
      <c r="G212" s="64"/>
      <c r="O212" s="190"/>
    </row>
    <row r="213" spans="4:15" ht="14.25" customHeight="1">
      <c r="D213" s="61"/>
      <c r="E213" s="62"/>
      <c r="F213" s="63"/>
      <c r="G213" s="64"/>
      <c r="O213" s="190"/>
    </row>
    <row r="214" spans="4:15" ht="14.25" customHeight="1">
      <c r="D214" s="61"/>
      <c r="E214" s="62"/>
      <c r="F214" s="63"/>
      <c r="G214" s="64"/>
      <c r="O214" s="190"/>
    </row>
    <row r="215" spans="4:15" ht="14.25" customHeight="1">
      <c r="D215" s="61"/>
      <c r="E215" s="62"/>
      <c r="F215" s="63"/>
      <c r="G215" s="64"/>
      <c r="O215" s="190"/>
    </row>
    <row r="216" spans="4:15" ht="14.25" customHeight="1">
      <c r="D216" s="61"/>
      <c r="E216" s="62"/>
      <c r="F216" s="63"/>
      <c r="G216" s="64"/>
      <c r="O216" s="190"/>
    </row>
    <row r="217" spans="4:15" ht="14.25" customHeight="1">
      <c r="D217" s="61"/>
      <c r="E217" s="62"/>
      <c r="F217" s="63"/>
      <c r="G217" s="64"/>
      <c r="O217" s="190"/>
    </row>
    <row r="218" spans="4:15" ht="14.25" customHeight="1">
      <c r="D218" s="61"/>
      <c r="E218" s="62"/>
      <c r="F218" s="63"/>
      <c r="G218" s="64"/>
      <c r="O218" s="190"/>
    </row>
    <row r="219" spans="4:15" ht="14.25" customHeight="1">
      <c r="D219" s="61"/>
      <c r="E219" s="62"/>
      <c r="F219" s="63"/>
      <c r="G219" s="64"/>
      <c r="O219" s="190"/>
    </row>
    <row r="220" spans="4:15" ht="14.25" customHeight="1">
      <c r="D220" s="61"/>
      <c r="E220" s="62"/>
      <c r="F220" s="63"/>
      <c r="G220" s="64"/>
      <c r="O220" s="190"/>
    </row>
    <row r="221" spans="4:15" ht="14.25" customHeight="1">
      <c r="D221" s="61"/>
      <c r="E221" s="62"/>
      <c r="F221" s="63"/>
      <c r="G221" s="64"/>
      <c r="O221" s="190"/>
    </row>
    <row r="222" spans="4:15" ht="14.25" customHeight="1">
      <c r="D222" s="61"/>
      <c r="E222" s="62"/>
      <c r="F222" s="63"/>
      <c r="G222" s="64"/>
      <c r="O222" s="190"/>
    </row>
    <row r="223" spans="4:15" ht="14.25" customHeight="1">
      <c r="D223" s="61"/>
      <c r="E223" s="62"/>
      <c r="F223" s="63"/>
      <c r="G223" s="64"/>
      <c r="O223" s="190"/>
    </row>
    <row r="224" spans="4:15" ht="14.25" customHeight="1">
      <c r="D224" s="61"/>
      <c r="E224" s="62"/>
      <c r="F224" s="63"/>
      <c r="G224" s="64"/>
      <c r="O224" s="190"/>
    </row>
    <row r="225" spans="4:15" ht="14.25" customHeight="1">
      <c r="D225" s="61"/>
      <c r="E225" s="62"/>
      <c r="F225" s="63"/>
      <c r="G225" s="64"/>
      <c r="O225" s="190"/>
    </row>
    <row r="226" spans="4:15" ht="14.25" customHeight="1">
      <c r="D226" s="61"/>
      <c r="E226" s="62"/>
      <c r="F226" s="63"/>
      <c r="G226" s="64"/>
      <c r="O226" s="190"/>
    </row>
    <row r="227" spans="4:15" ht="14.25" customHeight="1">
      <c r="D227" s="61"/>
      <c r="E227" s="62"/>
      <c r="F227" s="63"/>
      <c r="G227" s="64"/>
      <c r="O227" s="190"/>
    </row>
    <row r="228" spans="4:15" ht="14.25" customHeight="1">
      <c r="D228" s="61"/>
      <c r="E228" s="62"/>
      <c r="F228" s="63"/>
      <c r="G228" s="64"/>
      <c r="O228" s="190"/>
    </row>
    <row r="229" spans="4:15" ht="14.25" customHeight="1">
      <c r="D229" s="61"/>
      <c r="E229" s="62"/>
      <c r="F229" s="63"/>
      <c r="G229" s="64"/>
      <c r="O229" s="190"/>
    </row>
    <row r="230" spans="4:15" ht="14.25" customHeight="1">
      <c r="D230" s="61"/>
      <c r="E230" s="62"/>
      <c r="F230" s="63"/>
      <c r="G230" s="64"/>
      <c r="O230" s="190"/>
    </row>
    <row r="231" spans="4:15" ht="14.25" customHeight="1">
      <c r="D231" s="61"/>
      <c r="E231" s="62"/>
      <c r="F231" s="63"/>
      <c r="G231" s="64"/>
      <c r="O231" s="190"/>
    </row>
    <row r="232" spans="4:15" ht="14.25" customHeight="1">
      <c r="D232" s="61"/>
      <c r="E232" s="62"/>
      <c r="F232" s="63"/>
      <c r="G232" s="64"/>
      <c r="O232" s="190"/>
    </row>
    <row r="233" spans="4:15" ht="14.25" customHeight="1">
      <c r="D233" s="61"/>
      <c r="E233" s="62"/>
      <c r="F233" s="63"/>
      <c r="G233" s="64"/>
      <c r="O233" s="190"/>
    </row>
    <row r="234" spans="4:15" ht="14.25" customHeight="1">
      <c r="D234" s="61"/>
      <c r="E234" s="62"/>
      <c r="F234" s="63"/>
      <c r="G234" s="64"/>
      <c r="O234" s="190"/>
    </row>
    <row r="235" spans="4:15" ht="14.25" customHeight="1">
      <c r="D235" s="61"/>
      <c r="E235" s="62"/>
      <c r="F235" s="63"/>
      <c r="G235" s="64"/>
      <c r="O235" s="190"/>
    </row>
    <row r="236" spans="4:15" ht="14.25" customHeight="1">
      <c r="D236" s="61"/>
      <c r="E236" s="62"/>
      <c r="F236" s="63"/>
      <c r="G236" s="64"/>
      <c r="O236" s="190"/>
    </row>
    <row r="237" spans="4:15" ht="14.25" customHeight="1">
      <c r="D237" s="61"/>
      <c r="E237" s="62"/>
      <c r="F237" s="63"/>
      <c r="G237" s="64"/>
      <c r="O237" s="190"/>
    </row>
    <row r="238" spans="4:15" ht="14.25" customHeight="1">
      <c r="D238" s="61"/>
      <c r="E238" s="62"/>
      <c r="F238" s="63"/>
      <c r="G238" s="64"/>
      <c r="O238" s="190"/>
    </row>
    <row r="239" spans="4:15" ht="14.25" customHeight="1">
      <c r="D239" s="61"/>
      <c r="E239" s="62"/>
      <c r="F239" s="63"/>
      <c r="G239" s="64"/>
      <c r="O239" s="190"/>
    </row>
    <row r="240" spans="4:15" ht="14.25" customHeight="1">
      <c r="D240" s="61"/>
      <c r="E240" s="62"/>
      <c r="F240" s="63"/>
      <c r="G240" s="64"/>
      <c r="O240" s="190"/>
    </row>
    <row r="241" spans="4:15" ht="14.25" customHeight="1">
      <c r="D241" s="61"/>
      <c r="E241" s="62"/>
      <c r="F241" s="63"/>
      <c r="G241" s="64"/>
      <c r="O241" s="190"/>
    </row>
    <row r="242" spans="4:15" ht="14.25" customHeight="1">
      <c r="D242" s="61"/>
      <c r="E242" s="62"/>
      <c r="F242" s="63"/>
      <c r="G242" s="64"/>
      <c r="O242" s="190"/>
    </row>
    <row r="243" spans="4:15" ht="14.25" customHeight="1">
      <c r="D243" s="61"/>
      <c r="E243" s="62"/>
      <c r="F243" s="63"/>
      <c r="G243" s="64"/>
      <c r="O243" s="190"/>
    </row>
    <row r="244" spans="4:15" ht="14.25" customHeight="1">
      <c r="D244" s="61"/>
      <c r="E244" s="62"/>
      <c r="F244" s="63"/>
      <c r="G244" s="64"/>
      <c r="O244" s="190"/>
    </row>
    <row r="245" spans="4:15" ht="14.25" customHeight="1">
      <c r="D245" s="61"/>
      <c r="E245" s="62"/>
      <c r="F245" s="63"/>
      <c r="G245" s="64"/>
      <c r="O245" s="190"/>
    </row>
    <row r="246" spans="4:15" ht="14.25" customHeight="1">
      <c r="D246" s="61"/>
      <c r="E246" s="62"/>
      <c r="F246" s="63"/>
      <c r="G246" s="64"/>
      <c r="O246" s="190"/>
    </row>
    <row r="247" spans="4:15" ht="14.25" customHeight="1">
      <c r="D247" s="61"/>
      <c r="E247" s="62"/>
      <c r="F247" s="63"/>
      <c r="G247" s="64"/>
      <c r="O247" s="190"/>
    </row>
    <row r="248" spans="4:15" ht="14.25" customHeight="1">
      <c r="D248" s="61"/>
      <c r="E248" s="62"/>
      <c r="F248" s="63"/>
      <c r="G248" s="64"/>
      <c r="O248" s="190"/>
    </row>
    <row r="249" spans="4:15" ht="14.25" customHeight="1">
      <c r="D249" s="61"/>
      <c r="E249" s="62"/>
      <c r="F249" s="63"/>
      <c r="G249" s="64"/>
      <c r="O249" s="190"/>
    </row>
    <row r="250" spans="4:15" ht="14.25" customHeight="1">
      <c r="D250" s="61"/>
      <c r="E250" s="62"/>
      <c r="F250" s="63"/>
      <c r="G250" s="64"/>
      <c r="O250" s="190"/>
    </row>
    <row r="251" spans="4:15" ht="14.25" customHeight="1">
      <c r="D251" s="61"/>
      <c r="E251" s="62"/>
      <c r="F251" s="63"/>
      <c r="G251" s="64"/>
      <c r="O251" s="190"/>
    </row>
    <row r="252" spans="4:15" ht="14.25" customHeight="1">
      <c r="D252" s="61"/>
      <c r="E252" s="62"/>
      <c r="F252" s="63"/>
      <c r="G252" s="64"/>
      <c r="O252" s="190"/>
    </row>
    <row r="253" spans="4:15" ht="14.25" customHeight="1">
      <c r="D253" s="61"/>
      <c r="E253" s="62"/>
      <c r="F253" s="63"/>
      <c r="G253" s="64"/>
      <c r="O253" s="190"/>
    </row>
    <row r="254" spans="4:15" ht="14.25" customHeight="1">
      <c r="D254" s="61"/>
      <c r="E254" s="62"/>
      <c r="F254" s="63"/>
      <c r="G254" s="64"/>
      <c r="O254" s="190"/>
    </row>
    <row r="255" spans="4:15" ht="14.25" customHeight="1">
      <c r="D255" s="61"/>
      <c r="E255" s="62"/>
      <c r="F255" s="63"/>
      <c r="G255" s="64"/>
      <c r="O255" s="190"/>
    </row>
    <row r="256" spans="4:15" ht="14.25" customHeight="1">
      <c r="D256" s="61"/>
      <c r="E256" s="62"/>
      <c r="F256" s="63"/>
      <c r="G256" s="64"/>
      <c r="O256" s="190"/>
    </row>
    <row r="257" spans="4:15" ht="14.25" customHeight="1">
      <c r="D257" s="61"/>
      <c r="E257" s="62"/>
      <c r="F257" s="63"/>
      <c r="G257" s="64"/>
      <c r="O257" s="190"/>
    </row>
    <row r="258" spans="4:15" ht="14.25" customHeight="1">
      <c r="D258" s="61"/>
      <c r="E258" s="62"/>
      <c r="F258" s="63"/>
      <c r="G258" s="64"/>
      <c r="O258" s="190"/>
    </row>
    <row r="259" spans="4:15" ht="14.25" customHeight="1">
      <c r="D259" s="61"/>
      <c r="E259" s="62"/>
      <c r="F259" s="63"/>
      <c r="G259" s="64"/>
      <c r="O259" s="190"/>
    </row>
    <row r="260" spans="4:15" ht="14.25" customHeight="1">
      <c r="D260" s="61"/>
      <c r="E260" s="62"/>
      <c r="F260" s="63"/>
      <c r="G260" s="64"/>
      <c r="O260" s="190"/>
    </row>
    <row r="261" spans="4:15" ht="14.25" customHeight="1">
      <c r="D261" s="61"/>
      <c r="E261" s="62"/>
      <c r="F261" s="63"/>
      <c r="G261" s="64"/>
      <c r="O261" s="190"/>
    </row>
    <row r="262" spans="4:15" ht="14.25" customHeight="1">
      <c r="D262" s="61"/>
      <c r="E262" s="62"/>
      <c r="F262" s="63"/>
      <c r="G262" s="64"/>
      <c r="O262" s="190"/>
    </row>
    <row r="263" spans="4:15" ht="14.25" customHeight="1">
      <c r="D263" s="61"/>
      <c r="E263" s="62"/>
      <c r="F263" s="63"/>
      <c r="G263" s="64"/>
      <c r="O263" s="190"/>
    </row>
    <row r="264" spans="4:15" ht="14.25" customHeight="1">
      <c r="D264" s="61"/>
      <c r="E264" s="62"/>
      <c r="F264" s="63"/>
      <c r="G264" s="64"/>
      <c r="O264" s="190"/>
    </row>
    <row r="265" spans="4:15" ht="14.25" customHeight="1">
      <c r="D265" s="61"/>
      <c r="E265" s="62"/>
      <c r="F265" s="63"/>
      <c r="G265" s="64"/>
      <c r="O265" s="190"/>
    </row>
    <row r="266" spans="4:15" ht="14.25" customHeight="1">
      <c r="D266" s="61"/>
      <c r="E266" s="62"/>
      <c r="F266" s="63"/>
      <c r="G266" s="64"/>
      <c r="O266" s="190"/>
    </row>
    <row r="267" spans="4:15" ht="14.25" customHeight="1">
      <c r="D267" s="61"/>
      <c r="E267" s="62"/>
      <c r="F267" s="63"/>
      <c r="G267" s="64"/>
      <c r="O267" s="190"/>
    </row>
    <row r="268" spans="4:15" ht="14.25" customHeight="1">
      <c r="D268" s="61"/>
      <c r="E268" s="62"/>
      <c r="F268" s="63"/>
      <c r="G268" s="64"/>
      <c r="O268" s="190"/>
    </row>
    <row r="269" spans="4:15" ht="14.25" customHeight="1">
      <c r="D269" s="61"/>
      <c r="E269" s="62"/>
      <c r="F269" s="63"/>
      <c r="G269" s="64"/>
      <c r="O269" s="190"/>
    </row>
    <row r="270" spans="4:15" ht="14.25" customHeight="1">
      <c r="D270" s="61"/>
      <c r="E270" s="62"/>
      <c r="F270" s="63"/>
      <c r="G270" s="64"/>
      <c r="O270" s="190"/>
    </row>
    <row r="271" spans="4:15" ht="14.25" customHeight="1">
      <c r="D271" s="61"/>
      <c r="E271" s="62"/>
      <c r="F271" s="63"/>
      <c r="G271" s="64"/>
      <c r="O271" s="190"/>
    </row>
    <row r="272" spans="4:15" ht="14.25" customHeight="1">
      <c r="D272" s="61"/>
      <c r="E272" s="62"/>
      <c r="F272" s="63"/>
      <c r="G272" s="64"/>
      <c r="O272" s="190"/>
    </row>
    <row r="273" spans="4:15" ht="14.25" customHeight="1">
      <c r="D273" s="61"/>
      <c r="E273" s="62"/>
      <c r="F273" s="63"/>
      <c r="G273" s="64"/>
      <c r="O273" s="190"/>
    </row>
    <row r="274" spans="4:15" ht="14.25" customHeight="1">
      <c r="D274" s="61"/>
      <c r="E274" s="62"/>
      <c r="F274" s="63"/>
      <c r="G274" s="64"/>
      <c r="O274" s="190"/>
    </row>
    <row r="275" spans="4:15" ht="14.25" customHeight="1">
      <c r="D275" s="61"/>
      <c r="E275" s="62"/>
      <c r="F275" s="63"/>
      <c r="G275" s="64"/>
      <c r="O275" s="190"/>
    </row>
    <row r="276" spans="4:15" ht="14.25" customHeight="1">
      <c r="D276" s="61"/>
      <c r="E276" s="62"/>
      <c r="F276" s="63"/>
      <c r="G276" s="64"/>
      <c r="O276" s="190"/>
    </row>
    <row r="277" spans="4:15" ht="14.25" customHeight="1">
      <c r="D277" s="61"/>
      <c r="E277" s="62"/>
      <c r="F277" s="63"/>
      <c r="G277" s="64"/>
      <c r="O277" s="190"/>
    </row>
    <row r="278" spans="4:15" ht="14.25" customHeight="1">
      <c r="D278" s="61"/>
      <c r="E278" s="62"/>
      <c r="F278" s="63"/>
      <c r="G278" s="64"/>
      <c r="O278" s="190"/>
    </row>
    <row r="279" spans="4:15" ht="14.25" customHeight="1">
      <c r="D279" s="61"/>
      <c r="E279" s="62"/>
      <c r="F279" s="63"/>
      <c r="G279" s="64"/>
      <c r="O279" s="190"/>
    </row>
    <row r="280" spans="4:15" ht="14.25" customHeight="1">
      <c r="D280" s="61"/>
      <c r="E280" s="62"/>
      <c r="F280" s="63"/>
      <c r="G280" s="64"/>
      <c r="O280" s="190"/>
    </row>
    <row r="281" spans="4:15" ht="14.25" customHeight="1">
      <c r="D281" s="61"/>
      <c r="E281" s="62"/>
      <c r="F281" s="63"/>
      <c r="G281" s="64"/>
      <c r="O281" s="190"/>
    </row>
    <row r="282" spans="4:15" ht="14.25" customHeight="1">
      <c r="D282" s="61"/>
      <c r="E282" s="62"/>
      <c r="F282" s="63"/>
      <c r="G282" s="64"/>
      <c r="O282" s="190"/>
    </row>
    <row r="283" spans="4:15" ht="14.25" customHeight="1">
      <c r="D283" s="61"/>
      <c r="E283" s="62"/>
      <c r="F283" s="63"/>
      <c r="G283" s="64"/>
      <c r="O283" s="190"/>
    </row>
    <row r="284" spans="4:15" ht="14.25" customHeight="1">
      <c r="D284" s="61"/>
      <c r="E284" s="62"/>
      <c r="F284" s="63"/>
      <c r="G284" s="64"/>
      <c r="O284" s="190"/>
    </row>
    <row r="285" spans="4:15" ht="14.25" customHeight="1">
      <c r="D285" s="61"/>
      <c r="E285" s="62"/>
      <c r="F285" s="63"/>
      <c r="G285" s="64"/>
      <c r="O285" s="190"/>
    </row>
    <row r="286" spans="4:15" ht="14.25" customHeight="1">
      <c r="D286" s="61"/>
      <c r="E286" s="62"/>
      <c r="F286" s="63"/>
      <c r="G286" s="64"/>
      <c r="O286" s="190"/>
    </row>
    <row r="287" spans="4:15" ht="14.25" customHeight="1">
      <c r="D287" s="61"/>
      <c r="E287" s="62"/>
      <c r="F287" s="63"/>
      <c r="G287" s="64"/>
      <c r="O287" s="190"/>
    </row>
    <row r="288" spans="4:15" ht="14.25" customHeight="1">
      <c r="D288" s="61"/>
      <c r="E288" s="62"/>
      <c r="F288" s="63"/>
      <c r="G288" s="64"/>
      <c r="O288" s="190"/>
    </row>
    <row r="289" spans="4:15" ht="14.25" customHeight="1">
      <c r="D289" s="61"/>
      <c r="E289" s="62"/>
      <c r="F289" s="63"/>
      <c r="G289" s="64"/>
      <c r="O289" s="190"/>
    </row>
    <row r="290" spans="4:15" ht="14.25" customHeight="1">
      <c r="D290" s="61"/>
      <c r="E290" s="62"/>
      <c r="F290" s="63"/>
      <c r="G290" s="64"/>
      <c r="O290" s="190"/>
    </row>
    <row r="291" spans="4:15" ht="14.25" customHeight="1">
      <c r="D291" s="61"/>
      <c r="E291" s="62"/>
      <c r="F291" s="63"/>
      <c r="G291" s="64"/>
      <c r="O291" s="190"/>
    </row>
    <row r="292" spans="4:15" ht="14.25" customHeight="1">
      <c r="D292" s="61"/>
      <c r="E292" s="62"/>
      <c r="F292" s="63"/>
      <c r="G292" s="64"/>
      <c r="O292" s="190"/>
    </row>
    <row r="293" spans="4:15" ht="14.25" customHeight="1">
      <c r="D293" s="61"/>
      <c r="E293" s="62"/>
      <c r="F293" s="63"/>
      <c r="G293" s="64"/>
      <c r="O293" s="190"/>
    </row>
    <row r="294" spans="4:15" ht="14.25" customHeight="1">
      <c r="D294" s="61"/>
      <c r="E294" s="62"/>
      <c r="F294" s="63"/>
      <c r="G294" s="64"/>
      <c r="O294" s="190"/>
    </row>
    <row r="295" spans="4:15" ht="14.25" customHeight="1">
      <c r="D295" s="61"/>
      <c r="E295" s="62"/>
      <c r="F295" s="63"/>
      <c r="G295" s="64"/>
      <c r="O295" s="190"/>
    </row>
    <row r="296" spans="4:15" ht="14.25" customHeight="1">
      <c r="D296" s="61"/>
      <c r="E296" s="62"/>
      <c r="F296" s="63"/>
      <c r="G296" s="64"/>
      <c r="O296" s="190"/>
    </row>
    <row r="297" spans="4:15" ht="14.25" customHeight="1">
      <c r="D297" s="61"/>
      <c r="E297" s="62"/>
      <c r="F297" s="63"/>
      <c r="G297" s="64"/>
      <c r="O297" s="190"/>
    </row>
    <row r="298" spans="4:15" ht="14.25" customHeight="1">
      <c r="D298" s="61"/>
      <c r="E298" s="62"/>
      <c r="F298" s="63"/>
      <c r="G298" s="64"/>
      <c r="O298" s="190"/>
    </row>
    <row r="299" spans="4:15" ht="14.25" customHeight="1">
      <c r="D299" s="61"/>
      <c r="E299" s="62"/>
      <c r="F299" s="63"/>
      <c r="G299" s="64"/>
      <c r="O299" s="190"/>
    </row>
    <row r="300" spans="4:15" ht="14.25" customHeight="1">
      <c r="D300" s="61"/>
      <c r="E300" s="62"/>
      <c r="F300" s="63"/>
      <c r="G300" s="64"/>
      <c r="O300" s="190"/>
    </row>
    <row r="301" spans="4:15" ht="14.25" customHeight="1">
      <c r="D301" s="61"/>
      <c r="E301" s="62"/>
      <c r="F301" s="63"/>
      <c r="G301" s="64"/>
      <c r="O301" s="190"/>
    </row>
    <row r="302" spans="4:15" ht="14.25" customHeight="1">
      <c r="D302" s="61"/>
      <c r="E302" s="62"/>
      <c r="F302" s="63"/>
      <c r="G302" s="64"/>
      <c r="O302" s="190"/>
    </row>
    <row r="303" spans="4:15" ht="14.25" customHeight="1">
      <c r="D303" s="61"/>
      <c r="E303" s="62"/>
      <c r="F303" s="63"/>
      <c r="G303" s="64"/>
      <c r="O303" s="190"/>
    </row>
    <row r="304" spans="4:15" ht="14.25" customHeight="1">
      <c r="D304" s="61"/>
      <c r="E304" s="62"/>
      <c r="F304" s="63"/>
      <c r="G304" s="64"/>
      <c r="O304" s="190"/>
    </row>
    <row r="305" spans="4:15" ht="14.25" customHeight="1">
      <c r="D305" s="61"/>
      <c r="E305" s="62"/>
      <c r="F305" s="63"/>
      <c r="G305" s="64"/>
      <c r="O305" s="190"/>
    </row>
    <row r="306" spans="4:15" ht="14.25" customHeight="1">
      <c r="D306" s="61"/>
      <c r="E306" s="62"/>
      <c r="F306" s="63"/>
      <c r="G306" s="64"/>
      <c r="O306" s="190"/>
    </row>
    <row r="307" spans="4:15" ht="14.25" customHeight="1">
      <c r="D307" s="61"/>
      <c r="E307" s="62"/>
      <c r="F307" s="63"/>
      <c r="G307" s="64"/>
      <c r="O307" s="190"/>
    </row>
    <row r="308" spans="4:15" ht="14.25" customHeight="1">
      <c r="D308" s="61"/>
      <c r="E308" s="62"/>
      <c r="F308" s="63"/>
      <c r="G308" s="64"/>
      <c r="O308" s="190"/>
    </row>
    <row r="309" spans="4:15" ht="14.25" customHeight="1">
      <c r="D309" s="61"/>
      <c r="E309" s="62"/>
      <c r="F309" s="63"/>
      <c r="G309" s="64"/>
      <c r="O309" s="190"/>
    </row>
    <row r="310" spans="4:15" ht="14.25" customHeight="1">
      <c r="D310" s="61"/>
      <c r="E310" s="62"/>
      <c r="F310" s="63"/>
      <c r="G310" s="64"/>
      <c r="O310" s="190"/>
    </row>
    <row r="311" spans="4:15" ht="14.25" customHeight="1">
      <c r="D311" s="61"/>
      <c r="E311" s="62"/>
      <c r="F311" s="63"/>
      <c r="G311" s="64"/>
      <c r="O311" s="190"/>
    </row>
    <row r="312" spans="4:15" ht="14.25" customHeight="1">
      <c r="D312" s="61"/>
      <c r="E312" s="62"/>
      <c r="F312" s="63"/>
      <c r="G312" s="64"/>
      <c r="O312" s="190"/>
    </row>
    <row r="313" spans="4:15" ht="14.25" customHeight="1">
      <c r="D313" s="61"/>
      <c r="E313" s="62"/>
      <c r="F313" s="63"/>
      <c r="G313" s="64"/>
      <c r="O313" s="190"/>
    </row>
    <row r="314" spans="4:15" ht="14.25" customHeight="1">
      <c r="D314" s="61"/>
      <c r="E314" s="62"/>
      <c r="F314" s="63"/>
      <c r="G314" s="64"/>
      <c r="O314" s="190"/>
    </row>
    <row r="315" spans="4:15" ht="14.25" customHeight="1">
      <c r="D315" s="61"/>
      <c r="E315" s="62"/>
      <c r="F315" s="63"/>
      <c r="G315" s="64"/>
      <c r="O315" s="190"/>
    </row>
    <row r="316" spans="4:15" ht="14.25" customHeight="1">
      <c r="D316" s="61"/>
      <c r="E316" s="62"/>
      <c r="F316" s="63"/>
      <c r="G316" s="64"/>
      <c r="O316" s="190"/>
    </row>
    <row r="317" spans="4:15" ht="14.25" customHeight="1">
      <c r="D317" s="61"/>
      <c r="E317" s="62"/>
      <c r="F317" s="63"/>
      <c r="G317" s="64"/>
      <c r="O317" s="190"/>
    </row>
    <row r="318" spans="4:15" ht="14.25" customHeight="1">
      <c r="D318" s="61"/>
      <c r="E318" s="62"/>
      <c r="F318" s="63"/>
      <c r="G318" s="64"/>
      <c r="O318" s="190"/>
    </row>
    <row r="319" spans="4:15" ht="14.25" customHeight="1">
      <c r="D319" s="61"/>
      <c r="E319" s="62"/>
      <c r="F319" s="63"/>
      <c r="G319" s="64"/>
      <c r="O319" s="190"/>
    </row>
    <row r="320" spans="4:15" ht="14.25" customHeight="1">
      <c r="D320" s="61"/>
      <c r="E320" s="62"/>
      <c r="F320" s="63"/>
      <c r="G320" s="64"/>
      <c r="O320" s="190"/>
    </row>
    <row r="321" spans="4:15" ht="14.25" customHeight="1">
      <c r="D321" s="61"/>
      <c r="E321" s="62"/>
      <c r="F321" s="63"/>
      <c r="G321" s="64"/>
      <c r="O321" s="190"/>
    </row>
    <row r="322" spans="4:15" ht="14.25" customHeight="1">
      <c r="D322" s="61"/>
      <c r="E322" s="62"/>
      <c r="F322" s="63"/>
      <c r="G322" s="64"/>
      <c r="O322" s="190"/>
    </row>
    <row r="323" spans="4:15" ht="14.25" customHeight="1">
      <c r="D323" s="61"/>
      <c r="E323" s="62"/>
      <c r="F323" s="63"/>
      <c r="G323" s="64"/>
      <c r="O323" s="190"/>
    </row>
    <row r="324" spans="4:15" ht="14.25" customHeight="1">
      <c r="D324" s="61"/>
      <c r="E324" s="62"/>
      <c r="F324" s="63"/>
      <c r="G324" s="64"/>
      <c r="O324" s="190"/>
    </row>
    <row r="325" spans="4:15" ht="14.25" customHeight="1">
      <c r="D325" s="61"/>
      <c r="E325" s="62"/>
      <c r="F325" s="63"/>
      <c r="G325" s="64"/>
      <c r="O325" s="190"/>
    </row>
    <row r="326" spans="4:15" ht="14.25" customHeight="1">
      <c r="D326" s="61"/>
      <c r="E326" s="62"/>
      <c r="F326" s="63"/>
      <c r="G326" s="64"/>
      <c r="O326" s="190"/>
    </row>
    <row r="327" spans="4:15" ht="14.25" customHeight="1">
      <c r="D327" s="61"/>
      <c r="E327" s="62"/>
      <c r="F327" s="63"/>
      <c r="G327" s="64"/>
      <c r="O327" s="190"/>
    </row>
    <row r="328" spans="4:15" ht="14.25" customHeight="1">
      <c r="D328" s="61"/>
      <c r="E328" s="62"/>
      <c r="F328" s="63"/>
      <c r="G328" s="64"/>
      <c r="O328" s="190"/>
    </row>
    <row r="329" spans="4:15" ht="14.25" customHeight="1">
      <c r="D329" s="61"/>
      <c r="E329" s="62"/>
      <c r="F329" s="63"/>
      <c r="G329" s="64"/>
      <c r="O329" s="190"/>
    </row>
    <row r="330" spans="4:15" ht="14.25" customHeight="1">
      <c r="D330" s="61"/>
      <c r="E330" s="62"/>
      <c r="F330" s="63"/>
      <c r="G330" s="64"/>
      <c r="O330" s="190"/>
    </row>
    <row r="331" spans="4:15" ht="14.25" customHeight="1">
      <c r="D331" s="61"/>
      <c r="E331" s="62"/>
      <c r="F331" s="63"/>
      <c r="G331" s="64"/>
      <c r="O331" s="190"/>
    </row>
    <row r="332" spans="4:15" ht="14.25" customHeight="1">
      <c r="D332" s="61"/>
      <c r="E332" s="62"/>
      <c r="F332" s="63"/>
      <c r="G332" s="64"/>
      <c r="O332" s="190"/>
    </row>
    <row r="333" spans="4:15" ht="14.25" customHeight="1">
      <c r="D333" s="61"/>
      <c r="E333" s="62"/>
      <c r="F333" s="63"/>
      <c r="G333" s="64"/>
      <c r="O333" s="190"/>
    </row>
    <row r="334" spans="4:15" ht="14.25" customHeight="1">
      <c r="D334" s="61"/>
      <c r="E334" s="62"/>
      <c r="F334" s="63"/>
      <c r="G334" s="64"/>
      <c r="O334" s="190"/>
    </row>
    <row r="335" spans="4:15" ht="14.25" customHeight="1">
      <c r="D335" s="61"/>
      <c r="E335" s="62"/>
      <c r="F335" s="63"/>
      <c r="G335" s="64"/>
      <c r="O335" s="190"/>
    </row>
    <row r="336" spans="4:15" ht="14.25" customHeight="1">
      <c r="D336" s="61"/>
      <c r="E336" s="62"/>
      <c r="F336" s="63"/>
      <c r="G336" s="64"/>
      <c r="O336" s="190"/>
    </row>
    <row r="337" spans="4:15" ht="14.25" customHeight="1">
      <c r="D337" s="61"/>
      <c r="E337" s="62"/>
      <c r="F337" s="63"/>
      <c r="G337" s="64"/>
      <c r="O337" s="190"/>
    </row>
    <row r="338" spans="4:15" ht="14.25" customHeight="1">
      <c r="D338" s="61"/>
      <c r="E338" s="62"/>
      <c r="F338" s="63"/>
      <c r="G338" s="64"/>
      <c r="O338" s="190"/>
    </row>
    <row r="339" spans="4:15" ht="14.25" customHeight="1">
      <c r="D339" s="61"/>
      <c r="E339" s="62"/>
      <c r="F339" s="63"/>
      <c r="G339" s="64"/>
      <c r="O339" s="190"/>
    </row>
    <row r="340" spans="4:15" ht="14.25" customHeight="1">
      <c r="D340" s="61"/>
      <c r="E340" s="62"/>
      <c r="F340" s="63"/>
      <c r="G340" s="64"/>
      <c r="O340" s="190"/>
    </row>
    <row r="341" spans="4:15" ht="14.25" customHeight="1">
      <c r="D341" s="61"/>
      <c r="E341" s="62"/>
      <c r="F341" s="63"/>
      <c r="G341" s="64"/>
      <c r="O341" s="190"/>
    </row>
    <row r="342" spans="4:15" ht="14.25" customHeight="1">
      <c r="D342" s="61"/>
      <c r="E342" s="62"/>
      <c r="F342" s="63"/>
      <c r="G342" s="64"/>
      <c r="O342" s="190"/>
    </row>
    <row r="343" spans="4:15" ht="14.25" customHeight="1">
      <c r="D343" s="61"/>
      <c r="E343" s="62"/>
      <c r="F343" s="63"/>
      <c r="G343" s="64"/>
      <c r="O343" s="190"/>
    </row>
    <row r="344" spans="4:15" ht="14.25" customHeight="1">
      <c r="D344" s="61"/>
      <c r="E344" s="62"/>
      <c r="F344" s="63"/>
      <c r="G344" s="64"/>
      <c r="O344" s="190"/>
    </row>
    <row r="345" spans="4:15" ht="14.25" customHeight="1">
      <c r="D345" s="61"/>
      <c r="E345" s="62"/>
      <c r="F345" s="63"/>
      <c r="G345" s="64"/>
      <c r="O345" s="190"/>
    </row>
    <row r="346" spans="4:15" ht="14.25" customHeight="1">
      <c r="D346" s="61"/>
      <c r="E346" s="62"/>
      <c r="F346" s="63"/>
      <c r="G346" s="64"/>
      <c r="O346" s="190"/>
    </row>
    <row r="347" spans="4:15" ht="14.25" customHeight="1">
      <c r="D347" s="61"/>
      <c r="E347" s="62"/>
      <c r="F347" s="63"/>
      <c r="G347" s="64"/>
      <c r="O347" s="190"/>
    </row>
    <row r="348" spans="4:15" ht="14.25" customHeight="1">
      <c r="D348" s="61"/>
      <c r="E348" s="62"/>
      <c r="F348" s="63"/>
      <c r="G348" s="64"/>
      <c r="O348" s="190"/>
    </row>
    <row r="349" spans="4:15" ht="14.25" customHeight="1">
      <c r="D349" s="61"/>
      <c r="E349" s="62"/>
      <c r="F349" s="63"/>
      <c r="G349" s="64"/>
      <c r="O349" s="190"/>
    </row>
    <row r="350" spans="4:15" ht="14.25" customHeight="1">
      <c r="D350" s="61"/>
      <c r="E350" s="62"/>
      <c r="F350" s="63"/>
      <c r="G350" s="64"/>
      <c r="O350" s="190"/>
    </row>
    <row r="351" spans="4:15" ht="14.25" customHeight="1">
      <c r="D351" s="61"/>
      <c r="E351" s="62"/>
      <c r="F351" s="63"/>
      <c r="G351" s="64"/>
      <c r="O351" s="190"/>
    </row>
    <row r="352" spans="4:15" ht="14.25" customHeight="1">
      <c r="D352" s="61"/>
      <c r="E352" s="62"/>
      <c r="F352" s="63"/>
      <c r="G352" s="64"/>
      <c r="O352" s="190"/>
    </row>
    <row r="353" spans="4:15" ht="14.25" customHeight="1">
      <c r="D353" s="61"/>
      <c r="E353" s="62"/>
      <c r="F353" s="63"/>
      <c r="G353" s="64"/>
      <c r="O353" s="190"/>
    </row>
    <row r="354" spans="4:15" ht="14.25" customHeight="1">
      <c r="D354" s="61"/>
      <c r="E354" s="62"/>
      <c r="F354" s="63"/>
      <c r="G354" s="64"/>
      <c r="O354" s="190"/>
    </row>
    <row r="355" spans="4:15" ht="14.25" customHeight="1">
      <c r="D355" s="61"/>
      <c r="E355" s="62"/>
      <c r="F355" s="63"/>
      <c r="G355" s="64"/>
      <c r="O355" s="190"/>
    </row>
    <row r="356" spans="4:15" ht="14.25" customHeight="1">
      <c r="D356" s="61"/>
      <c r="E356" s="62"/>
      <c r="F356" s="63"/>
      <c r="G356" s="64"/>
      <c r="O356" s="190"/>
    </row>
    <row r="357" spans="4:15" ht="14.25" customHeight="1">
      <c r="D357" s="61"/>
      <c r="E357" s="62"/>
      <c r="F357" s="63"/>
      <c r="G357" s="64"/>
      <c r="O357" s="190"/>
    </row>
    <row r="358" spans="4:15" ht="14.25" customHeight="1">
      <c r="D358" s="61"/>
      <c r="E358" s="62"/>
      <c r="F358" s="63"/>
      <c r="G358" s="64"/>
      <c r="O358" s="190"/>
    </row>
    <row r="359" spans="4:15" ht="14.25" customHeight="1">
      <c r="D359" s="61"/>
      <c r="E359" s="62"/>
      <c r="F359" s="63"/>
      <c r="G359" s="64"/>
      <c r="O359" s="190"/>
    </row>
    <row r="360" spans="4:15" ht="14.25" customHeight="1">
      <c r="D360" s="61"/>
      <c r="E360" s="62"/>
      <c r="F360" s="63"/>
      <c r="G360" s="64"/>
      <c r="O360" s="190"/>
    </row>
    <row r="361" spans="4:15" ht="14.25" customHeight="1">
      <c r="D361" s="61"/>
      <c r="E361" s="62"/>
      <c r="F361" s="63"/>
      <c r="G361" s="64"/>
      <c r="O361" s="190"/>
    </row>
    <row r="362" spans="4:15" ht="14.25" customHeight="1">
      <c r="D362" s="61"/>
      <c r="E362" s="62"/>
      <c r="F362" s="63"/>
      <c r="G362" s="64"/>
      <c r="O362" s="190"/>
    </row>
    <row r="363" spans="4:15" ht="14.25" customHeight="1">
      <c r="D363" s="61"/>
      <c r="E363" s="62"/>
      <c r="F363" s="63"/>
      <c r="G363" s="64"/>
      <c r="O363" s="190"/>
    </row>
    <row r="364" spans="4:15" ht="14.25" customHeight="1">
      <c r="D364" s="61"/>
      <c r="E364" s="62"/>
      <c r="F364" s="63"/>
      <c r="G364" s="64"/>
      <c r="O364" s="190"/>
    </row>
    <row r="365" spans="4:15" ht="14.25" customHeight="1">
      <c r="D365" s="61"/>
      <c r="E365" s="62"/>
      <c r="F365" s="63"/>
      <c r="G365" s="64"/>
      <c r="O365" s="190"/>
    </row>
    <row r="366" spans="4:15" ht="14.25" customHeight="1">
      <c r="D366" s="61"/>
      <c r="E366" s="62"/>
      <c r="F366" s="63"/>
      <c r="G366" s="64"/>
      <c r="O366" s="190"/>
    </row>
    <row r="367" spans="4:15" ht="14.25" customHeight="1">
      <c r="D367" s="61"/>
      <c r="E367" s="62"/>
      <c r="F367" s="63"/>
      <c r="G367" s="64"/>
      <c r="O367" s="190"/>
    </row>
    <row r="368" spans="4:15" ht="14.25" customHeight="1">
      <c r="D368" s="61"/>
      <c r="E368" s="62"/>
      <c r="F368" s="63"/>
      <c r="G368" s="64"/>
      <c r="O368" s="190"/>
    </row>
    <row r="369" spans="4:15" ht="14.25" customHeight="1">
      <c r="D369" s="61"/>
      <c r="E369" s="62"/>
      <c r="F369" s="63"/>
      <c r="G369" s="64"/>
      <c r="O369" s="190"/>
    </row>
    <row r="370" spans="4:15" ht="14.25" customHeight="1">
      <c r="D370" s="61"/>
      <c r="E370" s="62"/>
      <c r="F370" s="63"/>
      <c r="G370" s="64"/>
      <c r="O370" s="190"/>
    </row>
    <row r="371" spans="4:15" ht="14.25" customHeight="1">
      <c r="D371" s="61"/>
      <c r="E371" s="62"/>
      <c r="F371" s="63"/>
      <c r="G371" s="64"/>
      <c r="O371" s="190"/>
    </row>
    <row r="372" spans="4:15" ht="14.25" customHeight="1">
      <c r="D372" s="61"/>
      <c r="E372" s="62"/>
      <c r="F372" s="63"/>
      <c r="G372" s="64"/>
      <c r="O372" s="190"/>
    </row>
    <row r="373" spans="4:15" ht="14.25" customHeight="1">
      <c r="D373" s="61"/>
      <c r="E373" s="62"/>
      <c r="F373" s="63"/>
      <c r="G373" s="64"/>
      <c r="O373" s="190"/>
    </row>
    <row r="374" spans="4:15" ht="14.25" customHeight="1">
      <c r="D374" s="61"/>
      <c r="E374" s="62"/>
      <c r="F374" s="63"/>
      <c r="G374" s="64"/>
      <c r="O374" s="190"/>
    </row>
    <row r="375" spans="4:15" ht="14.25" customHeight="1">
      <c r="D375" s="61"/>
      <c r="E375" s="62"/>
      <c r="F375" s="63"/>
      <c r="G375" s="64"/>
      <c r="O375" s="190"/>
    </row>
    <row r="376" spans="4:15" ht="14.25" customHeight="1">
      <c r="D376" s="61"/>
      <c r="E376" s="62"/>
      <c r="F376" s="63"/>
      <c r="G376" s="64"/>
      <c r="O376" s="190"/>
    </row>
    <row r="377" spans="4:15" ht="14.25" customHeight="1">
      <c r="D377" s="61"/>
      <c r="E377" s="62"/>
      <c r="F377" s="63"/>
      <c r="G377" s="64"/>
      <c r="O377" s="190"/>
    </row>
    <row r="378" spans="4:15" ht="14.25" customHeight="1">
      <c r="D378" s="61"/>
      <c r="E378" s="62"/>
      <c r="F378" s="63"/>
      <c r="G378" s="64"/>
      <c r="O378" s="190"/>
    </row>
    <row r="379" spans="4:15" ht="14.25" customHeight="1">
      <c r="D379" s="61"/>
      <c r="E379" s="62"/>
      <c r="F379" s="63"/>
      <c r="G379" s="64"/>
      <c r="O379" s="190"/>
    </row>
    <row r="380" spans="4:15" ht="14.25" customHeight="1">
      <c r="D380" s="61"/>
      <c r="E380" s="62"/>
      <c r="F380" s="63"/>
      <c r="G380" s="64"/>
      <c r="O380" s="190"/>
    </row>
    <row r="381" spans="4:15" ht="14.25" customHeight="1">
      <c r="D381" s="61"/>
      <c r="E381" s="62"/>
      <c r="F381" s="63"/>
      <c r="G381" s="64"/>
      <c r="O381" s="190"/>
    </row>
    <row r="382" spans="4:15" ht="14.25" customHeight="1">
      <c r="D382" s="61"/>
      <c r="E382" s="62"/>
      <c r="F382" s="63"/>
      <c r="G382" s="64"/>
      <c r="O382" s="190"/>
    </row>
    <row r="383" spans="4:15" ht="14.25" customHeight="1">
      <c r="D383" s="61"/>
      <c r="E383" s="62"/>
      <c r="F383" s="63"/>
      <c r="G383" s="64"/>
      <c r="O383" s="190"/>
    </row>
    <row r="384" spans="4:15" ht="14.25" customHeight="1">
      <c r="D384" s="61"/>
      <c r="E384" s="62"/>
      <c r="F384" s="63"/>
      <c r="G384" s="64"/>
      <c r="O384" s="190"/>
    </row>
    <row r="385" spans="4:15" ht="14.25" customHeight="1">
      <c r="D385" s="61"/>
      <c r="E385" s="62"/>
      <c r="F385" s="63"/>
      <c r="G385" s="64"/>
      <c r="O385" s="190"/>
    </row>
    <row r="386" spans="4:15" ht="14.25" customHeight="1">
      <c r="D386" s="61"/>
      <c r="E386" s="62"/>
      <c r="F386" s="63"/>
      <c r="G386" s="64"/>
      <c r="O386" s="190"/>
    </row>
    <row r="387" spans="4:15" ht="14.25" customHeight="1">
      <c r="D387" s="61"/>
      <c r="E387" s="62"/>
      <c r="F387" s="63"/>
      <c r="G387" s="64"/>
      <c r="O387" s="190"/>
    </row>
    <row r="388" spans="4:15" ht="14.25" customHeight="1">
      <c r="D388" s="61"/>
      <c r="E388" s="62"/>
      <c r="F388" s="63"/>
      <c r="G388" s="64"/>
      <c r="O388" s="190"/>
    </row>
    <row r="389" spans="4:15" ht="14.25" customHeight="1">
      <c r="D389" s="61"/>
      <c r="E389" s="62"/>
      <c r="F389" s="63"/>
      <c r="G389" s="64"/>
      <c r="O389" s="190"/>
    </row>
    <row r="390" spans="4:15" ht="14.25" customHeight="1">
      <c r="D390" s="61"/>
      <c r="E390" s="62"/>
      <c r="F390" s="63"/>
      <c r="G390" s="64"/>
      <c r="O390" s="190"/>
    </row>
    <row r="391" spans="4:15" ht="14.25" customHeight="1">
      <c r="D391" s="61"/>
      <c r="E391" s="62"/>
      <c r="F391" s="63"/>
      <c r="G391" s="64"/>
      <c r="O391" s="190"/>
    </row>
    <row r="392" spans="4:15" ht="14.25" customHeight="1">
      <c r="D392" s="61"/>
      <c r="E392" s="62"/>
      <c r="F392" s="63"/>
      <c r="G392" s="64"/>
      <c r="O392" s="190"/>
    </row>
    <row r="393" spans="4:15" ht="14.25" customHeight="1">
      <c r="D393" s="61"/>
      <c r="E393" s="62"/>
      <c r="F393" s="63"/>
      <c r="G393" s="64"/>
      <c r="O393" s="190"/>
    </row>
    <row r="394" spans="4:15" ht="14.25" customHeight="1">
      <c r="D394" s="61"/>
      <c r="E394" s="62"/>
      <c r="F394" s="63"/>
      <c r="G394" s="64"/>
      <c r="O394" s="190"/>
    </row>
    <row r="395" spans="4:15" ht="14.25" customHeight="1">
      <c r="D395" s="61"/>
      <c r="E395" s="62"/>
      <c r="F395" s="63"/>
      <c r="G395" s="64"/>
      <c r="O395" s="190"/>
    </row>
    <row r="396" spans="4:15" ht="14.25" customHeight="1">
      <c r="D396" s="61"/>
      <c r="E396" s="62"/>
      <c r="F396" s="63"/>
      <c r="G396" s="64"/>
      <c r="O396" s="190"/>
    </row>
    <row r="397" spans="4:15" ht="14.25" customHeight="1">
      <c r="D397" s="61"/>
      <c r="E397" s="62"/>
      <c r="F397" s="63"/>
      <c r="G397" s="64"/>
      <c r="O397" s="190"/>
    </row>
    <row r="398" spans="4:15" ht="14.25" customHeight="1">
      <c r="D398" s="61"/>
      <c r="E398" s="62"/>
      <c r="F398" s="63"/>
      <c r="G398" s="64"/>
      <c r="O398" s="190"/>
    </row>
    <row r="399" spans="4:15" ht="14.25" customHeight="1">
      <c r="D399" s="61"/>
      <c r="E399" s="62"/>
      <c r="F399" s="63"/>
      <c r="G399" s="64"/>
      <c r="O399" s="190"/>
    </row>
    <row r="400" spans="4:15" ht="14.25" customHeight="1">
      <c r="D400" s="61"/>
      <c r="E400" s="62"/>
      <c r="F400" s="63"/>
      <c r="G400" s="64"/>
      <c r="O400" s="190"/>
    </row>
    <row r="401" spans="4:15" ht="14.25" customHeight="1">
      <c r="D401" s="61"/>
      <c r="E401" s="62"/>
      <c r="F401" s="63"/>
      <c r="G401" s="64"/>
      <c r="O401" s="190"/>
    </row>
    <row r="402" spans="4:15" ht="14.25" customHeight="1">
      <c r="D402" s="61"/>
      <c r="E402" s="62"/>
      <c r="F402" s="63"/>
      <c r="G402" s="64"/>
      <c r="O402" s="190"/>
    </row>
    <row r="403" spans="4:15" ht="14.25" customHeight="1">
      <c r="D403" s="61"/>
      <c r="E403" s="62"/>
      <c r="F403" s="63"/>
      <c r="G403" s="64"/>
      <c r="O403" s="190"/>
    </row>
    <row r="404" spans="4:15" ht="14.25" customHeight="1">
      <c r="D404" s="61"/>
      <c r="E404" s="62"/>
      <c r="F404" s="63"/>
      <c r="G404" s="64"/>
      <c r="O404" s="190"/>
    </row>
    <row r="405" spans="4:15" ht="14.25" customHeight="1">
      <c r="D405" s="61"/>
      <c r="E405" s="62"/>
      <c r="F405" s="63"/>
      <c r="G405" s="64"/>
      <c r="O405" s="190"/>
    </row>
    <row r="406" spans="4:15" ht="14.25" customHeight="1">
      <c r="D406" s="61"/>
      <c r="E406" s="62"/>
      <c r="F406" s="63"/>
      <c r="G406" s="64"/>
      <c r="O406" s="190"/>
    </row>
    <row r="407" spans="4:15" ht="14.25" customHeight="1">
      <c r="D407" s="61"/>
      <c r="E407" s="62"/>
      <c r="F407" s="63"/>
      <c r="G407" s="64"/>
      <c r="O407" s="190"/>
    </row>
    <row r="408" spans="4:15" ht="14.25" customHeight="1">
      <c r="D408" s="61"/>
      <c r="E408" s="62"/>
      <c r="F408" s="63"/>
      <c r="G408" s="64"/>
      <c r="O408" s="190"/>
    </row>
    <row r="409" spans="4:15" ht="14.25" customHeight="1">
      <c r="D409" s="61"/>
      <c r="E409" s="62"/>
      <c r="F409" s="63"/>
      <c r="G409" s="64"/>
      <c r="O409" s="190"/>
    </row>
    <row r="410" spans="4:15" ht="14.25" customHeight="1">
      <c r="D410" s="61"/>
      <c r="E410" s="62"/>
      <c r="F410" s="63"/>
      <c r="G410" s="64"/>
      <c r="O410" s="190"/>
    </row>
    <row r="411" spans="4:15" ht="14.25" customHeight="1">
      <c r="D411" s="61"/>
      <c r="E411" s="62"/>
      <c r="F411" s="63"/>
      <c r="G411" s="64"/>
      <c r="O411" s="190"/>
    </row>
    <row r="412" spans="4:15" ht="14.25" customHeight="1">
      <c r="D412" s="61"/>
      <c r="E412" s="62"/>
      <c r="F412" s="63"/>
      <c r="G412" s="64"/>
      <c r="O412" s="190"/>
    </row>
    <row r="413" spans="4:15" ht="14.25" customHeight="1">
      <c r="D413" s="61"/>
      <c r="E413" s="62"/>
      <c r="F413" s="63"/>
      <c r="G413" s="64"/>
      <c r="O413" s="190"/>
    </row>
    <row r="414" spans="4:15" ht="14.25" customHeight="1">
      <c r="D414" s="61"/>
      <c r="E414" s="62"/>
      <c r="F414" s="63"/>
      <c r="G414" s="64"/>
      <c r="O414" s="190"/>
    </row>
    <row r="415" spans="4:15" ht="14.25" customHeight="1">
      <c r="D415" s="61"/>
      <c r="E415" s="62"/>
      <c r="F415" s="63"/>
      <c r="G415" s="64"/>
      <c r="O415" s="190"/>
    </row>
    <row r="416" spans="4:15" ht="14.25" customHeight="1">
      <c r="D416" s="61"/>
      <c r="E416" s="62"/>
      <c r="F416" s="63"/>
      <c r="G416" s="64"/>
      <c r="O416" s="190"/>
    </row>
    <row r="417" spans="4:15" ht="14.25" customHeight="1">
      <c r="D417" s="61"/>
      <c r="E417" s="62"/>
      <c r="F417" s="63"/>
      <c r="G417" s="64"/>
      <c r="O417" s="190"/>
    </row>
    <row r="418" spans="4:15" ht="14.25" customHeight="1">
      <c r="D418" s="61"/>
      <c r="E418" s="62"/>
      <c r="F418" s="63"/>
      <c r="G418" s="64"/>
      <c r="O418" s="190"/>
    </row>
    <row r="419" spans="4:15" ht="14.25" customHeight="1">
      <c r="D419" s="61"/>
      <c r="E419" s="62"/>
      <c r="F419" s="63"/>
      <c r="G419" s="64"/>
      <c r="O419" s="190"/>
    </row>
    <row r="420" spans="4:15" ht="14.25" customHeight="1">
      <c r="D420" s="61"/>
      <c r="E420" s="62"/>
      <c r="F420" s="63"/>
      <c r="G420" s="64"/>
      <c r="O420" s="190"/>
    </row>
    <row r="421" spans="4:15" ht="14.25" customHeight="1">
      <c r="D421" s="61"/>
      <c r="E421" s="62"/>
      <c r="F421" s="63"/>
      <c r="G421" s="64"/>
      <c r="O421" s="190"/>
    </row>
    <row r="422" spans="4:15" ht="14.25" customHeight="1">
      <c r="D422" s="61"/>
      <c r="E422" s="62"/>
      <c r="F422" s="63"/>
      <c r="G422" s="64"/>
      <c r="O422" s="190"/>
    </row>
    <row r="423" spans="4:15" ht="14.25" customHeight="1">
      <c r="D423" s="61"/>
      <c r="E423" s="62"/>
      <c r="F423" s="63"/>
      <c r="G423" s="64"/>
      <c r="O423" s="190"/>
    </row>
    <row r="424" spans="4:15" ht="14.25" customHeight="1">
      <c r="D424" s="61"/>
      <c r="E424" s="62"/>
      <c r="F424" s="63"/>
      <c r="G424" s="64"/>
      <c r="O424" s="190"/>
    </row>
    <row r="425" spans="4:15" ht="14.25" customHeight="1">
      <c r="D425" s="61"/>
      <c r="E425" s="62"/>
      <c r="F425" s="63"/>
      <c r="G425" s="64"/>
      <c r="O425" s="190"/>
    </row>
    <row r="426" spans="4:15" ht="14.25" customHeight="1">
      <c r="D426" s="61"/>
      <c r="E426" s="62"/>
      <c r="F426" s="63"/>
      <c r="G426" s="64"/>
      <c r="O426" s="190"/>
    </row>
    <row r="427" spans="4:15" ht="14.25" customHeight="1">
      <c r="D427" s="61"/>
      <c r="E427" s="62"/>
      <c r="F427" s="63"/>
      <c r="G427" s="64"/>
      <c r="O427" s="190"/>
    </row>
    <row r="428" spans="4:15" ht="14.25" customHeight="1">
      <c r="D428" s="61"/>
      <c r="E428" s="62"/>
      <c r="F428" s="63"/>
      <c r="G428" s="64"/>
      <c r="O428" s="190"/>
    </row>
    <row r="429" spans="4:15" ht="14.25" customHeight="1">
      <c r="D429" s="61"/>
      <c r="E429" s="62"/>
      <c r="F429" s="63"/>
      <c r="G429" s="64"/>
      <c r="O429" s="190"/>
    </row>
    <row r="430" spans="4:15" ht="14.25" customHeight="1">
      <c r="D430" s="61"/>
      <c r="E430" s="62"/>
      <c r="F430" s="63"/>
      <c r="G430" s="64"/>
      <c r="O430" s="190"/>
    </row>
    <row r="431" spans="4:15" ht="14.25" customHeight="1">
      <c r="D431" s="61"/>
      <c r="E431" s="62"/>
      <c r="F431" s="63"/>
      <c r="G431" s="64"/>
      <c r="O431" s="190"/>
    </row>
    <row r="432" spans="4:15" ht="14.25" customHeight="1">
      <c r="D432" s="61"/>
      <c r="E432" s="62"/>
      <c r="F432" s="63"/>
      <c r="G432" s="64"/>
      <c r="O432" s="190"/>
    </row>
    <row r="433" spans="4:15" ht="14.25" customHeight="1">
      <c r="D433" s="61"/>
      <c r="E433" s="62"/>
      <c r="F433" s="63"/>
      <c r="G433" s="64"/>
      <c r="O433" s="190"/>
    </row>
    <row r="434" spans="4:15" ht="14.25" customHeight="1">
      <c r="D434" s="61"/>
      <c r="E434" s="62"/>
      <c r="F434" s="63"/>
      <c r="G434" s="64"/>
      <c r="O434" s="190"/>
    </row>
    <row r="435" spans="4:15" ht="14.25" customHeight="1">
      <c r="D435" s="61"/>
      <c r="E435" s="62"/>
      <c r="F435" s="63"/>
      <c r="G435" s="64"/>
      <c r="O435" s="190"/>
    </row>
    <row r="436" spans="4:15" ht="14.25" customHeight="1">
      <c r="D436" s="61"/>
      <c r="E436" s="62"/>
      <c r="F436" s="63"/>
      <c r="G436" s="64"/>
      <c r="O436" s="190"/>
    </row>
    <row r="437" spans="4:15" ht="14.25" customHeight="1">
      <c r="D437" s="61"/>
      <c r="E437" s="62"/>
      <c r="F437" s="63"/>
      <c r="G437" s="64"/>
      <c r="O437" s="190"/>
    </row>
    <row r="438" spans="4:15" ht="14.25" customHeight="1">
      <c r="D438" s="61"/>
      <c r="E438" s="62"/>
      <c r="F438" s="63"/>
      <c r="G438" s="64"/>
      <c r="O438" s="190"/>
    </row>
    <row r="439" spans="4:15" ht="14.25" customHeight="1">
      <c r="D439" s="61"/>
      <c r="E439" s="62"/>
      <c r="F439" s="63"/>
      <c r="G439" s="64"/>
      <c r="O439" s="190"/>
    </row>
    <row r="440" spans="4:15" ht="14.25" customHeight="1">
      <c r="D440" s="61"/>
      <c r="E440" s="62"/>
      <c r="F440" s="63"/>
      <c r="G440" s="64"/>
      <c r="O440" s="190"/>
    </row>
    <row r="441" spans="4:15" ht="14.25" customHeight="1">
      <c r="D441" s="61"/>
      <c r="E441" s="62"/>
      <c r="F441" s="63"/>
      <c r="G441" s="64"/>
      <c r="O441" s="190"/>
    </row>
    <row r="442" spans="4:15" ht="14.25" customHeight="1">
      <c r="D442" s="61"/>
      <c r="E442" s="62"/>
      <c r="F442" s="63"/>
      <c r="G442" s="64"/>
      <c r="O442" s="190"/>
    </row>
    <row r="443" spans="4:15" ht="14.25" customHeight="1">
      <c r="D443" s="61"/>
      <c r="E443" s="62"/>
      <c r="F443" s="63"/>
      <c r="G443" s="64"/>
      <c r="O443" s="190"/>
    </row>
    <row r="444" spans="4:15" ht="14.25" customHeight="1">
      <c r="D444" s="61"/>
      <c r="E444" s="62"/>
      <c r="F444" s="63"/>
      <c r="G444" s="64"/>
      <c r="O444" s="190"/>
    </row>
    <row r="445" spans="4:15" ht="14.25" customHeight="1">
      <c r="D445" s="61"/>
      <c r="E445" s="62"/>
      <c r="F445" s="63"/>
      <c r="G445" s="64"/>
      <c r="O445" s="190"/>
    </row>
    <row r="446" spans="4:15" ht="14.25" customHeight="1">
      <c r="D446" s="61"/>
      <c r="E446" s="62"/>
      <c r="F446" s="63"/>
      <c r="G446" s="64"/>
      <c r="O446" s="190"/>
    </row>
    <row r="447" spans="4:15" ht="14.25" customHeight="1">
      <c r="D447" s="61"/>
      <c r="E447" s="62"/>
      <c r="F447" s="63"/>
      <c r="G447" s="64"/>
      <c r="O447" s="190"/>
    </row>
    <row r="448" spans="4:15" ht="14.25" customHeight="1">
      <c r="D448" s="61"/>
      <c r="E448" s="62"/>
      <c r="F448" s="63"/>
      <c r="G448" s="64"/>
      <c r="O448" s="190"/>
    </row>
    <row r="449" spans="4:15" ht="14.25" customHeight="1">
      <c r="D449" s="61"/>
      <c r="E449" s="62"/>
      <c r="F449" s="63"/>
      <c r="G449" s="64"/>
      <c r="O449" s="190"/>
    </row>
    <row r="450" spans="4:15" ht="14.25" customHeight="1">
      <c r="D450" s="61"/>
      <c r="E450" s="62"/>
      <c r="F450" s="63"/>
      <c r="G450" s="64"/>
      <c r="O450" s="190"/>
    </row>
    <row r="451" spans="4:15" ht="14.25" customHeight="1">
      <c r="D451" s="61"/>
      <c r="E451" s="62"/>
      <c r="F451" s="63"/>
      <c r="G451" s="64"/>
      <c r="O451" s="190"/>
    </row>
    <row r="452" spans="4:15" ht="14.25" customHeight="1">
      <c r="D452" s="61"/>
      <c r="E452" s="62"/>
      <c r="F452" s="63"/>
      <c r="G452" s="64"/>
      <c r="O452" s="190"/>
    </row>
    <row r="453" spans="4:15" ht="14.25" customHeight="1">
      <c r="D453" s="61"/>
      <c r="E453" s="62"/>
      <c r="F453" s="63"/>
      <c r="G453" s="64"/>
      <c r="O453" s="190"/>
    </row>
    <row r="454" spans="4:15" ht="14.25" customHeight="1">
      <c r="D454" s="61"/>
      <c r="E454" s="62"/>
      <c r="F454" s="63"/>
      <c r="G454" s="64"/>
      <c r="O454" s="190"/>
    </row>
    <row r="455" spans="4:15" ht="14.25" customHeight="1">
      <c r="D455" s="61"/>
      <c r="E455" s="62"/>
      <c r="F455" s="63"/>
      <c r="G455" s="64"/>
      <c r="O455" s="190"/>
    </row>
    <row r="456" spans="4:15" ht="14.25" customHeight="1">
      <c r="D456" s="61"/>
      <c r="E456" s="62"/>
      <c r="F456" s="63"/>
      <c r="G456" s="64"/>
      <c r="O456" s="190"/>
    </row>
    <row r="457" spans="4:15" ht="14.25" customHeight="1">
      <c r="D457" s="61"/>
      <c r="E457" s="62"/>
      <c r="F457" s="63"/>
      <c r="G457" s="64"/>
      <c r="O457" s="190"/>
    </row>
    <row r="458" spans="4:15" ht="14.25" customHeight="1">
      <c r="D458" s="61"/>
      <c r="E458" s="62"/>
      <c r="F458" s="63"/>
      <c r="G458" s="64"/>
      <c r="O458" s="190"/>
    </row>
    <row r="459" spans="4:15" ht="14.25" customHeight="1">
      <c r="D459" s="61"/>
      <c r="E459" s="62"/>
      <c r="F459" s="63"/>
      <c r="G459" s="64"/>
      <c r="O459" s="190"/>
    </row>
    <row r="460" spans="4:15" ht="14.25" customHeight="1">
      <c r="D460" s="61"/>
      <c r="E460" s="62"/>
      <c r="F460" s="63"/>
      <c r="G460" s="64"/>
      <c r="O460" s="190"/>
    </row>
    <row r="461" spans="4:15" ht="14.25" customHeight="1">
      <c r="D461" s="61"/>
      <c r="E461" s="62"/>
      <c r="F461" s="63"/>
      <c r="G461" s="64"/>
      <c r="O461" s="190"/>
    </row>
    <row r="462" spans="4:15" ht="14.25" customHeight="1">
      <c r="D462" s="61"/>
      <c r="E462" s="62"/>
      <c r="F462" s="63"/>
      <c r="G462" s="64"/>
      <c r="O462" s="190"/>
    </row>
    <row r="463" spans="4:15" ht="14.25" customHeight="1">
      <c r="D463" s="61"/>
      <c r="E463" s="62"/>
      <c r="F463" s="63"/>
      <c r="G463" s="64"/>
      <c r="O463" s="190"/>
    </row>
    <row r="464" spans="4:15" ht="14.25" customHeight="1">
      <c r="D464" s="61"/>
      <c r="E464" s="62"/>
      <c r="F464" s="63"/>
      <c r="G464" s="64"/>
      <c r="O464" s="190"/>
    </row>
    <row r="465" spans="4:15" ht="14.25" customHeight="1">
      <c r="D465" s="61"/>
      <c r="E465" s="62"/>
      <c r="F465" s="63"/>
      <c r="G465" s="64"/>
      <c r="O465" s="190"/>
    </row>
    <row r="466" spans="4:15" ht="14.25" customHeight="1">
      <c r="D466" s="61"/>
      <c r="E466" s="62"/>
      <c r="F466" s="63"/>
      <c r="G466" s="64"/>
      <c r="O466" s="190"/>
    </row>
    <row r="467" spans="4:15" ht="14.25" customHeight="1">
      <c r="D467" s="61"/>
      <c r="E467" s="62"/>
      <c r="F467" s="63"/>
      <c r="G467" s="64"/>
      <c r="O467" s="190"/>
    </row>
    <row r="468" spans="4:15" ht="14.25" customHeight="1">
      <c r="D468" s="61"/>
      <c r="E468" s="62"/>
      <c r="F468" s="63"/>
      <c r="G468" s="64"/>
      <c r="O468" s="190"/>
    </row>
    <row r="469" spans="4:15" ht="14.25" customHeight="1">
      <c r="D469" s="61"/>
      <c r="E469" s="62"/>
      <c r="F469" s="63"/>
      <c r="G469" s="64"/>
      <c r="O469" s="190"/>
    </row>
    <row r="470" spans="4:15" ht="14.25" customHeight="1">
      <c r="D470" s="61"/>
      <c r="E470" s="62"/>
      <c r="F470" s="63"/>
      <c r="G470" s="64"/>
      <c r="O470" s="190"/>
    </row>
    <row r="471" spans="4:15" ht="14.25" customHeight="1">
      <c r="D471" s="61"/>
      <c r="E471" s="62"/>
      <c r="F471" s="63"/>
      <c r="G471" s="64"/>
      <c r="O471" s="190"/>
    </row>
    <row r="472" spans="4:15" ht="14.25" customHeight="1">
      <c r="D472" s="61"/>
      <c r="E472" s="62"/>
      <c r="F472" s="63"/>
      <c r="G472" s="64"/>
      <c r="O472" s="190"/>
    </row>
    <row r="473" spans="4:15" ht="14.25" customHeight="1">
      <c r="D473" s="61"/>
      <c r="E473" s="62"/>
      <c r="F473" s="63"/>
      <c r="G473" s="64"/>
      <c r="O473" s="190"/>
    </row>
    <row r="474" spans="4:15" ht="14.25" customHeight="1">
      <c r="D474" s="61"/>
      <c r="E474" s="62"/>
      <c r="F474" s="63"/>
      <c r="G474" s="64"/>
      <c r="O474" s="190"/>
    </row>
    <row r="475" spans="4:15" ht="14.25" customHeight="1">
      <c r="D475" s="61"/>
      <c r="E475" s="62"/>
      <c r="F475" s="63"/>
      <c r="G475" s="64"/>
      <c r="O475" s="190"/>
    </row>
    <row r="476" spans="4:15" ht="14.25" customHeight="1">
      <c r="D476" s="61"/>
      <c r="E476" s="62"/>
      <c r="F476" s="63"/>
      <c r="G476" s="64"/>
      <c r="O476" s="190"/>
    </row>
    <row r="477" spans="4:15" ht="14.25" customHeight="1">
      <c r="D477" s="61"/>
      <c r="E477" s="62"/>
      <c r="F477" s="63"/>
      <c r="G477" s="64"/>
      <c r="O477" s="190"/>
    </row>
    <row r="478" spans="4:15" ht="14.25" customHeight="1">
      <c r="D478" s="61"/>
      <c r="E478" s="62"/>
      <c r="F478" s="63"/>
      <c r="G478" s="64"/>
      <c r="O478" s="190"/>
    </row>
    <row r="479" spans="4:15" ht="14.25" customHeight="1">
      <c r="D479" s="61"/>
      <c r="E479" s="62"/>
      <c r="F479" s="63"/>
      <c r="G479" s="64"/>
      <c r="O479" s="190"/>
    </row>
    <row r="480" spans="4:15" ht="14.25" customHeight="1">
      <c r="D480" s="61"/>
      <c r="E480" s="62"/>
      <c r="F480" s="63"/>
      <c r="G480" s="64"/>
      <c r="O480" s="190"/>
    </row>
    <row r="481" spans="4:15" ht="14.25" customHeight="1">
      <c r="D481" s="61"/>
      <c r="E481" s="62"/>
      <c r="F481" s="63"/>
      <c r="G481" s="64"/>
      <c r="O481" s="190"/>
    </row>
    <row r="482" spans="4:15" ht="14.25" customHeight="1">
      <c r="D482" s="61"/>
      <c r="E482" s="62"/>
      <c r="F482" s="63"/>
      <c r="G482" s="64"/>
      <c r="O482" s="190"/>
    </row>
    <row r="483" spans="4:15" ht="14.25" customHeight="1">
      <c r="D483" s="61"/>
      <c r="E483" s="62"/>
      <c r="F483" s="63"/>
      <c r="G483" s="64"/>
      <c r="O483" s="190"/>
    </row>
    <row r="484" spans="4:15" ht="14.25" customHeight="1">
      <c r="D484" s="61"/>
      <c r="E484" s="62"/>
      <c r="F484" s="63"/>
      <c r="G484" s="64"/>
      <c r="O484" s="190"/>
    </row>
    <row r="485" spans="4:15" ht="14.25" customHeight="1">
      <c r="D485" s="61"/>
      <c r="E485" s="62"/>
      <c r="F485" s="63"/>
      <c r="G485" s="64"/>
      <c r="O485" s="190"/>
    </row>
    <row r="486" spans="4:15" ht="14.25" customHeight="1">
      <c r="D486" s="61"/>
      <c r="E486" s="62"/>
      <c r="F486" s="63"/>
      <c r="G486" s="64"/>
      <c r="O486" s="190"/>
    </row>
    <row r="487" spans="4:15" ht="14.25" customHeight="1">
      <c r="D487" s="61"/>
      <c r="E487" s="62"/>
      <c r="F487" s="63"/>
      <c r="G487" s="64"/>
      <c r="O487" s="190"/>
    </row>
    <row r="488" spans="4:15" ht="14.25" customHeight="1">
      <c r="D488" s="61"/>
      <c r="E488" s="62"/>
      <c r="F488" s="63"/>
      <c r="G488" s="64"/>
      <c r="O488" s="190"/>
    </row>
    <row r="489" spans="4:15" ht="14.25" customHeight="1">
      <c r="D489" s="61"/>
      <c r="E489" s="62"/>
      <c r="F489" s="63"/>
      <c r="G489" s="64"/>
      <c r="O489" s="190"/>
    </row>
    <row r="490" spans="4:15" ht="14.25" customHeight="1">
      <c r="D490" s="61"/>
      <c r="E490" s="62"/>
      <c r="F490" s="63"/>
      <c r="G490" s="64"/>
      <c r="O490" s="190"/>
    </row>
    <row r="491" spans="4:15" ht="14.25" customHeight="1">
      <c r="D491" s="61"/>
      <c r="E491" s="62"/>
      <c r="F491" s="63"/>
      <c r="G491" s="64"/>
      <c r="O491" s="190"/>
    </row>
    <row r="492" spans="4:15" ht="14.25" customHeight="1">
      <c r="D492" s="61"/>
      <c r="E492" s="62"/>
      <c r="F492" s="63"/>
      <c r="G492" s="64"/>
      <c r="O492" s="190"/>
    </row>
    <row r="493" spans="4:15" ht="14.25" customHeight="1">
      <c r="D493" s="61"/>
      <c r="E493" s="62"/>
      <c r="F493" s="63"/>
      <c r="G493" s="64"/>
      <c r="O493" s="190"/>
    </row>
    <row r="494" spans="4:15" ht="14.25" customHeight="1">
      <c r="D494" s="61"/>
      <c r="E494" s="62"/>
      <c r="F494" s="63"/>
      <c r="G494" s="64"/>
      <c r="O494" s="190"/>
    </row>
    <row r="495" spans="4:15" ht="14.25" customHeight="1">
      <c r="D495" s="61"/>
      <c r="E495" s="62"/>
      <c r="F495" s="63"/>
      <c r="G495" s="64"/>
      <c r="O495" s="190"/>
    </row>
    <row r="496" spans="4:15" ht="14.25" customHeight="1">
      <c r="D496" s="61"/>
      <c r="E496" s="62"/>
      <c r="F496" s="63"/>
      <c r="G496" s="64"/>
      <c r="O496" s="190"/>
    </row>
    <row r="497" spans="4:15" ht="14.25" customHeight="1">
      <c r="D497" s="61"/>
      <c r="E497" s="62"/>
      <c r="F497" s="63"/>
      <c r="G497" s="64"/>
      <c r="O497" s="190"/>
    </row>
    <row r="498" spans="4:15" ht="14.25" customHeight="1">
      <c r="D498" s="61"/>
      <c r="E498" s="62"/>
      <c r="F498" s="63"/>
      <c r="G498" s="64"/>
      <c r="O498" s="190"/>
    </row>
    <row r="499" spans="4:15" ht="14.25" customHeight="1">
      <c r="D499" s="61"/>
      <c r="E499" s="62"/>
      <c r="F499" s="63"/>
      <c r="G499" s="64"/>
      <c r="O499" s="190"/>
    </row>
    <row r="500" spans="4:15" ht="14.25" customHeight="1">
      <c r="D500" s="61"/>
      <c r="E500" s="62"/>
      <c r="F500" s="63"/>
      <c r="G500" s="64"/>
      <c r="O500" s="190"/>
    </row>
    <row r="501" spans="4:15" ht="14.25" customHeight="1">
      <c r="D501" s="61"/>
      <c r="E501" s="62"/>
      <c r="F501" s="63"/>
      <c r="G501" s="64"/>
      <c r="O501" s="190"/>
    </row>
    <row r="502" spans="4:15" ht="14.25" customHeight="1">
      <c r="D502" s="61"/>
      <c r="E502" s="62"/>
      <c r="F502" s="63"/>
      <c r="G502" s="64"/>
      <c r="O502" s="190"/>
    </row>
    <row r="503" spans="4:15" ht="14.25" customHeight="1">
      <c r="D503" s="61"/>
      <c r="E503" s="62"/>
      <c r="F503" s="63"/>
      <c r="G503" s="64"/>
      <c r="O503" s="190"/>
    </row>
    <row r="504" spans="4:15" ht="14.25" customHeight="1">
      <c r="D504" s="61"/>
      <c r="E504" s="62"/>
      <c r="F504" s="63"/>
      <c r="G504" s="64"/>
      <c r="O504" s="190"/>
    </row>
    <row r="505" spans="4:15" ht="14.25" customHeight="1">
      <c r="D505" s="61"/>
      <c r="E505" s="62"/>
      <c r="F505" s="63"/>
      <c r="G505" s="64"/>
      <c r="O505" s="190"/>
    </row>
    <row r="506" spans="4:15" ht="14.25" customHeight="1">
      <c r="D506" s="61"/>
      <c r="E506" s="62"/>
      <c r="F506" s="63"/>
      <c r="G506" s="64"/>
      <c r="O506" s="190"/>
    </row>
    <row r="507" spans="4:15" ht="14.25" customHeight="1">
      <c r="D507" s="61"/>
      <c r="E507" s="62"/>
      <c r="F507" s="63"/>
      <c r="G507" s="64"/>
      <c r="O507" s="190"/>
    </row>
    <row r="508" spans="4:15" ht="14.25" customHeight="1">
      <c r="D508" s="61"/>
      <c r="E508" s="62"/>
      <c r="F508" s="63"/>
      <c r="G508" s="64"/>
      <c r="O508" s="190"/>
    </row>
    <row r="509" spans="4:15" ht="14.25" customHeight="1">
      <c r="D509" s="61"/>
      <c r="E509" s="62"/>
      <c r="F509" s="63"/>
      <c r="G509" s="64"/>
      <c r="O509" s="190"/>
    </row>
    <row r="510" spans="4:15" ht="14.25" customHeight="1">
      <c r="D510" s="61"/>
      <c r="E510" s="62"/>
      <c r="F510" s="63"/>
      <c r="G510" s="64"/>
      <c r="O510" s="190"/>
    </row>
    <row r="511" spans="4:15" ht="14.25" customHeight="1">
      <c r="D511" s="61"/>
      <c r="E511" s="62"/>
      <c r="F511" s="63"/>
      <c r="G511" s="64"/>
      <c r="O511" s="190"/>
    </row>
    <row r="512" spans="4:15" ht="14.25" customHeight="1">
      <c r="D512" s="61"/>
      <c r="E512" s="62"/>
      <c r="F512" s="63"/>
      <c r="G512" s="64"/>
      <c r="O512" s="190"/>
    </row>
    <row r="513" spans="4:15" ht="14.25" customHeight="1">
      <c r="D513" s="61"/>
      <c r="E513" s="62"/>
      <c r="F513" s="63"/>
      <c r="G513" s="64"/>
      <c r="O513" s="190"/>
    </row>
    <row r="514" spans="4:15" ht="14.25" customHeight="1">
      <c r="D514" s="61"/>
      <c r="E514" s="62"/>
      <c r="F514" s="63"/>
      <c r="G514" s="64"/>
      <c r="O514" s="190"/>
    </row>
    <row r="515" spans="4:15" ht="14.25" customHeight="1">
      <c r="D515" s="61"/>
      <c r="E515" s="62"/>
      <c r="F515" s="63"/>
      <c r="G515" s="64"/>
      <c r="O515" s="190"/>
    </row>
    <row r="516" spans="4:15" ht="14.25" customHeight="1">
      <c r="D516" s="61"/>
      <c r="E516" s="62"/>
      <c r="F516" s="63"/>
      <c r="G516" s="64"/>
      <c r="O516" s="190"/>
    </row>
    <row r="517" spans="4:15" ht="14.25" customHeight="1">
      <c r="D517" s="61"/>
      <c r="E517" s="62"/>
      <c r="F517" s="63"/>
      <c r="G517" s="64"/>
      <c r="O517" s="190"/>
    </row>
    <row r="518" spans="4:15" ht="14.25" customHeight="1">
      <c r="D518" s="61"/>
      <c r="E518" s="62"/>
      <c r="F518" s="63"/>
      <c r="G518" s="64"/>
      <c r="O518" s="190"/>
    </row>
    <row r="519" spans="4:15" ht="14.25" customHeight="1">
      <c r="D519" s="61"/>
      <c r="E519" s="62"/>
      <c r="F519" s="63"/>
      <c r="G519" s="64"/>
      <c r="O519" s="190"/>
    </row>
    <row r="520" spans="4:15" ht="14.25" customHeight="1">
      <c r="D520" s="61"/>
      <c r="E520" s="62"/>
      <c r="F520" s="63"/>
      <c r="G520" s="64"/>
      <c r="O520" s="190"/>
    </row>
    <row r="521" spans="4:15" ht="14.25" customHeight="1">
      <c r="D521" s="61"/>
      <c r="E521" s="62"/>
      <c r="F521" s="63"/>
      <c r="G521" s="64"/>
      <c r="O521" s="190"/>
    </row>
    <row r="522" spans="4:15" ht="14.25" customHeight="1">
      <c r="D522" s="61"/>
      <c r="E522" s="62"/>
      <c r="F522" s="63"/>
      <c r="G522" s="64"/>
      <c r="O522" s="190"/>
    </row>
    <row r="523" spans="4:15" ht="14.25" customHeight="1">
      <c r="D523" s="61"/>
      <c r="E523" s="62"/>
      <c r="F523" s="63"/>
      <c r="G523" s="64"/>
      <c r="O523" s="190"/>
    </row>
    <row r="524" spans="4:15" ht="14.25" customHeight="1">
      <c r="D524" s="61"/>
      <c r="E524" s="62"/>
      <c r="F524" s="63"/>
      <c r="G524" s="64"/>
      <c r="O524" s="190"/>
    </row>
    <row r="525" spans="4:15" ht="14.25" customHeight="1">
      <c r="D525" s="61"/>
      <c r="E525" s="62"/>
      <c r="F525" s="63"/>
      <c r="G525" s="64"/>
      <c r="O525" s="190"/>
    </row>
    <row r="526" spans="4:15" ht="14.25" customHeight="1">
      <c r="D526" s="61"/>
      <c r="E526" s="62"/>
      <c r="F526" s="63"/>
      <c r="G526" s="64"/>
      <c r="O526" s="190"/>
    </row>
    <row r="527" spans="4:15" ht="14.25" customHeight="1">
      <c r="D527" s="61"/>
      <c r="E527" s="62"/>
      <c r="F527" s="63"/>
      <c r="G527" s="64"/>
      <c r="O527" s="190"/>
    </row>
    <row r="528" spans="4:15" ht="14.25" customHeight="1">
      <c r="D528" s="61"/>
      <c r="E528" s="62"/>
      <c r="F528" s="63"/>
      <c r="G528" s="64"/>
      <c r="O528" s="190"/>
    </row>
    <row r="529" spans="4:15" ht="14.25" customHeight="1">
      <c r="D529" s="61"/>
      <c r="E529" s="62"/>
      <c r="F529" s="63"/>
      <c r="G529" s="64"/>
      <c r="O529" s="190"/>
    </row>
    <row r="530" spans="4:15" ht="14.25" customHeight="1">
      <c r="D530" s="61"/>
      <c r="E530" s="62"/>
      <c r="F530" s="63"/>
      <c r="G530" s="64"/>
      <c r="O530" s="190"/>
    </row>
    <row r="531" spans="4:15" ht="14.25" customHeight="1">
      <c r="D531" s="61"/>
      <c r="E531" s="62"/>
      <c r="F531" s="63"/>
      <c r="G531" s="64"/>
      <c r="O531" s="190"/>
    </row>
    <row r="532" spans="4:15" ht="14.25" customHeight="1">
      <c r="D532" s="61"/>
      <c r="E532" s="62"/>
      <c r="F532" s="63"/>
      <c r="G532" s="64"/>
      <c r="O532" s="190"/>
    </row>
    <row r="533" spans="4:15" ht="14.25" customHeight="1">
      <c r="D533" s="61"/>
      <c r="E533" s="62"/>
      <c r="F533" s="63"/>
      <c r="G533" s="64"/>
      <c r="O533" s="190"/>
    </row>
    <row r="534" spans="4:15" ht="14.25" customHeight="1">
      <c r="D534" s="61"/>
      <c r="E534" s="62"/>
      <c r="F534" s="63"/>
      <c r="G534" s="64"/>
      <c r="O534" s="190"/>
    </row>
    <row r="535" spans="4:15" ht="14.25" customHeight="1">
      <c r="D535" s="61"/>
      <c r="E535" s="62"/>
      <c r="F535" s="63"/>
      <c r="G535" s="64"/>
      <c r="O535" s="190"/>
    </row>
    <row r="536" spans="4:15" ht="14.25" customHeight="1">
      <c r="D536" s="61"/>
      <c r="E536" s="62"/>
      <c r="F536" s="63"/>
      <c r="G536" s="64"/>
      <c r="O536" s="190"/>
    </row>
    <row r="537" spans="4:15" ht="14.25" customHeight="1">
      <c r="D537" s="61"/>
      <c r="E537" s="62"/>
      <c r="F537" s="63"/>
      <c r="G537" s="64"/>
      <c r="O537" s="190"/>
    </row>
    <row r="538" spans="4:15" ht="14.25" customHeight="1">
      <c r="D538" s="61"/>
      <c r="E538" s="62"/>
      <c r="F538" s="63"/>
      <c r="G538" s="64"/>
      <c r="O538" s="190"/>
    </row>
    <row r="539" spans="4:15" ht="14.25" customHeight="1">
      <c r="D539" s="61"/>
      <c r="E539" s="62"/>
      <c r="F539" s="63"/>
      <c r="G539" s="64"/>
      <c r="O539" s="190"/>
    </row>
    <row r="540" spans="4:15" ht="14.25" customHeight="1">
      <c r="D540" s="61"/>
      <c r="E540" s="62"/>
      <c r="F540" s="63"/>
      <c r="G540" s="64"/>
      <c r="O540" s="190"/>
    </row>
    <row r="541" spans="4:15" ht="14.25" customHeight="1">
      <c r="D541" s="61"/>
      <c r="E541" s="62"/>
      <c r="F541" s="63"/>
      <c r="G541" s="64"/>
      <c r="O541" s="190"/>
    </row>
    <row r="542" spans="4:15" ht="14.25" customHeight="1">
      <c r="D542" s="61"/>
      <c r="E542" s="62"/>
      <c r="F542" s="63"/>
      <c r="G542" s="64"/>
      <c r="O542" s="190"/>
    </row>
    <row r="543" spans="4:15" ht="14.25" customHeight="1">
      <c r="D543" s="61"/>
      <c r="E543" s="62"/>
      <c r="F543" s="63"/>
      <c r="G543" s="64"/>
      <c r="O543" s="190"/>
    </row>
    <row r="544" spans="4:15" ht="14.25" customHeight="1">
      <c r="D544" s="61"/>
      <c r="E544" s="62"/>
      <c r="F544" s="63"/>
      <c r="G544" s="64"/>
      <c r="O544" s="190"/>
    </row>
    <row r="545" spans="4:15" ht="14.25" customHeight="1">
      <c r="D545" s="61"/>
      <c r="E545" s="62"/>
      <c r="F545" s="63"/>
      <c r="G545" s="64"/>
      <c r="O545" s="190"/>
    </row>
    <row r="546" spans="4:15" ht="14.25" customHeight="1">
      <c r="D546" s="61"/>
      <c r="E546" s="62"/>
      <c r="F546" s="63"/>
      <c r="G546" s="64"/>
      <c r="O546" s="190"/>
    </row>
    <row r="547" spans="4:15" ht="14.25" customHeight="1">
      <c r="D547" s="61"/>
      <c r="E547" s="62"/>
      <c r="F547" s="63"/>
      <c r="G547" s="64"/>
      <c r="O547" s="190"/>
    </row>
    <row r="548" spans="4:15" ht="14.25" customHeight="1">
      <c r="D548" s="61"/>
      <c r="E548" s="62"/>
      <c r="F548" s="63"/>
      <c r="G548" s="64"/>
      <c r="O548" s="190"/>
    </row>
    <row r="549" spans="4:15" ht="14.25" customHeight="1">
      <c r="D549" s="61"/>
      <c r="E549" s="62"/>
      <c r="F549" s="63"/>
      <c r="G549" s="64"/>
      <c r="O549" s="190"/>
    </row>
    <row r="550" spans="4:15" ht="14.25" customHeight="1">
      <c r="D550" s="61"/>
      <c r="E550" s="62"/>
      <c r="F550" s="63"/>
      <c r="G550" s="64"/>
      <c r="O550" s="190"/>
    </row>
    <row r="551" spans="4:15" ht="14.25" customHeight="1">
      <c r="D551" s="61"/>
      <c r="E551" s="62"/>
      <c r="F551" s="63"/>
      <c r="G551" s="64"/>
      <c r="O551" s="190"/>
    </row>
    <row r="552" spans="4:15" ht="14.25" customHeight="1">
      <c r="D552" s="61"/>
      <c r="E552" s="62"/>
      <c r="F552" s="63"/>
      <c r="G552" s="64"/>
      <c r="O552" s="190"/>
    </row>
    <row r="553" spans="4:15" ht="14.25" customHeight="1">
      <c r="D553" s="61"/>
      <c r="E553" s="62"/>
      <c r="F553" s="63"/>
      <c r="G553" s="64"/>
      <c r="O553" s="190"/>
    </row>
    <row r="554" spans="4:15" ht="14.25" customHeight="1">
      <c r="D554" s="61"/>
      <c r="E554" s="62"/>
      <c r="F554" s="63"/>
      <c r="G554" s="64"/>
      <c r="O554" s="190"/>
    </row>
    <row r="555" spans="4:15" ht="14.25" customHeight="1">
      <c r="D555" s="61"/>
      <c r="E555" s="62"/>
      <c r="F555" s="63"/>
      <c r="G555" s="64"/>
      <c r="O555" s="190"/>
    </row>
    <row r="556" spans="4:15" ht="14.25" customHeight="1">
      <c r="D556" s="61"/>
      <c r="E556" s="62"/>
      <c r="F556" s="63"/>
      <c r="G556" s="64"/>
      <c r="O556" s="190"/>
    </row>
    <row r="557" spans="4:15" ht="14.25" customHeight="1">
      <c r="D557" s="61"/>
      <c r="E557" s="62"/>
      <c r="F557" s="63"/>
      <c r="G557" s="64"/>
      <c r="O557" s="190"/>
    </row>
    <row r="558" spans="4:15" ht="14.25" customHeight="1">
      <c r="D558" s="61"/>
      <c r="E558" s="62"/>
      <c r="F558" s="63"/>
      <c r="G558" s="64"/>
      <c r="O558" s="190"/>
    </row>
    <row r="559" spans="4:15" ht="14.25" customHeight="1">
      <c r="D559" s="61"/>
      <c r="E559" s="62"/>
      <c r="F559" s="63"/>
      <c r="G559" s="64"/>
      <c r="O559" s="190"/>
    </row>
    <row r="560" spans="4:15" ht="14.25" customHeight="1">
      <c r="D560" s="61"/>
      <c r="E560" s="62"/>
      <c r="F560" s="63"/>
      <c r="G560" s="64"/>
      <c r="O560" s="190"/>
    </row>
    <row r="561" spans="4:15" ht="14.25" customHeight="1">
      <c r="D561" s="61"/>
      <c r="E561" s="62"/>
      <c r="F561" s="63"/>
      <c r="G561" s="64"/>
      <c r="O561" s="190"/>
    </row>
    <row r="562" spans="4:15" ht="14.25" customHeight="1">
      <c r="D562" s="61"/>
      <c r="E562" s="62"/>
      <c r="F562" s="63"/>
      <c r="G562" s="64"/>
      <c r="O562" s="190"/>
    </row>
    <row r="563" spans="4:15" ht="14.25" customHeight="1">
      <c r="D563" s="61"/>
      <c r="E563" s="62"/>
      <c r="F563" s="63"/>
      <c r="G563" s="64"/>
      <c r="O563" s="190"/>
    </row>
    <row r="564" spans="4:15" ht="14.25" customHeight="1">
      <c r="D564" s="61"/>
      <c r="E564" s="62"/>
      <c r="F564" s="63"/>
      <c r="G564" s="64"/>
      <c r="O564" s="190"/>
    </row>
    <row r="565" spans="4:15" ht="14.25" customHeight="1">
      <c r="D565" s="61"/>
      <c r="E565" s="62"/>
      <c r="F565" s="63"/>
      <c r="G565" s="64"/>
      <c r="O565" s="190"/>
    </row>
    <row r="566" spans="4:15" ht="14.25" customHeight="1">
      <c r="D566" s="61"/>
      <c r="E566" s="62"/>
      <c r="F566" s="63"/>
      <c r="G566" s="64"/>
      <c r="O566" s="190"/>
    </row>
    <row r="567" spans="4:15" ht="14.25" customHeight="1">
      <c r="D567" s="61"/>
      <c r="E567" s="62"/>
      <c r="F567" s="63"/>
      <c r="G567" s="64"/>
      <c r="O567" s="190"/>
    </row>
    <row r="568" spans="4:15" ht="14.25" customHeight="1">
      <c r="D568" s="61"/>
      <c r="E568" s="62"/>
      <c r="F568" s="63"/>
      <c r="G568" s="64"/>
      <c r="O568" s="190"/>
    </row>
    <row r="569" spans="4:15" ht="14.25" customHeight="1">
      <c r="D569" s="61"/>
      <c r="E569" s="62"/>
      <c r="F569" s="63"/>
      <c r="G569" s="64"/>
      <c r="O569" s="190"/>
    </row>
    <row r="570" spans="4:15" ht="14.25" customHeight="1">
      <c r="D570" s="61"/>
      <c r="E570" s="62"/>
      <c r="F570" s="63"/>
      <c r="G570" s="64"/>
      <c r="O570" s="190"/>
    </row>
    <row r="571" spans="4:15" ht="14.25" customHeight="1">
      <c r="D571" s="61"/>
      <c r="E571" s="62"/>
      <c r="F571" s="63"/>
      <c r="G571" s="64"/>
      <c r="O571" s="190"/>
    </row>
    <row r="572" spans="4:15" ht="14.25" customHeight="1">
      <c r="D572" s="61"/>
      <c r="E572" s="62"/>
      <c r="F572" s="63"/>
      <c r="G572" s="64"/>
      <c r="O572" s="190"/>
    </row>
    <row r="573" spans="4:15" ht="14.25" customHeight="1">
      <c r="D573" s="61"/>
      <c r="E573" s="62"/>
      <c r="F573" s="63"/>
      <c r="G573" s="64"/>
      <c r="O573" s="190"/>
    </row>
    <row r="574" spans="4:15" ht="14.25" customHeight="1">
      <c r="D574" s="61"/>
      <c r="E574" s="62"/>
      <c r="F574" s="63"/>
      <c r="G574" s="64"/>
      <c r="O574" s="190"/>
    </row>
    <row r="575" spans="4:15" ht="14.25" customHeight="1">
      <c r="D575" s="61"/>
      <c r="E575" s="62"/>
      <c r="F575" s="63"/>
      <c r="G575" s="64"/>
      <c r="O575" s="190"/>
    </row>
    <row r="576" spans="4:15" ht="14.25" customHeight="1">
      <c r="D576" s="61"/>
      <c r="E576" s="62"/>
      <c r="F576" s="63"/>
      <c r="G576" s="64"/>
      <c r="O576" s="190"/>
    </row>
    <row r="577" spans="4:15" ht="14.25" customHeight="1">
      <c r="D577" s="61"/>
      <c r="E577" s="62"/>
      <c r="F577" s="63"/>
      <c r="G577" s="64"/>
      <c r="O577" s="190"/>
    </row>
    <row r="578" spans="4:15" ht="14.25" customHeight="1">
      <c r="D578" s="61"/>
      <c r="E578" s="62"/>
      <c r="F578" s="63"/>
      <c r="G578" s="64"/>
      <c r="O578" s="190"/>
    </row>
    <row r="579" spans="4:15" ht="14.25" customHeight="1">
      <c r="D579" s="61"/>
      <c r="E579" s="62"/>
      <c r="F579" s="63"/>
      <c r="G579" s="64"/>
      <c r="O579" s="190"/>
    </row>
    <row r="580" spans="4:15" ht="14.25" customHeight="1">
      <c r="D580" s="61"/>
      <c r="E580" s="62"/>
      <c r="F580" s="63"/>
      <c r="G580" s="64"/>
      <c r="O580" s="190"/>
    </row>
    <row r="581" spans="4:15" ht="14.25" customHeight="1">
      <c r="D581" s="61"/>
      <c r="E581" s="62"/>
      <c r="F581" s="63"/>
      <c r="G581" s="64"/>
      <c r="O581" s="190"/>
    </row>
    <row r="582" spans="4:15" ht="14.25" customHeight="1">
      <c r="D582" s="61"/>
      <c r="E582" s="62"/>
      <c r="F582" s="63"/>
      <c r="G582" s="64"/>
      <c r="O582" s="190"/>
    </row>
    <row r="583" spans="4:15" ht="14.25" customHeight="1">
      <c r="D583" s="61"/>
      <c r="E583" s="62"/>
      <c r="F583" s="63"/>
      <c r="G583" s="64"/>
      <c r="O583" s="190"/>
    </row>
    <row r="584" spans="4:15" ht="14.25" customHeight="1">
      <c r="D584" s="61"/>
      <c r="E584" s="62"/>
      <c r="F584" s="63"/>
      <c r="G584" s="64"/>
      <c r="O584" s="190"/>
    </row>
    <row r="585" spans="4:15" ht="14.25" customHeight="1">
      <c r="D585" s="61"/>
      <c r="E585" s="62"/>
      <c r="F585" s="63"/>
      <c r="G585" s="64"/>
      <c r="O585" s="190"/>
    </row>
    <row r="586" spans="4:15" ht="14.25" customHeight="1">
      <c r="D586" s="61"/>
      <c r="E586" s="62"/>
      <c r="F586" s="63"/>
      <c r="G586" s="64"/>
      <c r="O586" s="190"/>
    </row>
    <row r="587" spans="4:15" ht="14.25" customHeight="1">
      <c r="D587" s="61"/>
      <c r="E587" s="62"/>
      <c r="F587" s="63"/>
      <c r="G587" s="64"/>
      <c r="O587" s="190"/>
    </row>
    <row r="588" spans="4:15" ht="14.25" customHeight="1">
      <c r="D588" s="61"/>
      <c r="E588" s="62"/>
      <c r="F588" s="63"/>
      <c r="G588" s="64"/>
      <c r="O588" s="190"/>
    </row>
    <row r="589" spans="4:15" ht="14.25" customHeight="1">
      <c r="D589" s="61"/>
      <c r="E589" s="62"/>
      <c r="F589" s="63"/>
      <c r="G589" s="64"/>
      <c r="O589" s="190"/>
    </row>
    <row r="590" spans="4:15" ht="14.25" customHeight="1">
      <c r="D590" s="61"/>
      <c r="E590" s="62"/>
      <c r="F590" s="63"/>
      <c r="G590" s="64"/>
      <c r="O590" s="190"/>
    </row>
    <row r="591" spans="4:15" ht="14.25" customHeight="1">
      <c r="D591" s="61"/>
      <c r="E591" s="62"/>
      <c r="F591" s="63"/>
      <c r="G591" s="64"/>
      <c r="O591" s="190"/>
    </row>
    <row r="592" spans="4:15" ht="14.25" customHeight="1">
      <c r="D592" s="61"/>
      <c r="E592" s="62"/>
      <c r="F592" s="63"/>
      <c r="G592" s="64"/>
      <c r="O592" s="190"/>
    </row>
    <row r="593" spans="4:15" ht="14.25" customHeight="1">
      <c r="D593" s="61"/>
      <c r="E593" s="62"/>
      <c r="F593" s="63"/>
      <c r="G593" s="64"/>
      <c r="O593" s="190"/>
    </row>
    <row r="594" spans="4:15" ht="14.25" customHeight="1">
      <c r="D594" s="61"/>
      <c r="E594" s="62"/>
      <c r="F594" s="63"/>
      <c r="G594" s="64"/>
      <c r="O594" s="190"/>
    </row>
    <row r="595" spans="4:15" ht="14.25" customHeight="1">
      <c r="D595" s="61"/>
      <c r="E595" s="62"/>
      <c r="F595" s="63"/>
      <c r="G595" s="64"/>
      <c r="O595" s="190"/>
    </row>
    <row r="596" spans="4:15" ht="14.25" customHeight="1">
      <c r="D596" s="61"/>
      <c r="E596" s="62"/>
      <c r="F596" s="63"/>
      <c r="G596" s="64"/>
      <c r="O596" s="190"/>
    </row>
    <row r="597" spans="4:15" ht="14.25" customHeight="1">
      <c r="D597" s="61"/>
      <c r="E597" s="62"/>
      <c r="F597" s="63"/>
      <c r="G597" s="64"/>
      <c r="O597" s="190"/>
    </row>
    <row r="598" spans="4:15" ht="14.25" customHeight="1">
      <c r="D598" s="61"/>
      <c r="E598" s="62"/>
      <c r="F598" s="63"/>
      <c r="G598" s="64"/>
      <c r="O598" s="190"/>
    </row>
    <row r="599" spans="4:15" ht="14.25" customHeight="1">
      <c r="D599" s="61"/>
      <c r="E599" s="62"/>
      <c r="F599" s="63"/>
      <c r="G599" s="64"/>
      <c r="O599" s="190"/>
    </row>
    <row r="600" spans="4:15" ht="14.25" customHeight="1">
      <c r="D600" s="61"/>
      <c r="E600" s="62"/>
      <c r="F600" s="63"/>
      <c r="G600" s="64"/>
      <c r="O600" s="190"/>
    </row>
    <row r="601" spans="4:15" ht="14.25" customHeight="1">
      <c r="D601" s="61"/>
      <c r="E601" s="62"/>
      <c r="F601" s="63"/>
      <c r="G601" s="64"/>
      <c r="O601" s="190"/>
    </row>
    <row r="602" spans="4:15" ht="14.25" customHeight="1">
      <c r="D602" s="61"/>
      <c r="E602" s="62"/>
      <c r="F602" s="63"/>
      <c r="G602" s="64"/>
      <c r="O602" s="190"/>
    </row>
    <row r="603" spans="4:15" ht="14.25" customHeight="1">
      <c r="D603" s="61"/>
      <c r="E603" s="62"/>
      <c r="F603" s="63"/>
      <c r="G603" s="64"/>
      <c r="O603" s="190"/>
    </row>
    <row r="604" spans="4:15" ht="14.25" customHeight="1">
      <c r="D604" s="61"/>
      <c r="E604" s="62"/>
      <c r="F604" s="63"/>
      <c r="G604" s="64"/>
      <c r="O604" s="190"/>
    </row>
    <row r="605" spans="4:15" ht="14.25" customHeight="1">
      <c r="D605" s="61"/>
      <c r="E605" s="62"/>
      <c r="F605" s="63"/>
      <c r="G605" s="64"/>
      <c r="O605" s="190"/>
    </row>
    <row r="606" spans="4:15" ht="14.25" customHeight="1">
      <c r="D606" s="61"/>
      <c r="E606" s="62"/>
      <c r="F606" s="63"/>
      <c r="G606" s="64"/>
      <c r="O606" s="190"/>
    </row>
    <row r="607" spans="4:15" ht="14.25" customHeight="1">
      <c r="D607" s="61"/>
      <c r="E607" s="62"/>
      <c r="F607" s="63"/>
      <c r="G607" s="64"/>
      <c r="O607" s="190"/>
    </row>
    <row r="608" spans="4:15" ht="14.25" customHeight="1">
      <c r="D608" s="61"/>
      <c r="E608" s="62"/>
      <c r="F608" s="63"/>
      <c r="G608" s="64"/>
      <c r="O608" s="190"/>
    </row>
    <row r="609" spans="4:15" ht="14.25" customHeight="1">
      <c r="D609" s="61"/>
      <c r="E609" s="62"/>
      <c r="F609" s="63"/>
      <c r="G609" s="64"/>
      <c r="O609" s="190"/>
    </row>
    <row r="610" spans="4:15" ht="14.25" customHeight="1">
      <c r="D610" s="61"/>
      <c r="E610" s="62"/>
      <c r="F610" s="63"/>
      <c r="G610" s="64"/>
      <c r="O610" s="190"/>
    </row>
    <row r="611" spans="4:15" ht="14.25" customHeight="1">
      <c r="D611" s="61"/>
      <c r="E611" s="62"/>
      <c r="F611" s="63"/>
      <c r="G611" s="64"/>
      <c r="O611" s="190"/>
    </row>
    <row r="612" spans="4:15" ht="14.25" customHeight="1">
      <c r="D612" s="61"/>
      <c r="E612" s="62"/>
      <c r="F612" s="63"/>
      <c r="G612" s="64"/>
      <c r="O612" s="190"/>
    </row>
    <row r="613" spans="4:15" ht="14.25" customHeight="1">
      <c r="D613" s="61"/>
      <c r="E613" s="62"/>
      <c r="F613" s="63"/>
      <c r="G613" s="64"/>
      <c r="O613" s="190"/>
    </row>
    <row r="614" spans="4:15" ht="14.25" customHeight="1">
      <c r="D614" s="61"/>
      <c r="E614" s="62"/>
      <c r="F614" s="63"/>
      <c r="G614" s="64"/>
      <c r="O614" s="190"/>
    </row>
    <row r="615" spans="4:15" ht="14.25" customHeight="1">
      <c r="D615" s="61"/>
      <c r="E615" s="62"/>
      <c r="F615" s="63"/>
      <c r="G615" s="64"/>
      <c r="O615" s="190"/>
    </row>
    <row r="616" spans="4:15" ht="14.25" customHeight="1">
      <c r="D616" s="61"/>
      <c r="E616" s="62"/>
      <c r="F616" s="63"/>
      <c r="G616" s="64"/>
      <c r="O616" s="190"/>
    </row>
    <row r="617" spans="4:15" ht="14.25" customHeight="1">
      <c r="D617" s="61"/>
      <c r="E617" s="62"/>
      <c r="F617" s="63"/>
      <c r="G617" s="64"/>
      <c r="O617" s="190"/>
    </row>
    <row r="618" spans="4:15" ht="14.25" customHeight="1">
      <c r="D618" s="61"/>
      <c r="E618" s="62"/>
      <c r="F618" s="63"/>
      <c r="G618" s="64"/>
      <c r="O618" s="190"/>
    </row>
    <row r="619" spans="4:15" ht="14.25" customHeight="1">
      <c r="D619" s="61"/>
      <c r="E619" s="62"/>
      <c r="F619" s="63"/>
      <c r="G619" s="64"/>
      <c r="O619" s="190"/>
    </row>
    <row r="620" spans="4:15" ht="14.25" customHeight="1">
      <c r="D620" s="61"/>
      <c r="E620" s="62"/>
      <c r="F620" s="63"/>
      <c r="G620" s="64"/>
      <c r="O620" s="190"/>
    </row>
    <row r="621" spans="4:15" ht="14.25" customHeight="1">
      <c r="D621" s="61"/>
      <c r="E621" s="62"/>
      <c r="F621" s="63"/>
      <c r="G621" s="64"/>
      <c r="O621" s="190"/>
    </row>
    <row r="622" spans="4:15" ht="14.25" customHeight="1">
      <c r="D622" s="61"/>
      <c r="E622" s="62"/>
      <c r="F622" s="63"/>
      <c r="G622" s="64"/>
      <c r="O622" s="190"/>
    </row>
    <row r="623" spans="4:15" ht="14.25" customHeight="1">
      <c r="D623" s="61"/>
      <c r="E623" s="62"/>
      <c r="F623" s="63"/>
      <c r="G623" s="64"/>
      <c r="O623" s="190"/>
    </row>
    <row r="624" spans="4:15" ht="14.25" customHeight="1">
      <c r="D624" s="61"/>
      <c r="E624" s="62"/>
      <c r="F624" s="63"/>
      <c r="G624" s="64"/>
      <c r="O624" s="190"/>
    </row>
    <row r="625" spans="4:15" ht="14.25" customHeight="1">
      <c r="D625" s="61"/>
      <c r="E625" s="62"/>
      <c r="F625" s="63"/>
      <c r="G625" s="64"/>
      <c r="O625" s="190"/>
    </row>
    <row r="626" spans="4:15" ht="14.25" customHeight="1">
      <c r="D626" s="61"/>
      <c r="E626" s="62"/>
      <c r="F626" s="63"/>
      <c r="G626" s="64"/>
      <c r="O626" s="190"/>
    </row>
    <row r="627" spans="4:15" ht="14.25" customHeight="1">
      <c r="D627" s="61"/>
      <c r="E627" s="62"/>
      <c r="F627" s="63"/>
      <c r="G627" s="64"/>
      <c r="O627" s="190"/>
    </row>
    <row r="628" spans="4:15" ht="14.25" customHeight="1">
      <c r="D628" s="61"/>
      <c r="E628" s="62"/>
      <c r="F628" s="63"/>
      <c r="G628" s="64"/>
      <c r="O628" s="190"/>
    </row>
    <row r="629" spans="4:15" ht="14.25" customHeight="1">
      <c r="D629" s="61"/>
      <c r="E629" s="62"/>
      <c r="F629" s="63"/>
      <c r="G629" s="64"/>
      <c r="O629" s="190"/>
    </row>
    <row r="630" spans="4:15" ht="14.25" customHeight="1">
      <c r="D630" s="61"/>
      <c r="E630" s="62"/>
      <c r="F630" s="63"/>
      <c r="G630" s="64"/>
      <c r="O630" s="190"/>
    </row>
    <row r="631" spans="4:15" ht="14.25" customHeight="1">
      <c r="D631" s="61"/>
      <c r="E631" s="62"/>
      <c r="F631" s="63"/>
      <c r="G631" s="64"/>
      <c r="O631" s="190"/>
    </row>
    <row r="632" spans="4:15" ht="14.25" customHeight="1">
      <c r="D632" s="61"/>
      <c r="E632" s="62"/>
      <c r="F632" s="63"/>
      <c r="G632" s="64"/>
      <c r="O632" s="190"/>
    </row>
    <row r="633" spans="4:15" ht="14.25" customHeight="1">
      <c r="D633" s="61"/>
      <c r="E633" s="62"/>
      <c r="F633" s="63"/>
      <c r="G633" s="64"/>
      <c r="O633" s="190"/>
    </row>
    <row r="634" spans="4:15" ht="14.25" customHeight="1">
      <c r="D634" s="61"/>
      <c r="E634" s="62"/>
      <c r="F634" s="63"/>
      <c r="G634" s="64"/>
      <c r="O634" s="190"/>
    </row>
    <row r="635" spans="4:15" ht="14.25" customHeight="1">
      <c r="D635" s="61"/>
      <c r="E635" s="62"/>
      <c r="F635" s="63"/>
      <c r="G635" s="64"/>
      <c r="O635" s="190"/>
    </row>
    <row r="636" spans="4:15" ht="14.25" customHeight="1">
      <c r="D636" s="61"/>
      <c r="E636" s="62"/>
      <c r="F636" s="63"/>
      <c r="G636" s="64"/>
      <c r="O636" s="190"/>
    </row>
    <row r="637" spans="4:15" ht="14.25" customHeight="1">
      <c r="D637" s="61"/>
      <c r="E637" s="62"/>
      <c r="F637" s="63"/>
      <c r="G637" s="64"/>
      <c r="O637" s="190"/>
    </row>
    <row r="638" spans="4:15" ht="14.25" customHeight="1">
      <c r="D638" s="61"/>
      <c r="E638" s="62"/>
      <c r="F638" s="63"/>
      <c r="G638" s="64"/>
      <c r="O638" s="190"/>
    </row>
    <row r="639" spans="4:15" ht="14.25" customHeight="1">
      <c r="D639" s="61"/>
      <c r="E639" s="62"/>
      <c r="F639" s="63"/>
      <c r="G639" s="64"/>
      <c r="O639" s="190"/>
    </row>
    <row r="640" spans="4:15" ht="14.25" customHeight="1">
      <c r="D640" s="61"/>
      <c r="E640" s="62"/>
      <c r="F640" s="63"/>
      <c r="G640" s="64"/>
      <c r="O640" s="190"/>
    </row>
    <row r="641" spans="4:15" ht="14.25" customHeight="1">
      <c r="D641" s="61"/>
      <c r="E641" s="62"/>
      <c r="F641" s="63"/>
      <c r="G641" s="64"/>
      <c r="O641" s="190"/>
    </row>
    <row r="642" spans="4:15" ht="14.25" customHeight="1">
      <c r="D642" s="61"/>
      <c r="E642" s="62"/>
      <c r="F642" s="63"/>
      <c r="G642" s="64"/>
      <c r="O642" s="190"/>
    </row>
    <row r="643" spans="4:15" ht="14.25" customHeight="1">
      <c r="D643" s="61"/>
      <c r="E643" s="62"/>
      <c r="F643" s="63"/>
      <c r="G643" s="64"/>
      <c r="O643" s="190"/>
    </row>
    <row r="644" spans="4:15" ht="14.25" customHeight="1">
      <c r="D644" s="61"/>
      <c r="E644" s="62"/>
      <c r="F644" s="63"/>
      <c r="G644" s="64"/>
      <c r="O644" s="190"/>
    </row>
    <row r="645" spans="4:15" ht="14.25" customHeight="1">
      <c r="D645" s="61"/>
      <c r="E645" s="62"/>
      <c r="F645" s="63"/>
      <c r="G645" s="64"/>
      <c r="O645" s="190"/>
    </row>
    <row r="646" spans="4:15" ht="14.25" customHeight="1">
      <c r="D646" s="61"/>
      <c r="E646" s="62"/>
      <c r="F646" s="63"/>
      <c r="G646" s="64"/>
      <c r="O646" s="190"/>
    </row>
    <row r="647" spans="4:15" ht="14.25" customHeight="1">
      <c r="D647" s="61"/>
      <c r="E647" s="62"/>
      <c r="F647" s="63"/>
      <c r="G647" s="64"/>
      <c r="O647" s="190"/>
    </row>
    <row r="648" spans="4:15" ht="14.25" customHeight="1">
      <c r="D648" s="61"/>
      <c r="E648" s="62"/>
      <c r="F648" s="63"/>
      <c r="G648" s="64"/>
      <c r="O648" s="190"/>
    </row>
    <row r="649" spans="4:15" ht="14.25" customHeight="1">
      <c r="D649" s="61"/>
      <c r="E649" s="62"/>
      <c r="F649" s="63"/>
      <c r="G649" s="64"/>
      <c r="O649" s="190"/>
    </row>
    <row r="650" spans="4:15" ht="14.25" customHeight="1">
      <c r="D650" s="61"/>
      <c r="E650" s="62"/>
      <c r="F650" s="63"/>
      <c r="G650" s="64"/>
      <c r="O650" s="190"/>
    </row>
    <row r="651" spans="4:15" ht="14.25" customHeight="1">
      <c r="D651" s="61"/>
      <c r="E651" s="62"/>
      <c r="F651" s="63"/>
      <c r="G651" s="64"/>
      <c r="O651" s="190"/>
    </row>
    <row r="652" spans="4:15" ht="14.25" customHeight="1">
      <c r="D652" s="61"/>
      <c r="E652" s="62"/>
      <c r="F652" s="63"/>
      <c r="G652" s="64"/>
      <c r="O652" s="190"/>
    </row>
    <row r="653" spans="4:15" ht="14.25" customHeight="1">
      <c r="D653" s="61"/>
      <c r="E653" s="62"/>
      <c r="F653" s="63"/>
      <c r="G653" s="64"/>
      <c r="O653" s="190"/>
    </row>
    <row r="654" spans="4:15" ht="14.25" customHeight="1">
      <c r="D654" s="61"/>
      <c r="E654" s="62"/>
      <c r="F654" s="63"/>
      <c r="G654" s="64"/>
      <c r="O654" s="190"/>
    </row>
    <row r="655" spans="4:15" ht="14.25" customHeight="1">
      <c r="D655" s="61"/>
      <c r="E655" s="62"/>
      <c r="F655" s="63"/>
      <c r="G655" s="64"/>
      <c r="O655" s="190"/>
    </row>
    <row r="656" spans="4:15" ht="14.25" customHeight="1">
      <c r="D656" s="61"/>
      <c r="E656" s="62"/>
      <c r="F656" s="63"/>
      <c r="G656" s="64"/>
      <c r="O656" s="190"/>
    </row>
    <row r="657" spans="4:15" ht="14.25" customHeight="1">
      <c r="D657" s="61"/>
      <c r="E657" s="62"/>
      <c r="F657" s="63"/>
      <c r="G657" s="64"/>
      <c r="O657" s="190"/>
    </row>
    <row r="658" spans="4:15" ht="14.25" customHeight="1">
      <c r="D658" s="61"/>
      <c r="E658" s="62"/>
      <c r="F658" s="63"/>
      <c r="G658" s="64"/>
      <c r="O658" s="190"/>
    </row>
    <row r="659" spans="4:15" ht="14.25" customHeight="1">
      <c r="D659" s="61"/>
      <c r="E659" s="62"/>
      <c r="F659" s="63"/>
      <c r="G659" s="64"/>
      <c r="O659" s="190"/>
    </row>
    <row r="660" spans="4:15" ht="14.25" customHeight="1">
      <c r="D660" s="61"/>
      <c r="E660" s="62"/>
      <c r="F660" s="63"/>
      <c r="G660" s="64"/>
      <c r="O660" s="190"/>
    </row>
    <row r="661" spans="4:15" ht="14.25" customHeight="1">
      <c r="D661" s="61"/>
      <c r="E661" s="62"/>
      <c r="F661" s="63"/>
      <c r="G661" s="64"/>
      <c r="O661" s="190"/>
    </row>
    <row r="662" spans="4:15" ht="14.25" customHeight="1">
      <c r="D662" s="61"/>
      <c r="E662" s="62"/>
      <c r="F662" s="63"/>
      <c r="G662" s="64"/>
      <c r="O662" s="190"/>
    </row>
    <row r="663" spans="4:15" ht="14.25" customHeight="1">
      <c r="D663" s="61"/>
      <c r="E663" s="62"/>
      <c r="F663" s="63"/>
      <c r="G663" s="64"/>
      <c r="O663" s="190"/>
    </row>
    <row r="664" spans="4:15" ht="14.25" customHeight="1">
      <c r="D664" s="61"/>
      <c r="E664" s="62"/>
      <c r="F664" s="63"/>
      <c r="G664" s="64"/>
      <c r="O664" s="190"/>
    </row>
    <row r="665" spans="4:15" ht="14.25" customHeight="1">
      <c r="D665" s="61"/>
      <c r="E665" s="62"/>
      <c r="F665" s="63"/>
      <c r="G665" s="64"/>
      <c r="O665" s="190"/>
    </row>
    <row r="666" spans="4:15" ht="14.25" customHeight="1">
      <c r="D666" s="61"/>
      <c r="E666" s="62"/>
      <c r="F666" s="63"/>
      <c r="G666" s="64"/>
      <c r="O666" s="190"/>
    </row>
    <row r="667" spans="4:15" ht="14.25" customHeight="1">
      <c r="D667" s="61"/>
      <c r="E667" s="62"/>
      <c r="F667" s="63"/>
      <c r="G667" s="64"/>
      <c r="O667" s="190"/>
    </row>
    <row r="668" spans="4:15" ht="14.25" customHeight="1">
      <c r="D668" s="61"/>
      <c r="E668" s="62"/>
      <c r="F668" s="63"/>
      <c r="G668" s="64"/>
      <c r="O668" s="190"/>
    </row>
    <row r="669" spans="4:15" ht="14.25" customHeight="1">
      <c r="D669" s="61"/>
      <c r="E669" s="62"/>
      <c r="F669" s="63"/>
      <c r="G669" s="64"/>
      <c r="O669" s="190"/>
    </row>
    <row r="670" spans="4:15" ht="14.25" customHeight="1">
      <c r="D670" s="61"/>
      <c r="E670" s="62"/>
      <c r="F670" s="63"/>
      <c r="G670" s="64"/>
      <c r="O670" s="190"/>
    </row>
    <row r="671" spans="4:15" ht="14.25" customHeight="1">
      <c r="D671" s="61"/>
      <c r="E671" s="62"/>
      <c r="F671" s="63"/>
      <c r="G671" s="64"/>
      <c r="O671" s="190"/>
    </row>
    <row r="672" spans="4:15" ht="14.25" customHeight="1">
      <c r="D672" s="61"/>
      <c r="E672" s="62"/>
      <c r="F672" s="63"/>
      <c r="G672" s="64"/>
      <c r="O672" s="190"/>
    </row>
    <row r="673" spans="4:15" ht="14.25" customHeight="1">
      <c r="D673" s="61"/>
      <c r="E673" s="62"/>
      <c r="F673" s="63"/>
      <c r="G673" s="64"/>
      <c r="O673" s="190"/>
    </row>
    <row r="674" spans="4:15" ht="14.25" customHeight="1">
      <c r="D674" s="61"/>
      <c r="E674" s="62"/>
      <c r="F674" s="63"/>
      <c r="G674" s="64"/>
      <c r="O674" s="190"/>
    </row>
    <row r="675" spans="4:15" ht="14.25" customHeight="1">
      <c r="D675" s="61"/>
      <c r="E675" s="62"/>
      <c r="F675" s="63"/>
      <c r="G675" s="64"/>
      <c r="O675" s="190"/>
    </row>
    <row r="676" spans="4:15" ht="14.25" customHeight="1">
      <c r="D676" s="61"/>
      <c r="E676" s="62"/>
      <c r="F676" s="63"/>
      <c r="G676" s="64"/>
      <c r="O676" s="190"/>
    </row>
    <row r="677" spans="4:15" ht="14.25" customHeight="1">
      <c r="D677" s="61"/>
      <c r="E677" s="62"/>
      <c r="F677" s="63"/>
      <c r="G677" s="64"/>
      <c r="O677" s="190"/>
    </row>
    <row r="678" spans="4:15" ht="14.25" customHeight="1">
      <c r="D678" s="61"/>
      <c r="E678" s="62"/>
      <c r="F678" s="63"/>
      <c r="G678" s="64"/>
      <c r="O678" s="190"/>
    </row>
    <row r="679" spans="4:15" ht="14.25" customHeight="1">
      <c r="D679" s="61"/>
      <c r="E679" s="62"/>
      <c r="F679" s="63"/>
      <c r="G679" s="64"/>
      <c r="O679" s="190"/>
    </row>
    <row r="680" spans="4:15" ht="14.25" customHeight="1">
      <c r="D680" s="61"/>
      <c r="E680" s="62"/>
      <c r="F680" s="63"/>
      <c r="G680" s="64"/>
      <c r="O680" s="190"/>
    </row>
    <row r="681" spans="4:15" ht="14.25" customHeight="1">
      <c r="D681" s="61"/>
      <c r="E681" s="62"/>
      <c r="F681" s="63"/>
      <c r="G681" s="64"/>
      <c r="O681" s="190"/>
    </row>
    <row r="682" spans="4:15" ht="14.25" customHeight="1">
      <c r="D682" s="61"/>
      <c r="E682" s="62"/>
      <c r="F682" s="63"/>
      <c r="G682" s="64"/>
      <c r="O682" s="190"/>
    </row>
    <row r="683" spans="4:15" ht="14.25" customHeight="1">
      <c r="D683" s="61"/>
      <c r="E683" s="62"/>
      <c r="F683" s="63"/>
      <c r="G683" s="64"/>
      <c r="O683" s="190"/>
    </row>
    <row r="684" spans="4:15" ht="14.25" customHeight="1">
      <c r="D684" s="61"/>
      <c r="E684" s="62"/>
      <c r="F684" s="63"/>
      <c r="G684" s="64"/>
      <c r="O684" s="190"/>
    </row>
    <row r="685" spans="4:15" ht="14.25" customHeight="1">
      <c r="D685" s="61"/>
      <c r="E685" s="62"/>
      <c r="F685" s="63"/>
      <c r="G685" s="64"/>
      <c r="O685" s="190"/>
    </row>
    <row r="686" spans="4:15" ht="14.25" customHeight="1">
      <c r="D686" s="61"/>
      <c r="E686" s="62"/>
      <c r="F686" s="63"/>
      <c r="G686" s="64"/>
      <c r="O686" s="190"/>
    </row>
    <row r="687" spans="4:15" ht="14.25" customHeight="1">
      <c r="D687" s="61"/>
      <c r="E687" s="62"/>
      <c r="F687" s="63"/>
      <c r="G687" s="64"/>
      <c r="O687" s="190"/>
    </row>
    <row r="688" spans="4:15" ht="14.25" customHeight="1">
      <c r="D688" s="61"/>
      <c r="E688" s="62"/>
      <c r="F688" s="63"/>
      <c r="G688" s="64"/>
      <c r="O688" s="190"/>
    </row>
    <row r="689" spans="4:15" ht="14.25" customHeight="1">
      <c r="D689" s="61"/>
      <c r="E689" s="62"/>
      <c r="F689" s="63"/>
      <c r="G689" s="64"/>
      <c r="O689" s="190"/>
    </row>
    <row r="690" spans="4:15" ht="14.25" customHeight="1">
      <c r="D690" s="61"/>
      <c r="E690" s="62"/>
      <c r="F690" s="63"/>
      <c r="G690" s="64"/>
      <c r="O690" s="190"/>
    </row>
    <row r="691" spans="4:15" ht="14.25" customHeight="1">
      <c r="D691" s="61"/>
      <c r="E691" s="62"/>
      <c r="F691" s="63"/>
      <c r="G691" s="64"/>
      <c r="O691" s="190"/>
    </row>
    <row r="692" spans="4:15" ht="14.25" customHeight="1">
      <c r="D692" s="61"/>
      <c r="E692" s="62"/>
      <c r="F692" s="63"/>
      <c r="G692" s="64"/>
      <c r="O692" s="190"/>
    </row>
    <row r="693" spans="4:15" ht="14.25" customHeight="1">
      <c r="D693" s="61"/>
      <c r="E693" s="62"/>
      <c r="F693" s="63"/>
      <c r="G693" s="64"/>
      <c r="O693" s="190"/>
    </row>
    <row r="694" spans="4:15" ht="14.25" customHeight="1">
      <c r="D694" s="61"/>
      <c r="E694" s="62"/>
      <c r="F694" s="63"/>
      <c r="G694" s="64"/>
      <c r="O694" s="190"/>
    </row>
    <row r="695" spans="4:15" ht="14.25" customHeight="1">
      <c r="D695" s="61"/>
      <c r="E695" s="62"/>
      <c r="F695" s="63"/>
      <c r="G695" s="64"/>
      <c r="O695" s="190"/>
    </row>
    <row r="696" spans="4:15" ht="14.25" customHeight="1">
      <c r="D696" s="61"/>
      <c r="E696" s="62"/>
      <c r="F696" s="63"/>
      <c r="G696" s="64"/>
      <c r="O696" s="190"/>
    </row>
    <row r="697" spans="4:15" ht="14.25" customHeight="1">
      <c r="D697" s="61"/>
      <c r="E697" s="62"/>
      <c r="F697" s="63"/>
      <c r="G697" s="64"/>
      <c r="O697" s="190"/>
    </row>
    <row r="698" spans="4:15" ht="14.25" customHeight="1">
      <c r="D698" s="61"/>
      <c r="E698" s="62"/>
      <c r="F698" s="63"/>
      <c r="G698" s="64"/>
      <c r="O698" s="190"/>
    </row>
    <row r="699" spans="4:15" ht="14.25" customHeight="1">
      <c r="D699" s="61"/>
      <c r="E699" s="62"/>
      <c r="F699" s="63"/>
      <c r="G699" s="64"/>
      <c r="O699" s="190"/>
    </row>
    <row r="700" spans="4:15" ht="14.25" customHeight="1">
      <c r="D700" s="61"/>
      <c r="E700" s="62"/>
      <c r="F700" s="63"/>
      <c r="G700" s="64"/>
      <c r="O700" s="190"/>
    </row>
    <row r="701" spans="4:15" ht="14.25" customHeight="1">
      <c r="D701" s="61"/>
      <c r="E701" s="62"/>
      <c r="F701" s="63"/>
      <c r="G701" s="64"/>
      <c r="O701" s="190"/>
    </row>
    <row r="702" spans="4:15" ht="14.25" customHeight="1">
      <c r="D702" s="61"/>
      <c r="E702" s="62"/>
      <c r="F702" s="63"/>
      <c r="G702" s="64"/>
      <c r="O702" s="190"/>
    </row>
    <row r="703" spans="4:15" ht="14.25" customHeight="1">
      <c r="D703" s="61"/>
      <c r="E703" s="62"/>
      <c r="F703" s="63"/>
      <c r="G703" s="64"/>
      <c r="O703" s="190"/>
    </row>
    <row r="704" spans="4:15" ht="14.25" customHeight="1">
      <c r="D704" s="61"/>
      <c r="E704" s="62"/>
      <c r="F704" s="63"/>
      <c r="G704" s="64"/>
      <c r="O704" s="190"/>
    </row>
    <row r="705" spans="4:15" ht="14.25" customHeight="1">
      <c r="D705" s="61"/>
      <c r="E705" s="62"/>
      <c r="F705" s="63"/>
      <c r="G705" s="64"/>
      <c r="O705" s="190"/>
    </row>
    <row r="706" spans="4:15" ht="14.25" customHeight="1">
      <c r="D706" s="61"/>
      <c r="E706" s="62"/>
      <c r="F706" s="63"/>
      <c r="G706" s="64"/>
      <c r="O706" s="190"/>
    </row>
    <row r="707" spans="4:15" ht="14.25" customHeight="1">
      <c r="D707" s="61"/>
      <c r="E707" s="62"/>
      <c r="F707" s="63"/>
      <c r="G707" s="64"/>
      <c r="O707" s="190"/>
    </row>
    <row r="708" spans="4:15" ht="14.25" customHeight="1">
      <c r="D708" s="61"/>
      <c r="E708" s="62"/>
      <c r="F708" s="63"/>
      <c r="G708" s="64"/>
      <c r="O708" s="190"/>
    </row>
    <row r="709" spans="4:15" ht="14.25" customHeight="1">
      <c r="D709" s="61"/>
      <c r="E709" s="62"/>
      <c r="F709" s="63"/>
      <c r="G709" s="64"/>
      <c r="O709" s="190"/>
    </row>
    <row r="710" spans="4:15" ht="14.25" customHeight="1">
      <c r="D710" s="61"/>
      <c r="E710" s="62"/>
      <c r="F710" s="63"/>
      <c r="G710" s="64"/>
      <c r="O710" s="190"/>
    </row>
    <row r="711" spans="4:15" ht="14.25" customHeight="1">
      <c r="D711" s="61"/>
      <c r="E711" s="62"/>
      <c r="F711" s="63"/>
      <c r="G711" s="64"/>
      <c r="O711" s="190"/>
    </row>
    <row r="712" spans="4:15" ht="14.25" customHeight="1">
      <c r="D712" s="61"/>
      <c r="E712" s="62"/>
      <c r="F712" s="63"/>
      <c r="G712" s="64"/>
      <c r="O712" s="190"/>
    </row>
    <row r="713" spans="4:15" ht="14.25" customHeight="1">
      <c r="D713" s="61"/>
      <c r="E713" s="62"/>
      <c r="F713" s="63"/>
      <c r="G713" s="64"/>
      <c r="O713" s="190"/>
    </row>
    <row r="714" spans="4:15" ht="14.25" customHeight="1">
      <c r="D714" s="61"/>
      <c r="E714" s="62"/>
      <c r="F714" s="63"/>
      <c r="G714" s="64"/>
      <c r="O714" s="190"/>
    </row>
    <row r="715" spans="4:15" ht="14.25" customHeight="1">
      <c r="D715" s="61"/>
      <c r="E715" s="62"/>
      <c r="F715" s="63"/>
      <c r="G715" s="64"/>
      <c r="O715" s="190"/>
    </row>
    <row r="716" spans="4:15" ht="14.25" customHeight="1">
      <c r="D716" s="61"/>
      <c r="E716" s="62"/>
      <c r="F716" s="63"/>
      <c r="G716" s="64"/>
      <c r="O716" s="190"/>
    </row>
    <row r="717" spans="4:15" ht="14.25" customHeight="1">
      <c r="D717" s="61"/>
      <c r="E717" s="62"/>
      <c r="F717" s="63"/>
      <c r="G717" s="64"/>
      <c r="O717" s="190"/>
    </row>
    <row r="718" spans="4:15" ht="14.25" customHeight="1">
      <c r="D718" s="61"/>
      <c r="E718" s="62"/>
      <c r="F718" s="63"/>
      <c r="G718" s="64"/>
      <c r="O718" s="190"/>
    </row>
    <row r="719" spans="4:15" ht="14.25" customHeight="1">
      <c r="D719" s="61"/>
      <c r="E719" s="62"/>
      <c r="F719" s="63"/>
      <c r="G719" s="64"/>
      <c r="O719" s="190"/>
    </row>
    <row r="720" spans="4:15" ht="14.25" customHeight="1">
      <c r="D720" s="61"/>
      <c r="E720" s="62"/>
      <c r="F720" s="63"/>
      <c r="G720" s="64"/>
      <c r="O720" s="190"/>
    </row>
    <row r="721" spans="4:15" ht="14.25" customHeight="1">
      <c r="D721" s="61"/>
      <c r="E721" s="62"/>
      <c r="F721" s="63"/>
      <c r="G721" s="64"/>
      <c r="O721" s="190"/>
    </row>
    <row r="722" spans="4:15" ht="14.25" customHeight="1">
      <c r="D722" s="61"/>
      <c r="E722" s="62"/>
      <c r="F722" s="63"/>
      <c r="G722" s="64"/>
      <c r="O722" s="190"/>
    </row>
    <row r="723" spans="4:15" ht="14.25" customHeight="1">
      <c r="D723" s="61"/>
      <c r="E723" s="62"/>
      <c r="F723" s="63"/>
      <c r="G723" s="64"/>
      <c r="O723" s="190"/>
    </row>
    <row r="724" spans="4:15" ht="14.25" customHeight="1">
      <c r="D724" s="61"/>
      <c r="E724" s="62"/>
      <c r="F724" s="63"/>
      <c r="G724" s="64"/>
      <c r="O724" s="190"/>
    </row>
    <row r="725" spans="4:15" ht="14.25" customHeight="1">
      <c r="D725" s="61"/>
      <c r="E725" s="62"/>
      <c r="F725" s="63"/>
      <c r="G725" s="64"/>
      <c r="O725" s="190"/>
    </row>
    <row r="726" spans="4:15" ht="14.25" customHeight="1">
      <c r="D726" s="61"/>
      <c r="E726" s="62"/>
      <c r="F726" s="63"/>
      <c r="G726" s="64"/>
      <c r="O726" s="190"/>
    </row>
    <row r="727" spans="4:15" ht="14.25" customHeight="1">
      <c r="D727" s="61"/>
      <c r="E727" s="62"/>
      <c r="F727" s="63"/>
      <c r="G727" s="64"/>
      <c r="O727" s="190"/>
    </row>
    <row r="728" spans="4:15" ht="14.25" customHeight="1">
      <c r="D728" s="61"/>
      <c r="E728" s="62"/>
      <c r="F728" s="63"/>
      <c r="G728" s="64"/>
      <c r="O728" s="190"/>
    </row>
    <row r="729" spans="4:15" ht="14.25" customHeight="1">
      <c r="D729" s="61"/>
      <c r="E729" s="62"/>
      <c r="F729" s="63"/>
      <c r="G729" s="64"/>
      <c r="O729" s="190"/>
    </row>
    <row r="730" spans="4:15" ht="14.25" customHeight="1">
      <c r="D730" s="61"/>
      <c r="E730" s="62"/>
      <c r="F730" s="63"/>
      <c r="G730" s="64"/>
      <c r="O730" s="190"/>
    </row>
    <row r="731" spans="4:15" ht="14.25" customHeight="1">
      <c r="D731" s="61"/>
      <c r="E731" s="62"/>
      <c r="F731" s="63"/>
      <c r="G731" s="64"/>
      <c r="O731" s="190"/>
    </row>
    <row r="732" spans="4:15" ht="14.25" customHeight="1">
      <c r="D732" s="61"/>
      <c r="E732" s="62"/>
      <c r="F732" s="63"/>
      <c r="G732" s="64"/>
      <c r="O732" s="190"/>
    </row>
    <row r="733" spans="4:15" ht="14.25" customHeight="1">
      <c r="D733" s="61"/>
      <c r="E733" s="62"/>
      <c r="F733" s="63"/>
      <c r="G733" s="64"/>
      <c r="O733" s="190"/>
    </row>
    <row r="734" spans="4:15" ht="14.25" customHeight="1">
      <c r="D734" s="61"/>
      <c r="E734" s="62"/>
      <c r="F734" s="63"/>
      <c r="G734" s="64"/>
      <c r="O734" s="190"/>
    </row>
    <row r="735" spans="4:15" ht="14.25" customHeight="1">
      <c r="D735" s="61"/>
      <c r="E735" s="62"/>
      <c r="F735" s="63"/>
      <c r="G735" s="64"/>
      <c r="O735" s="190"/>
    </row>
    <row r="736" spans="4:15" ht="14.25" customHeight="1">
      <c r="D736" s="61"/>
      <c r="E736" s="62"/>
      <c r="F736" s="63"/>
      <c r="G736" s="64"/>
      <c r="O736" s="190"/>
    </row>
    <row r="737" spans="4:15" ht="14.25" customHeight="1">
      <c r="D737" s="61"/>
      <c r="E737" s="62"/>
      <c r="F737" s="63"/>
      <c r="G737" s="64"/>
      <c r="O737" s="190"/>
    </row>
    <row r="738" spans="4:15" ht="14.25" customHeight="1">
      <c r="D738" s="61"/>
      <c r="E738" s="62"/>
      <c r="F738" s="63"/>
      <c r="G738" s="64"/>
      <c r="O738" s="190"/>
    </row>
    <row r="739" spans="4:15" ht="14.25" customHeight="1">
      <c r="D739" s="61"/>
      <c r="E739" s="62"/>
      <c r="F739" s="63"/>
      <c r="G739" s="64"/>
      <c r="O739" s="190"/>
    </row>
    <row r="740" spans="4:15" ht="14.25" customHeight="1">
      <c r="D740" s="61"/>
      <c r="E740" s="62"/>
      <c r="F740" s="63"/>
      <c r="G740" s="64"/>
      <c r="O740" s="190"/>
    </row>
    <row r="741" spans="4:15" ht="14.25" customHeight="1">
      <c r="D741" s="61"/>
      <c r="E741" s="62"/>
      <c r="F741" s="63"/>
      <c r="G741" s="64"/>
      <c r="O741" s="190"/>
    </row>
    <row r="742" spans="4:15" ht="14.25" customHeight="1">
      <c r="D742" s="61"/>
      <c r="E742" s="62"/>
      <c r="F742" s="63"/>
      <c r="G742" s="64"/>
      <c r="O742" s="190"/>
    </row>
    <row r="743" spans="4:15" ht="14.25" customHeight="1">
      <c r="D743" s="61"/>
      <c r="E743" s="62"/>
      <c r="F743" s="63"/>
      <c r="G743" s="64"/>
      <c r="O743" s="190"/>
    </row>
    <row r="744" spans="4:15" ht="14.25" customHeight="1">
      <c r="D744" s="61"/>
      <c r="E744" s="62"/>
      <c r="F744" s="63"/>
      <c r="G744" s="64"/>
      <c r="O744" s="190"/>
    </row>
    <row r="745" spans="4:15" ht="14.25" customHeight="1">
      <c r="D745" s="61"/>
      <c r="E745" s="62"/>
      <c r="F745" s="63"/>
      <c r="G745" s="64"/>
      <c r="O745" s="190"/>
    </row>
    <row r="746" spans="4:15" ht="14.25" customHeight="1">
      <c r="D746" s="61"/>
      <c r="E746" s="62"/>
      <c r="F746" s="63"/>
      <c r="G746" s="64"/>
      <c r="O746" s="190"/>
    </row>
    <row r="747" spans="4:15" ht="14.25" customHeight="1">
      <c r="D747" s="61"/>
      <c r="E747" s="62"/>
      <c r="F747" s="63"/>
      <c r="G747" s="64"/>
      <c r="O747" s="190"/>
    </row>
    <row r="748" spans="4:15" ht="14.25" customHeight="1">
      <c r="D748" s="61"/>
      <c r="E748" s="62"/>
      <c r="F748" s="63"/>
      <c r="G748" s="64"/>
      <c r="O748" s="190"/>
    </row>
    <row r="749" spans="4:15" ht="14.25" customHeight="1">
      <c r="D749" s="61"/>
      <c r="E749" s="62"/>
      <c r="F749" s="63"/>
      <c r="G749" s="64"/>
      <c r="O749" s="190"/>
    </row>
    <row r="750" spans="4:15" ht="14.25" customHeight="1">
      <c r="D750" s="61"/>
      <c r="E750" s="62"/>
      <c r="F750" s="63"/>
      <c r="G750" s="64"/>
      <c r="O750" s="190"/>
    </row>
    <row r="751" spans="4:15" ht="14.25" customHeight="1">
      <c r="D751" s="61"/>
      <c r="E751" s="62"/>
      <c r="F751" s="63"/>
      <c r="G751" s="64"/>
      <c r="O751" s="190"/>
    </row>
    <row r="752" spans="4:15" ht="14.25" customHeight="1">
      <c r="D752" s="61"/>
      <c r="E752" s="62"/>
      <c r="F752" s="63"/>
      <c r="G752" s="64"/>
      <c r="O752" s="190"/>
    </row>
    <row r="753" spans="4:15" ht="14.25" customHeight="1">
      <c r="D753" s="61"/>
      <c r="E753" s="62"/>
      <c r="F753" s="63"/>
      <c r="G753" s="64"/>
      <c r="O753" s="190"/>
    </row>
    <row r="754" spans="4:15" ht="14.25" customHeight="1">
      <c r="D754" s="61"/>
      <c r="E754" s="62"/>
      <c r="F754" s="63"/>
      <c r="G754" s="64"/>
      <c r="O754" s="190"/>
    </row>
    <row r="755" spans="4:15" ht="14.25" customHeight="1">
      <c r="D755" s="61"/>
      <c r="E755" s="62"/>
      <c r="F755" s="63"/>
      <c r="G755" s="64"/>
      <c r="O755" s="190"/>
    </row>
    <row r="756" spans="4:15" ht="14.25" customHeight="1">
      <c r="D756" s="61"/>
      <c r="E756" s="62"/>
      <c r="F756" s="63"/>
      <c r="G756" s="64"/>
      <c r="O756" s="190"/>
    </row>
    <row r="757" spans="4:15" ht="14.25" customHeight="1">
      <c r="D757" s="61"/>
      <c r="E757" s="62"/>
      <c r="F757" s="63"/>
      <c r="G757" s="64"/>
      <c r="O757" s="190"/>
    </row>
    <row r="758" spans="4:15" ht="14.25" customHeight="1">
      <c r="D758" s="61"/>
      <c r="E758" s="62"/>
      <c r="F758" s="63"/>
      <c r="G758" s="64"/>
      <c r="O758" s="190"/>
    </row>
    <row r="759" spans="4:15" ht="14.25" customHeight="1">
      <c r="D759" s="61"/>
      <c r="E759" s="62"/>
      <c r="F759" s="63"/>
      <c r="G759" s="64"/>
      <c r="O759" s="190"/>
    </row>
    <row r="760" spans="4:15" ht="14.25" customHeight="1">
      <c r="D760" s="61"/>
      <c r="E760" s="62"/>
      <c r="F760" s="63"/>
      <c r="G760" s="64"/>
      <c r="O760" s="190"/>
    </row>
    <row r="761" spans="4:15" ht="14.25" customHeight="1">
      <c r="D761" s="61"/>
      <c r="E761" s="62"/>
      <c r="F761" s="63"/>
      <c r="G761" s="64"/>
      <c r="O761" s="190"/>
    </row>
    <row r="762" spans="4:15" ht="14.25" customHeight="1">
      <c r="D762" s="61"/>
      <c r="E762" s="62"/>
      <c r="F762" s="63"/>
      <c r="G762" s="64"/>
      <c r="O762" s="190"/>
    </row>
    <row r="763" spans="4:15" ht="14.25" customHeight="1">
      <c r="D763" s="61"/>
      <c r="E763" s="62"/>
      <c r="F763" s="63"/>
      <c r="G763" s="64"/>
      <c r="O763" s="190"/>
    </row>
    <row r="764" spans="4:15" ht="14.25" customHeight="1">
      <c r="D764" s="61"/>
      <c r="E764" s="62"/>
      <c r="F764" s="63"/>
      <c r="G764" s="64"/>
      <c r="O764" s="190"/>
    </row>
    <row r="765" spans="4:15" ht="14.25" customHeight="1">
      <c r="D765" s="61"/>
      <c r="E765" s="62"/>
      <c r="F765" s="63"/>
      <c r="G765" s="64"/>
      <c r="O765" s="190"/>
    </row>
    <row r="766" spans="4:15" ht="14.25" customHeight="1">
      <c r="D766" s="61"/>
      <c r="E766" s="62"/>
      <c r="F766" s="63"/>
      <c r="G766" s="64"/>
      <c r="O766" s="190"/>
    </row>
    <row r="767" spans="4:15" ht="14.25" customHeight="1">
      <c r="D767" s="61"/>
      <c r="E767" s="62"/>
      <c r="F767" s="63"/>
      <c r="G767" s="64"/>
      <c r="O767" s="190"/>
    </row>
    <row r="768" spans="4:15" ht="14.25" customHeight="1">
      <c r="D768" s="61"/>
      <c r="E768" s="62"/>
      <c r="F768" s="63"/>
      <c r="G768" s="64"/>
      <c r="O768" s="190"/>
    </row>
    <row r="769" spans="4:15" ht="14.25" customHeight="1">
      <c r="D769" s="61"/>
      <c r="E769" s="62"/>
      <c r="F769" s="63"/>
      <c r="G769" s="64"/>
      <c r="O769" s="190"/>
    </row>
    <row r="770" spans="4:15" ht="14.25" customHeight="1">
      <c r="D770" s="61"/>
      <c r="E770" s="62"/>
      <c r="F770" s="63"/>
      <c r="G770" s="64"/>
      <c r="O770" s="190"/>
    </row>
    <row r="771" spans="4:15" ht="14.25" customHeight="1">
      <c r="D771" s="61"/>
      <c r="E771" s="62"/>
      <c r="F771" s="63"/>
      <c r="G771" s="64"/>
      <c r="O771" s="190"/>
    </row>
    <row r="772" spans="4:15" ht="14.25" customHeight="1">
      <c r="D772" s="61"/>
      <c r="E772" s="62"/>
      <c r="F772" s="63"/>
      <c r="G772" s="64"/>
      <c r="O772" s="190"/>
    </row>
    <row r="773" spans="4:15" ht="14.25" customHeight="1">
      <c r="D773" s="61"/>
      <c r="E773" s="62"/>
      <c r="F773" s="63"/>
      <c r="G773" s="64"/>
      <c r="O773" s="190"/>
    </row>
    <row r="774" spans="4:15" ht="14.25" customHeight="1">
      <c r="D774" s="61"/>
      <c r="E774" s="62"/>
      <c r="F774" s="63"/>
      <c r="G774" s="64"/>
      <c r="O774" s="190"/>
    </row>
    <row r="775" spans="4:15" ht="14.25" customHeight="1">
      <c r="D775" s="61"/>
      <c r="E775" s="62"/>
      <c r="F775" s="63"/>
      <c r="G775" s="64"/>
      <c r="O775" s="190"/>
    </row>
    <row r="776" spans="4:15" ht="14.25" customHeight="1">
      <c r="D776" s="61"/>
      <c r="E776" s="62"/>
      <c r="F776" s="63"/>
      <c r="G776" s="64"/>
      <c r="O776" s="190"/>
    </row>
    <row r="777" spans="4:15" ht="14.25" customHeight="1">
      <c r="D777" s="61"/>
      <c r="E777" s="62"/>
      <c r="F777" s="63"/>
      <c r="G777" s="64"/>
      <c r="O777" s="190"/>
    </row>
    <row r="778" spans="4:15" ht="14.25" customHeight="1">
      <c r="D778" s="61"/>
      <c r="E778" s="62"/>
      <c r="F778" s="63"/>
      <c r="G778" s="64"/>
      <c r="O778" s="190"/>
    </row>
    <row r="779" spans="4:15" ht="14.25" customHeight="1">
      <c r="D779" s="61"/>
      <c r="E779" s="62"/>
      <c r="F779" s="63"/>
      <c r="G779" s="64"/>
      <c r="O779" s="190"/>
    </row>
    <row r="780" spans="4:15" ht="14.25" customHeight="1">
      <c r="D780" s="61"/>
      <c r="E780" s="62"/>
      <c r="F780" s="63"/>
      <c r="G780" s="64"/>
      <c r="O780" s="190"/>
    </row>
    <row r="781" spans="4:15" ht="14.25" customHeight="1">
      <c r="D781" s="61"/>
      <c r="E781" s="62"/>
      <c r="F781" s="63"/>
      <c r="G781" s="64"/>
      <c r="O781" s="190"/>
    </row>
    <row r="782" spans="4:15" ht="14.25" customHeight="1">
      <c r="D782" s="61"/>
      <c r="E782" s="62"/>
      <c r="F782" s="63"/>
      <c r="G782" s="64"/>
      <c r="O782" s="190"/>
    </row>
    <row r="783" spans="4:15" ht="14.25" customHeight="1">
      <c r="D783" s="61"/>
      <c r="E783" s="62"/>
      <c r="F783" s="63"/>
      <c r="G783" s="64"/>
      <c r="O783" s="190"/>
    </row>
    <row r="784" spans="4:15" ht="14.25" customHeight="1">
      <c r="D784" s="61"/>
      <c r="E784" s="62"/>
      <c r="F784" s="63"/>
      <c r="G784" s="64"/>
      <c r="O784" s="190"/>
    </row>
    <row r="785" spans="4:15" ht="14.25" customHeight="1">
      <c r="D785" s="61"/>
      <c r="E785" s="62"/>
      <c r="F785" s="63"/>
      <c r="G785" s="64"/>
      <c r="O785" s="190"/>
    </row>
    <row r="786" spans="4:15" ht="14.25" customHeight="1">
      <c r="D786" s="61"/>
      <c r="E786" s="62"/>
      <c r="F786" s="63"/>
      <c r="G786" s="64"/>
      <c r="O786" s="190"/>
    </row>
    <row r="787" spans="4:15" ht="14.25" customHeight="1">
      <c r="D787" s="61"/>
      <c r="E787" s="62"/>
      <c r="F787" s="63"/>
      <c r="G787" s="64"/>
      <c r="O787" s="190"/>
    </row>
    <row r="788" spans="4:15" ht="14.25" customHeight="1">
      <c r="D788" s="61"/>
      <c r="E788" s="62"/>
      <c r="F788" s="63"/>
      <c r="G788" s="64"/>
      <c r="O788" s="190"/>
    </row>
    <row r="789" spans="4:15" ht="14.25" customHeight="1">
      <c r="D789" s="61"/>
      <c r="E789" s="62"/>
      <c r="F789" s="63"/>
      <c r="G789" s="64"/>
      <c r="O789" s="190"/>
    </row>
    <row r="790" spans="4:15" ht="14.25" customHeight="1">
      <c r="D790" s="61"/>
      <c r="E790" s="62"/>
      <c r="F790" s="63"/>
      <c r="G790" s="64"/>
      <c r="O790" s="190"/>
    </row>
    <row r="791" spans="4:15" ht="14.25" customHeight="1">
      <c r="D791" s="61"/>
      <c r="E791" s="62"/>
      <c r="F791" s="63"/>
      <c r="G791" s="64"/>
      <c r="O791" s="190"/>
    </row>
    <row r="792" spans="4:15" ht="14.25" customHeight="1">
      <c r="D792" s="61"/>
      <c r="E792" s="62"/>
      <c r="F792" s="63"/>
      <c r="G792" s="64"/>
      <c r="O792" s="190"/>
    </row>
    <row r="793" spans="4:15" ht="14.25" customHeight="1">
      <c r="D793" s="61"/>
      <c r="E793" s="62"/>
      <c r="F793" s="63"/>
      <c r="G793" s="64"/>
      <c r="O793" s="190"/>
    </row>
    <row r="794" spans="4:15" ht="14.25" customHeight="1">
      <c r="D794" s="61"/>
      <c r="E794" s="62"/>
      <c r="F794" s="63"/>
      <c r="G794" s="64"/>
      <c r="O794" s="190"/>
    </row>
    <row r="795" spans="4:15" ht="14.25" customHeight="1">
      <c r="D795" s="61"/>
      <c r="E795" s="62"/>
      <c r="F795" s="63"/>
      <c r="G795" s="64"/>
      <c r="O795" s="190"/>
    </row>
    <row r="796" spans="4:15" ht="14.25" customHeight="1">
      <c r="D796" s="61"/>
      <c r="E796" s="62"/>
      <c r="F796" s="63"/>
      <c r="G796" s="64"/>
      <c r="O796" s="190"/>
    </row>
    <row r="797" spans="4:15" ht="14.25" customHeight="1">
      <c r="D797" s="61"/>
      <c r="E797" s="62"/>
      <c r="F797" s="63"/>
      <c r="G797" s="64"/>
      <c r="O797" s="190"/>
    </row>
    <row r="798" spans="4:15" ht="14.25" customHeight="1">
      <c r="D798" s="61"/>
      <c r="E798" s="62"/>
      <c r="F798" s="63"/>
      <c r="G798" s="64"/>
      <c r="O798" s="190"/>
    </row>
    <row r="799" spans="4:15" ht="14.25" customHeight="1">
      <c r="D799" s="61"/>
      <c r="E799" s="62"/>
      <c r="F799" s="63"/>
      <c r="G799" s="64"/>
      <c r="O799" s="190"/>
    </row>
    <row r="800" spans="4:15" ht="14.25" customHeight="1">
      <c r="D800" s="61"/>
      <c r="E800" s="62"/>
      <c r="F800" s="63"/>
      <c r="G800" s="64"/>
      <c r="O800" s="190"/>
    </row>
    <row r="801" spans="4:15" ht="14.25" customHeight="1">
      <c r="D801" s="61"/>
      <c r="E801" s="62"/>
      <c r="F801" s="63"/>
      <c r="G801" s="64"/>
      <c r="O801" s="190"/>
    </row>
    <row r="802" spans="4:15" ht="14.25" customHeight="1">
      <c r="D802" s="61"/>
      <c r="E802" s="62"/>
      <c r="F802" s="63"/>
      <c r="G802" s="64"/>
      <c r="O802" s="190"/>
    </row>
    <row r="803" spans="4:15" ht="14.25" customHeight="1">
      <c r="D803" s="61"/>
      <c r="E803" s="62"/>
      <c r="F803" s="63"/>
      <c r="G803" s="64"/>
      <c r="O803" s="190"/>
    </row>
    <row r="804" spans="4:15" ht="14.25" customHeight="1">
      <c r="D804" s="61"/>
      <c r="E804" s="62"/>
      <c r="F804" s="63"/>
      <c r="G804" s="64"/>
      <c r="O804" s="190"/>
    </row>
    <row r="805" spans="4:15" ht="14.25" customHeight="1">
      <c r="D805" s="61"/>
      <c r="E805" s="62"/>
      <c r="F805" s="63"/>
      <c r="G805" s="64"/>
      <c r="O805" s="190"/>
    </row>
    <row r="806" spans="4:15" ht="14.25" customHeight="1">
      <c r="D806" s="61"/>
      <c r="E806" s="62"/>
      <c r="F806" s="63"/>
      <c r="G806" s="64"/>
      <c r="O806" s="190"/>
    </row>
    <row r="807" spans="4:15" ht="14.25" customHeight="1">
      <c r="D807" s="61"/>
      <c r="E807" s="62"/>
      <c r="F807" s="63"/>
      <c r="G807" s="64"/>
      <c r="O807" s="190"/>
    </row>
    <row r="808" spans="4:15" ht="14.25" customHeight="1">
      <c r="D808" s="61"/>
      <c r="E808" s="62"/>
      <c r="F808" s="63"/>
      <c r="G808" s="64"/>
      <c r="O808" s="190"/>
    </row>
    <row r="809" spans="4:15" ht="14.25" customHeight="1">
      <c r="D809" s="61"/>
      <c r="E809" s="62"/>
      <c r="F809" s="63"/>
      <c r="G809" s="64"/>
      <c r="O809" s="190"/>
    </row>
    <row r="810" spans="4:15" ht="14.25" customHeight="1">
      <c r="D810" s="61"/>
      <c r="E810" s="62"/>
      <c r="F810" s="63"/>
      <c r="G810" s="64"/>
      <c r="O810" s="190"/>
    </row>
    <row r="811" spans="4:15" ht="14.25" customHeight="1">
      <c r="D811" s="61"/>
      <c r="E811" s="62"/>
      <c r="F811" s="63"/>
      <c r="G811" s="64"/>
      <c r="O811" s="190"/>
    </row>
    <row r="812" spans="4:15" ht="14.25" customHeight="1">
      <c r="D812" s="61"/>
      <c r="E812" s="62"/>
      <c r="F812" s="63"/>
      <c r="G812" s="64"/>
      <c r="O812" s="190"/>
    </row>
    <row r="813" spans="4:15" ht="14.25" customHeight="1">
      <c r="D813" s="61"/>
      <c r="E813" s="62"/>
      <c r="F813" s="63"/>
      <c r="G813" s="64"/>
      <c r="O813" s="190"/>
    </row>
    <row r="814" spans="4:15" ht="14.25" customHeight="1">
      <c r="D814" s="61"/>
      <c r="E814" s="62"/>
      <c r="F814" s="63"/>
      <c r="G814" s="64"/>
      <c r="O814" s="190"/>
    </row>
    <row r="815" spans="4:15" ht="14.25" customHeight="1">
      <c r="D815" s="61"/>
      <c r="E815" s="62"/>
      <c r="F815" s="63"/>
      <c r="G815" s="64"/>
      <c r="O815" s="190"/>
    </row>
    <row r="816" spans="4:15" ht="14.25" customHeight="1">
      <c r="D816" s="61"/>
      <c r="E816" s="62"/>
      <c r="F816" s="63"/>
      <c r="G816" s="64"/>
      <c r="O816" s="190"/>
    </row>
    <row r="817" spans="4:15" ht="14.25" customHeight="1">
      <c r="D817" s="61"/>
      <c r="E817" s="62"/>
      <c r="F817" s="63"/>
      <c r="G817" s="64"/>
      <c r="O817" s="190"/>
    </row>
    <row r="818" spans="4:15" ht="14.25" customHeight="1">
      <c r="D818" s="61"/>
      <c r="E818" s="62"/>
      <c r="F818" s="63"/>
      <c r="G818" s="64"/>
      <c r="O818" s="190"/>
    </row>
    <row r="819" spans="4:15" ht="14.25" customHeight="1">
      <c r="D819" s="61"/>
      <c r="E819" s="62"/>
      <c r="F819" s="63"/>
      <c r="G819" s="64"/>
      <c r="O819" s="190"/>
    </row>
    <row r="820" spans="4:15" ht="14.25" customHeight="1">
      <c r="D820" s="61"/>
      <c r="E820" s="62"/>
      <c r="F820" s="63"/>
      <c r="G820" s="64"/>
      <c r="O820" s="190"/>
    </row>
    <row r="821" spans="4:15" ht="14.25" customHeight="1">
      <c r="D821" s="61"/>
      <c r="E821" s="62"/>
      <c r="F821" s="63"/>
      <c r="G821" s="64"/>
      <c r="O821" s="190"/>
    </row>
    <row r="822" spans="4:15" ht="14.25" customHeight="1">
      <c r="D822" s="61"/>
      <c r="E822" s="62"/>
      <c r="F822" s="63"/>
      <c r="G822" s="64"/>
      <c r="O822" s="190"/>
    </row>
    <row r="823" spans="4:15" ht="14.25" customHeight="1">
      <c r="D823" s="61"/>
      <c r="E823" s="62"/>
      <c r="F823" s="63"/>
      <c r="G823" s="64"/>
      <c r="O823" s="190"/>
    </row>
    <row r="824" spans="4:15" ht="14.25" customHeight="1">
      <c r="D824" s="61"/>
      <c r="E824" s="62"/>
      <c r="F824" s="63"/>
      <c r="G824" s="64"/>
      <c r="O824" s="190"/>
    </row>
    <row r="825" spans="4:15" ht="14.25" customHeight="1">
      <c r="D825" s="61"/>
      <c r="E825" s="62"/>
      <c r="F825" s="63"/>
      <c r="G825" s="64"/>
      <c r="O825" s="190"/>
    </row>
    <row r="826" spans="4:15" ht="14.25" customHeight="1">
      <c r="D826" s="61"/>
      <c r="E826" s="62"/>
      <c r="F826" s="63"/>
      <c r="G826" s="64"/>
      <c r="O826" s="190"/>
    </row>
    <row r="827" spans="4:15" ht="14.25" customHeight="1">
      <c r="D827" s="61"/>
      <c r="E827" s="62"/>
      <c r="F827" s="63"/>
      <c r="G827" s="64"/>
      <c r="O827" s="190"/>
    </row>
    <row r="828" spans="4:15" ht="14.25" customHeight="1">
      <c r="D828" s="61"/>
      <c r="E828" s="62"/>
      <c r="F828" s="63"/>
      <c r="G828" s="64"/>
      <c r="O828" s="190"/>
    </row>
    <row r="829" spans="4:15" ht="14.25" customHeight="1">
      <c r="D829" s="61"/>
      <c r="E829" s="62"/>
      <c r="F829" s="63"/>
      <c r="G829" s="64"/>
      <c r="O829" s="190"/>
    </row>
    <row r="830" spans="4:15" ht="14.25" customHeight="1">
      <c r="D830" s="61"/>
      <c r="E830" s="62"/>
      <c r="F830" s="63"/>
      <c r="G830" s="64"/>
      <c r="O830" s="190"/>
    </row>
    <row r="831" spans="4:15" ht="14.25" customHeight="1">
      <c r="D831" s="61"/>
      <c r="E831" s="62"/>
      <c r="F831" s="63"/>
      <c r="G831" s="64"/>
      <c r="O831" s="190"/>
    </row>
    <row r="832" spans="4:15" ht="14.25" customHeight="1">
      <c r="D832" s="61"/>
      <c r="E832" s="62"/>
      <c r="F832" s="63"/>
      <c r="G832" s="64"/>
      <c r="O832" s="190"/>
    </row>
    <row r="833" spans="4:15" ht="14.25" customHeight="1">
      <c r="D833" s="61"/>
      <c r="E833" s="62"/>
      <c r="F833" s="63"/>
      <c r="G833" s="64"/>
      <c r="O833" s="190"/>
    </row>
    <row r="834" spans="4:15" ht="14.25" customHeight="1">
      <c r="D834" s="61"/>
      <c r="E834" s="62"/>
      <c r="F834" s="63"/>
      <c r="G834" s="64"/>
      <c r="O834" s="190"/>
    </row>
    <row r="835" spans="4:15" ht="14.25" customHeight="1">
      <c r="D835" s="61"/>
      <c r="E835" s="62"/>
      <c r="F835" s="63"/>
      <c r="G835" s="64"/>
      <c r="O835" s="190"/>
    </row>
    <row r="836" spans="4:15" ht="14.25" customHeight="1">
      <c r="D836" s="61"/>
      <c r="E836" s="62"/>
      <c r="F836" s="63"/>
      <c r="G836" s="64"/>
      <c r="O836" s="190"/>
    </row>
    <row r="837" spans="4:15" ht="14.25" customHeight="1">
      <c r="D837" s="61"/>
      <c r="E837" s="62"/>
      <c r="F837" s="63"/>
      <c r="G837" s="64"/>
      <c r="O837" s="190"/>
    </row>
    <row r="838" spans="4:15" ht="14.25" customHeight="1">
      <c r="D838" s="61"/>
      <c r="E838" s="62"/>
      <c r="F838" s="63"/>
      <c r="G838" s="64"/>
      <c r="O838" s="190"/>
    </row>
    <row r="839" spans="4:15" ht="14.25" customHeight="1">
      <c r="D839" s="61"/>
      <c r="E839" s="62"/>
      <c r="F839" s="63"/>
      <c r="G839" s="64"/>
      <c r="O839" s="190"/>
    </row>
    <row r="840" spans="4:15" ht="14.25" customHeight="1">
      <c r="D840" s="61"/>
      <c r="E840" s="62"/>
      <c r="F840" s="63"/>
      <c r="G840" s="64"/>
      <c r="O840" s="190"/>
    </row>
    <row r="841" spans="4:15" ht="14.25" customHeight="1">
      <c r="D841" s="61"/>
      <c r="E841" s="62"/>
      <c r="F841" s="63"/>
      <c r="G841" s="64"/>
      <c r="O841" s="190"/>
    </row>
    <row r="842" spans="4:15" ht="14.25" customHeight="1">
      <c r="D842" s="61"/>
      <c r="E842" s="62"/>
      <c r="F842" s="63"/>
      <c r="G842" s="64"/>
      <c r="O842" s="190"/>
    </row>
    <row r="843" spans="4:15" ht="14.25" customHeight="1">
      <c r="D843" s="61"/>
      <c r="E843" s="62"/>
      <c r="F843" s="63"/>
      <c r="G843" s="64"/>
      <c r="O843" s="190"/>
    </row>
    <row r="844" spans="4:15" ht="14.25" customHeight="1">
      <c r="D844" s="61"/>
      <c r="E844" s="62"/>
      <c r="F844" s="63"/>
      <c r="G844" s="64"/>
      <c r="O844" s="190"/>
    </row>
    <row r="845" spans="4:15" ht="14.25" customHeight="1">
      <c r="D845" s="61"/>
      <c r="E845" s="62"/>
      <c r="F845" s="63"/>
      <c r="G845" s="64"/>
      <c r="O845" s="190"/>
    </row>
    <row r="846" spans="4:15" ht="14.25" customHeight="1">
      <c r="D846" s="61"/>
      <c r="E846" s="62"/>
      <c r="F846" s="63"/>
      <c r="G846" s="64"/>
      <c r="O846" s="190"/>
    </row>
    <row r="847" spans="4:15" ht="14.25" customHeight="1">
      <c r="D847" s="61"/>
      <c r="E847" s="62"/>
      <c r="F847" s="63"/>
      <c r="G847" s="64"/>
      <c r="O847" s="190"/>
    </row>
    <row r="848" spans="4:15" ht="14.25" customHeight="1">
      <c r="D848" s="61"/>
      <c r="E848" s="62"/>
      <c r="F848" s="63"/>
      <c r="G848" s="64"/>
      <c r="O848" s="190"/>
    </row>
    <row r="849" spans="4:15" ht="14.25" customHeight="1">
      <c r="D849" s="61"/>
      <c r="E849" s="62"/>
      <c r="F849" s="63"/>
      <c r="G849" s="64"/>
      <c r="O849" s="190"/>
    </row>
    <row r="850" spans="4:15" ht="14.25" customHeight="1">
      <c r="D850" s="61"/>
      <c r="E850" s="62"/>
      <c r="F850" s="63"/>
      <c r="G850" s="64"/>
      <c r="O850" s="190"/>
    </row>
    <row r="851" spans="4:15" ht="14.25" customHeight="1">
      <c r="D851" s="61"/>
      <c r="E851" s="62"/>
      <c r="F851" s="63"/>
      <c r="G851" s="64"/>
      <c r="O851" s="190"/>
    </row>
    <row r="852" spans="4:15" ht="14.25" customHeight="1">
      <c r="D852" s="61"/>
      <c r="E852" s="62"/>
      <c r="F852" s="63"/>
      <c r="G852" s="64"/>
      <c r="O852" s="190"/>
    </row>
    <row r="853" spans="4:15" ht="14.25" customHeight="1">
      <c r="D853" s="61"/>
      <c r="E853" s="62"/>
      <c r="F853" s="63"/>
      <c r="G853" s="64"/>
      <c r="O853" s="190"/>
    </row>
    <row r="854" spans="4:15" ht="14.25" customHeight="1">
      <c r="D854" s="61"/>
      <c r="E854" s="62"/>
      <c r="F854" s="63"/>
      <c r="G854" s="64"/>
      <c r="O854" s="190"/>
    </row>
    <row r="855" spans="4:15" ht="14.25" customHeight="1">
      <c r="D855" s="61"/>
      <c r="E855" s="62"/>
      <c r="F855" s="63"/>
      <c r="G855" s="64"/>
      <c r="O855" s="190"/>
    </row>
    <row r="856" spans="4:15" ht="14.25" customHeight="1">
      <c r="D856" s="61"/>
      <c r="E856" s="62"/>
      <c r="F856" s="63"/>
      <c r="G856" s="64"/>
      <c r="O856" s="190"/>
    </row>
    <row r="857" spans="4:15" ht="14.25" customHeight="1">
      <c r="D857" s="61"/>
      <c r="E857" s="62"/>
      <c r="F857" s="63"/>
      <c r="G857" s="64"/>
      <c r="O857" s="190"/>
    </row>
    <row r="858" spans="4:15" ht="14.25" customHeight="1">
      <c r="D858" s="61"/>
      <c r="E858" s="62"/>
      <c r="F858" s="63"/>
      <c r="G858" s="64"/>
      <c r="O858" s="190"/>
    </row>
    <row r="859" spans="4:15" ht="14.25" customHeight="1">
      <c r="D859" s="61"/>
      <c r="E859" s="62"/>
      <c r="F859" s="63"/>
      <c r="G859" s="64"/>
      <c r="O859" s="190"/>
    </row>
    <row r="860" spans="4:15" ht="14.25" customHeight="1">
      <c r="D860" s="61"/>
      <c r="E860" s="62"/>
      <c r="F860" s="63"/>
      <c r="G860" s="64"/>
      <c r="O860" s="190"/>
    </row>
    <row r="861" spans="4:15" ht="14.25" customHeight="1">
      <c r="D861" s="61"/>
      <c r="E861" s="62"/>
      <c r="F861" s="63"/>
      <c r="G861" s="64"/>
      <c r="O861" s="190"/>
    </row>
    <row r="862" spans="4:15" ht="14.25" customHeight="1">
      <c r="D862" s="61"/>
      <c r="E862" s="62"/>
      <c r="F862" s="63"/>
      <c r="G862" s="64"/>
      <c r="O862" s="190"/>
    </row>
    <row r="863" spans="4:15" ht="14.25" customHeight="1">
      <c r="D863" s="61"/>
      <c r="E863" s="62"/>
      <c r="F863" s="63"/>
      <c r="G863" s="64"/>
      <c r="O863" s="190"/>
    </row>
    <row r="864" spans="4:15" ht="14.25" customHeight="1">
      <c r="D864" s="61"/>
      <c r="E864" s="62"/>
      <c r="F864" s="63"/>
      <c r="G864" s="64"/>
      <c r="O864" s="190"/>
    </row>
    <row r="865" spans="4:15" ht="14.25" customHeight="1">
      <c r="D865" s="61"/>
      <c r="E865" s="62"/>
      <c r="F865" s="63"/>
      <c r="G865" s="64"/>
      <c r="O865" s="190"/>
    </row>
    <row r="866" spans="4:15" ht="14.25" customHeight="1">
      <c r="D866" s="61"/>
      <c r="E866" s="62"/>
      <c r="F866" s="63"/>
      <c r="G866" s="64"/>
      <c r="O866" s="190"/>
    </row>
    <row r="867" spans="4:15" ht="14.25" customHeight="1">
      <c r="D867" s="61"/>
      <c r="E867" s="62"/>
      <c r="F867" s="63"/>
      <c r="G867" s="64"/>
      <c r="O867" s="190"/>
    </row>
    <row r="868" spans="4:15" ht="14.25" customHeight="1">
      <c r="D868" s="61"/>
      <c r="E868" s="62"/>
      <c r="F868" s="63"/>
      <c r="G868" s="64"/>
      <c r="O868" s="190"/>
    </row>
    <row r="869" spans="4:15" ht="14.25" customHeight="1">
      <c r="D869" s="61"/>
      <c r="E869" s="62"/>
      <c r="F869" s="63"/>
      <c r="G869" s="64"/>
      <c r="O869" s="190"/>
    </row>
    <row r="870" spans="4:15" ht="14.25" customHeight="1">
      <c r="D870" s="61"/>
      <c r="E870" s="62"/>
      <c r="F870" s="63"/>
      <c r="G870" s="64"/>
      <c r="O870" s="190"/>
    </row>
    <row r="871" spans="4:15" ht="14.25" customHeight="1">
      <c r="D871" s="61"/>
      <c r="E871" s="62"/>
      <c r="F871" s="63"/>
      <c r="G871" s="64"/>
      <c r="O871" s="190"/>
    </row>
    <row r="872" spans="4:15" ht="14.25" customHeight="1">
      <c r="D872" s="61"/>
      <c r="E872" s="62"/>
      <c r="F872" s="63"/>
      <c r="G872" s="64"/>
      <c r="O872" s="190"/>
    </row>
    <row r="873" spans="4:15" ht="14.25" customHeight="1">
      <c r="D873" s="61"/>
      <c r="E873" s="62"/>
      <c r="F873" s="63"/>
      <c r="G873" s="64"/>
      <c r="O873" s="190"/>
    </row>
    <row r="874" spans="4:15" ht="14.25" customHeight="1">
      <c r="D874" s="61"/>
      <c r="E874" s="62"/>
      <c r="F874" s="63"/>
      <c r="G874" s="64"/>
      <c r="O874" s="190"/>
    </row>
    <row r="875" spans="4:15" ht="14.25" customHeight="1">
      <c r="D875" s="61"/>
      <c r="E875" s="62"/>
      <c r="F875" s="63"/>
      <c r="G875" s="64"/>
      <c r="O875" s="190"/>
    </row>
    <row r="876" spans="4:15" ht="14.25" customHeight="1">
      <c r="D876" s="61"/>
      <c r="E876" s="62"/>
      <c r="F876" s="63"/>
      <c r="G876" s="64"/>
      <c r="O876" s="190"/>
    </row>
    <row r="877" spans="4:15" ht="14.25" customHeight="1">
      <c r="D877" s="61"/>
      <c r="E877" s="62"/>
      <c r="F877" s="63"/>
      <c r="G877" s="64"/>
      <c r="O877" s="190"/>
    </row>
    <row r="878" spans="4:15" ht="14.25" customHeight="1">
      <c r="D878" s="61"/>
      <c r="E878" s="62"/>
      <c r="F878" s="63"/>
      <c r="G878" s="64"/>
      <c r="O878" s="190"/>
    </row>
    <row r="879" spans="4:15" ht="14.25" customHeight="1">
      <c r="D879" s="61"/>
      <c r="E879" s="62"/>
      <c r="F879" s="63"/>
      <c r="G879" s="64"/>
      <c r="O879" s="190"/>
    </row>
    <row r="880" spans="4:15" ht="14.25" customHeight="1">
      <c r="D880" s="61"/>
      <c r="E880" s="62"/>
      <c r="F880" s="63"/>
      <c r="G880" s="64"/>
      <c r="O880" s="190"/>
    </row>
    <row r="881" spans="4:15" ht="14.25" customHeight="1">
      <c r="D881" s="61"/>
      <c r="E881" s="62"/>
      <c r="F881" s="63"/>
      <c r="G881" s="64"/>
      <c r="O881" s="190"/>
    </row>
    <row r="882" spans="4:15" ht="14.25" customHeight="1">
      <c r="D882" s="61"/>
      <c r="E882" s="62"/>
      <c r="F882" s="63"/>
      <c r="G882" s="64"/>
      <c r="O882" s="190"/>
    </row>
    <row r="883" spans="4:15" ht="14.25" customHeight="1">
      <c r="D883" s="61"/>
      <c r="E883" s="62"/>
      <c r="F883" s="63"/>
      <c r="G883" s="64"/>
      <c r="O883" s="190"/>
    </row>
    <row r="884" spans="4:15" ht="14.25" customHeight="1">
      <c r="D884" s="61"/>
      <c r="E884" s="62"/>
      <c r="F884" s="63"/>
      <c r="G884" s="64"/>
      <c r="O884" s="190"/>
    </row>
    <row r="885" spans="4:15" ht="14.25" customHeight="1">
      <c r="D885" s="61"/>
      <c r="E885" s="62"/>
      <c r="F885" s="63"/>
      <c r="G885" s="64"/>
      <c r="O885" s="190"/>
    </row>
    <row r="886" spans="4:15" ht="14.25" customHeight="1">
      <c r="D886" s="61"/>
      <c r="E886" s="62"/>
      <c r="F886" s="63"/>
      <c r="G886" s="64"/>
      <c r="O886" s="190"/>
    </row>
    <row r="887" spans="4:15" ht="14.25" customHeight="1">
      <c r="D887" s="61"/>
      <c r="E887" s="62"/>
      <c r="F887" s="63"/>
      <c r="G887" s="64"/>
      <c r="O887" s="190"/>
    </row>
    <row r="888" spans="4:15" ht="14.25" customHeight="1">
      <c r="D888" s="61"/>
      <c r="E888" s="62"/>
      <c r="F888" s="63"/>
      <c r="G888" s="64"/>
      <c r="O888" s="190"/>
    </row>
    <row r="889" spans="4:15" ht="14.25" customHeight="1">
      <c r="D889" s="61"/>
      <c r="E889" s="62"/>
      <c r="F889" s="63"/>
      <c r="G889" s="64"/>
      <c r="O889" s="190"/>
    </row>
    <row r="890" spans="4:15" ht="14.25" customHeight="1">
      <c r="D890" s="61"/>
      <c r="E890" s="62"/>
      <c r="F890" s="63"/>
      <c r="G890" s="64"/>
      <c r="O890" s="190"/>
    </row>
    <row r="891" spans="4:15" ht="14.25" customHeight="1">
      <c r="D891" s="61"/>
      <c r="E891" s="62"/>
      <c r="F891" s="63"/>
      <c r="G891" s="64"/>
      <c r="O891" s="190"/>
    </row>
    <row r="892" spans="4:15" ht="14.25" customHeight="1">
      <c r="D892" s="61"/>
      <c r="E892" s="62"/>
      <c r="F892" s="63"/>
      <c r="G892" s="64"/>
      <c r="O892" s="190"/>
    </row>
    <row r="893" spans="4:15" ht="14.25" customHeight="1">
      <c r="D893" s="61"/>
      <c r="E893" s="62"/>
      <c r="F893" s="63"/>
      <c r="G893" s="64"/>
      <c r="O893" s="190"/>
    </row>
    <row r="894" spans="4:15" ht="14.25" customHeight="1">
      <c r="D894" s="61"/>
      <c r="E894" s="62"/>
      <c r="F894" s="63"/>
      <c r="G894" s="64"/>
      <c r="O894" s="190"/>
    </row>
    <row r="895" spans="4:15" ht="14.25" customHeight="1">
      <c r="D895" s="61"/>
      <c r="E895" s="62"/>
      <c r="F895" s="63"/>
      <c r="G895" s="64"/>
      <c r="O895" s="190"/>
    </row>
    <row r="896" spans="4:15" ht="14.25" customHeight="1">
      <c r="D896" s="61"/>
      <c r="E896" s="62"/>
      <c r="F896" s="63"/>
      <c r="G896" s="64"/>
      <c r="O896" s="190"/>
    </row>
    <row r="897" spans="4:15" ht="14.25" customHeight="1">
      <c r="D897" s="61"/>
      <c r="E897" s="62"/>
      <c r="F897" s="63"/>
      <c r="G897" s="64"/>
      <c r="O897" s="190"/>
    </row>
    <row r="898" spans="4:15" ht="14.25" customHeight="1">
      <c r="D898" s="61"/>
      <c r="E898" s="62"/>
      <c r="F898" s="63"/>
      <c r="G898" s="64"/>
      <c r="O898" s="190"/>
    </row>
    <row r="899" spans="4:15" ht="14.25" customHeight="1">
      <c r="D899" s="61"/>
      <c r="E899" s="62"/>
      <c r="F899" s="63"/>
      <c r="G899" s="64"/>
      <c r="O899" s="190"/>
    </row>
    <row r="900" spans="4:15" ht="14.25" customHeight="1">
      <c r="D900" s="61"/>
      <c r="E900" s="62"/>
      <c r="F900" s="63"/>
      <c r="G900" s="64"/>
      <c r="O900" s="190"/>
    </row>
    <row r="901" spans="4:15" ht="14.25" customHeight="1">
      <c r="D901" s="61"/>
      <c r="E901" s="62"/>
      <c r="F901" s="63"/>
      <c r="G901" s="64"/>
      <c r="O901" s="190"/>
    </row>
    <row r="902" spans="4:15" ht="14.25" customHeight="1">
      <c r="D902" s="61"/>
      <c r="E902" s="62"/>
      <c r="F902" s="63"/>
      <c r="G902" s="64"/>
      <c r="O902" s="190"/>
    </row>
    <row r="903" spans="4:15" ht="14.25" customHeight="1">
      <c r="D903" s="61"/>
      <c r="E903" s="62"/>
      <c r="F903" s="63"/>
      <c r="G903" s="64"/>
      <c r="O903" s="190"/>
    </row>
    <row r="904" spans="4:15" ht="14.25" customHeight="1">
      <c r="D904" s="61"/>
      <c r="E904" s="62"/>
      <c r="F904" s="63"/>
      <c r="G904" s="64"/>
      <c r="O904" s="190"/>
    </row>
    <row r="905" spans="4:15" ht="14.25" customHeight="1">
      <c r="D905" s="61"/>
      <c r="E905" s="62"/>
      <c r="F905" s="63"/>
      <c r="G905" s="64"/>
      <c r="O905" s="190"/>
    </row>
    <row r="906" spans="4:15" ht="14.25" customHeight="1">
      <c r="D906" s="61"/>
      <c r="E906" s="62"/>
      <c r="F906" s="63"/>
      <c r="G906" s="64"/>
      <c r="O906" s="190"/>
    </row>
    <row r="907" spans="4:15" ht="14.25" customHeight="1">
      <c r="D907" s="61"/>
      <c r="E907" s="62"/>
      <c r="F907" s="63"/>
      <c r="G907" s="64"/>
      <c r="O907" s="190"/>
    </row>
    <row r="908" spans="4:15" ht="14.25" customHeight="1">
      <c r="D908" s="61"/>
      <c r="E908" s="62"/>
      <c r="F908" s="63"/>
      <c r="G908" s="64"/>
      <c r="O908" s="190"/>
    </row>
    <row r="909" spans="4:15" ht="14.25" customHeight="1">
      <c r="D909" s="61"/>
      <c r="E909" s="62"/>
      <c r="F909" s="63"/>
      <c r="G909" s="64"/>
      <c r="O909" s="190"/>
    </row>
    <row r="910" spans="4:15" ht="14.25" customHeight="1">
      <c r="D910" s="61"/>
      <c r="E910" s="62"/>
      <c r="F910" s="63"/>
      <c r="G910" s="64"/>
      <c r="O910" s="190"/>
    </row>
    <row r="911" spans="4:15" ht="14.25" customHeight="1">
      <c r="D911" s="61"/>
      <c r="E911" s="62"/>
      <c r="F911" s="63"/>
      <c r="G911" s="64"/>
      <c r="O911" s="190"/>
    </row>
    <row r="912" spans="4:15" ht="14.25" customHeight="1">
      <c r="D912" s="61"/>
      <c r="E912" s="62"/>
      <c r="F912" s="63"/>
      <c r="G912" s="64"/>
      <c r="O912" s="190"/>
    </row>
    <row r="913" spans="4:15" ht="14.25" customHeight="1">
      <c r="D913" s="61"/>
      <c r="E913" s="62"/>
      <c r="F913" s="63"/>
      <c r="G913" s="64"/>
      <c r="O913" s="190"/>
    </row>
    <row r="914" spans="4:15" ht="14.25" customHeight="1">
      <c r="D914" s="61"/>
      <c r="E914" s="62"/>
      <c r="F914" s="63"/>
      <c r="G914" s="64"/>
      <c r="O914" s="190"/>
    </row>
    <row r="915" spans="4:15" ht="14.25" customHeight="1">
      <c r="D915" s="61"/>
      <c r="E915" s="62"/>
      <c r="F915" s="63"/>
      <c r="G915" s="64"/>
      <c r="O915" s="190"/>
    </row>
    <row r="916" spans="4:15" ht="14.25" customHeight="1">
      <c r="D916" s="61"/>
      <c r="E916" s="62"/>
      <c r="F916" s="63"/>
      <c r="G916" s="64"/>
      <c r="O916" s="190"/>
    </row>
    <row r="917" spans="4:15" ht="14.25" customHeight="1">
      <c r="D917" s="61"/>
      <c r="E917" s="62"/>
      <c r="F917" s="63"/>
      <c r="G917" s="64"/>
      <c r="O917" s="190"/>
    </row>
    <row r="918" spans="4:15" ht="14.25" customHeight="1">
      <c r="D918" s="61"/>
      <c r="E918" s="62"/>
      <c r="F918" s="63"/>
      <c r="G918" s="64"/>
      <c r="O918" s="190"/>
    </row>
    <row r="919" spans="4:15" ht="14.25" customHeight="1">
      <c r="D919" s="61"/>
      <c r="E919" s="62"/>
      <c r="F919" s="63"/>
      <c r="G919" s="64"/>
      <c r="O919" s="190"/>
    </row>
    <row r="920" spans="4:15" ht="14.25" customHeight="1">
      <c r="D920" s="61"/>
      <c r="E920" s="62"/>
      <c r="F920" s="63"/>
      <c r="G920" s="64"/>
      <c r="O920" s="190"/>
    </row>
    <row r="921" spans="4:15" ht="14.25" customHeight="1">
      <c r="D921" s="61"/>
      <c r="E921" s="62"/>
      <c r="F921" s="63"/>
      <c r="G921" s="64"/>
      <c r="O921" s="190"/>
    </row>
    <row r="922" spans="4:15" ht="14.25" customHeight="1">
      <c r="D922" s="61"/>
      <c r="E922" s="62"/>
      <c r="F922" s="63"/>
      <c r="G922" s="64"/>
      <c r="O922" s="190"/>
    </row>
    <row r="923" spans="4:15" ht="14.25" customHeight="1">
      <c r="D923" s="61"/>
      <c r="E923" s="62"/>
      <c r="F923" s="63"/>
      <c r="G923" s="64"/>
      <c r="O923" s="190"/>
    </row>
    <row r="924" spans="4:15" ht="14.25" customHeight="1">
      <c r="D924" s="61"/>
      <c r="E924" s="62"/>
      <c r="F924" s="63"/>
      <c r="G924" s="64"/>
      <c r="O924" s="190"/>
    </row>
    <row r="925" spans="4:15" ht="14.25" customHeight="1">
      <c r="D925" s="61"/>
      <c r="E925" s="62"/>
      <c r="F925" s="63"/>
      <c r="G925" s="64"/>
      <c r="O925" s="190"/>
    </row>
    <row r="926" spans="4:15" ht="14.25" customHeight="1">
      <c r="D926" s="61"/>
      <c r="E926" s="62"/>
      <c r="F926" s="63"/>
      <c r="G926" s="64"/>
      <c r="O926" s="190"/>
    </row>
    <row r="927" spans="4:15" ht="14.25" customHeight="1">
      <c r="D927" s="61"/>
      <c r="E927" s="62"/>
      <c r="F927" s="63"/>
      <c r="G927" s="64"/>
      <c r="O927" s="190"/>
    </row>
    <row r="928" spans="4:15" ht="14.25" customHeight="1">
      <c r="D928" s="61"/>
      <c r="E928" s="62"/>
      <c r="F928" s="63"/>
      <c r="G928" s="64"/>
      <c r="O928" s="190"/>
    </row>
    <row r="929" spans="4:15" ht="14.25" customHeight="1">
      <c r="D929" s="61"/>
      <c r="E929" s="62"/>
      <c r="F929" s="63"/>
      <c r="G929" s="64"/>
      <c r="O929" s="190"/>
    </row>
    <row r="930" spans="4:15" ht="14.25" customHeight="1">
      <c r="D930" s="61"/>
      <c r="E930" s="62"/>
      <c r="F930" s="63"/>
      <c r="G930" s="64"/>
      <c r="O930" s="190"/>
    </row>
    <row r="931" spans="4:15" ht="14.25" customHeight="1">
      <c r="D931" s="61"/>
      <c r="E931" s="62"/>
      <c r="F931" s="63"/>
      <c r="G931" s="64"/>
      <c r="O931" s="190"/>
    </row>
    <row r="932" spans="4:15" ht="14.25" customHeight="1">
      <c r="D932" s="61"/>
      <c r="E932" s="62"/>
      <c r="F932" s="63"/>
      <c r="G932" s="64"/>
      <c r="O932" s="190"/>
    </row>
    <row r="933" spans="4:15" ht="14.25" customHeight="1">
      <c r="D933" s="61"/>
      <c r="E933" s="62"/>
      <c r="F933" s="63"/>
      <c r="G933" s="64"/>
      <c r="O933" s="190"/>
    </row>
    <row r="934" spans="4:15" ht="14.25" customHeight="1">
      <c r="D934" s="61"/>
      <c r="E934" s="62"/>
      <c r="F934" s="63"/>
      <c r="G934" s="64"/>
      <c r="O934" s="190"/>
    </row>
    <row r="935" spans="4:15" ht="14.25" customHeight="1">
      <c r="D935" s="61"/>
      <c r="E935" s="62"/>
      <c r="F935" s="63"/>
      <c r="G935" s="64"/>
      <c r="O935" s="190"/>
    </row>
    <row r="936" spans="4:15" ht="14.25" customHeight="1">
      <c r="D936" s="61"/>
      <c r="E936" s="62"/>
      <c r="F936" s="63"/>
      <c r="G936" s="64"/>
      <c r="O936" s="190"/>
    </row>
    <row r="937" spans="4:15" ht="14.25" customHeight="1">
      <c r="D937" s="61"/>
      <c r="E937" s="62"/>
      <c r="F937" s="63"/>
      <c r="G937" s="64"/>
      <c r="O937" s="190"/>
    </row>
    <row r="938" spans="4:15" ht="14.25" customHeight="1">
      <c r="D938" s="61"/>
      <c r="E938" s="62"/>
      <c r="F938" s="63"/>
      <c r="G938" s="64"/>
      <c r="O938" s="190"/>
    </row>
    <row r="939" spans="4:15" ht="14.25" customHeight="1">
      <c r="D939" s="61"/>
      <c r="E939" s="62"/>
      <c r="F939" s="63"/>
      <c r="G939" s="64"/>
      <c r="O939" s="190"/>
    </row>
    <row r="940" spans="4:15" ht="14.25" customHeight="1">
      <c r="D940" s="61"/>
      <c r="E940" s="62"/>
      <c r="F940" s="63"/>
      <c r="G940" s="64"/>
      <c r="O940" s="190"/>
    </row>
    <row r="941" spans="4:15" ht="14.25" customHeight="1">
      <c r="D941" s="61"/>
      <c r="E941" s="62"/>
      <c r="F941" s="63"/>
      <c r="G941" s="64"/>
      <c r="O941" s="190"/>
    </row>
    <row r="942" spans="4:15" ht="14.25" customHeight="1">
      <c r="D942" s="61"/>
      <c r="E942" s="62"/>
      <c r="F942" s="63"/>
      <c r="G942" s="64"/>
      <c r="O942" s="190"/>
    </row>
    <row r="943" spans="4:15" ht="14.25" customHeight="1">
      <c r="D943" s="61"/>
      <c r="E943" s="62"/>
      <c r="F943" s="63"/>
      <c r="G943" s="64"/>
      <c r="O943" s="190"/>
    </row>
    <row r="944" spans="4:15" ht="14.25" customHeight="1">
      <c r="D944" s="61"/>
      <c r="E944" s="62"/>
      <c r="F944" s="63"/>
      <c r="G944" s="64"/>
      <c r="O944" s="190"/>
    </row>
    <row r="945" spans="4:15" ht="14.25" customHeight="1">
      <c r="D945" s="61"/>
      <c r="E945" s="62"/>
      <c r="F945" s="63"/>
      <c r="G945" s="64"/>
      <c r="O945" s="190"/>
    </row>
    <row r="946" spans="4:15" ht="14.25" customHeight="1">
      <c r="D946" s="61"/>
      <c r="E946" s="62"/>
      <c r="F946" s="63"/>
      <c r="G946" s="64"/>
      <c r="O946" s="190"/>
    </row>
    <row r="947" spans="4:15" ht="14.25" customHeight="1">
      <c r="D947" s="61"/>
      <c r="E947" s="62"/>
      <c r="F947" s="63"/>
      <c r="G947" s="64"/>
      <c r="O947" s="190"/>
    </row>
    <row r="948" spans="4:15" ht="14.25" customHeight="1">
      <c r="D948" s="61"/>
      <c r="E948" s="62"/>
      <c r="F948" s="63"/>
      <c r="G948" s="64"/>
      <c r="O948" s="190"/>
    </row>
    <row r="949" spans="4:15" ht="14.25" customHeight="1">
      <c r="D949" s="61"/>
      <c r="E949" s="62"/>
      <c r="F949" s="63"/>
      <c r="G949" s="64"/>
      <c r="O949" s="190"/>
    </row>
    <row r="950" spans="4:15" ht="14.25" customHeight="1">
      <c r="D950" s="61"/>
      <c r="E950" s="62"/>
      <c r="F950" s="63"/>
      <c r="G950" s="64"/>
      <c r="O950" s="190"/>
    </row>
    <row r="951" spans="4:15" ht="14.25" customHeight="1">
      <c r="D951" s="61"/>
      <c r="E951" s="62"/>
      <c r="F951" s="63"/>
      <c r="G951" s="64"/>
      <c r="O951" s="190"/>
    </row>
    <row r="952" spans="4:15" ht="14.25" customHeight="1">
      <c r="D952" s="61"/>
      <c r="E952" s="62"/>
      <c r="F952" s="63"/>
      <c r="G952" s="64"/>
      <c r="O952" s="190"/>
    </row>
    <row r="953" spans="4:15" ht="14.25" customHeight="1">
      <c r="D953" s="61"/>
      <c r="E953" s="62"/>
      <c r="F953" s="63"/>
      <c r="G953" s="64"/>
      <c r="O953" s="190"/>
    </row>
    <row r="954" spans="4:15" ht="14.25" customHeight="1">
      <c r="D954" s="61"/>
      <c r="E954" s="62"/>
      <c r="F954" s="63"/>
      <c r="G954" s="64"/>
      <c r="O954" s="190"/>
    </row>
    <row r="955" spans="4:15" ht="14.25" customHeight="1">
      <c r="D955" s="61"/>
      <c r="E955" s="62"/>
      <c r="F955" s="63"/>
      <c r="G955" s="64"/>
      <c r="O955" s="190"/>
    </row>
    <row r="956" spans="4:15" ht="14.25" customHeight="1">
      <c r="D956" s="61"/>
      <c r="E956" s="62"/>
      <c r="F956" s="63"/>
      <c r="G956" s="64"/>
      <c r="O956" s="190"/>
    </row>
    <row r="957" spans="4:15" ht="14.25" customHeight="1">
      <c r="D957" s="61"/>
      <c r="E957" s="62"/>
      <c r="F957" s="63"/>
      <c r="G957" s="64"/>
      <c r="O957" s="190"/>
    </row>
    <row r="958" spans="4:15" ht="14.25" customHeight="1">
      <c r="D958" s="61"/>
      <c r="E958" s="62"/>
      <c r="F958" s="63"/>
      <c r="G958" s="64"/>
      <c r="O958" s="190"/>
    </row>
    <row r="959" spans="4:15" ht="14.25" customHeight="1">
      <c r="D959" s="61"/>
      <c r="E959" s="62"/>
      <c r="F959" s="63"/>
      <c r="G959" s="64"/>
      <c r="O959" s="190"/>
    </row>
    <row r="960" spans="4:15" ht="14.25" customHeight="1">
      <c r="D960" s="61"/>
      <c r="E960" s="62"/>
      <c r="F960" s="63"/>
      <c r="G960" s="64"/>
      <c r="O960" s="190"/>
    </row>
    <row r="961" spans="4:15" ht="14.25" customHeight="1">
      <c r="D961" s="61"/>
      <c r="E961" s="62"/>
      <c r="F961" s="63"/>
      <c r="G961" s="64"/>
      <c r="O961" s="190"/>
    </row>
    <row r="962" spans="4:15" ht="14.25" customHeight="1">
      <c r="D962" s="61"/>
      <c r="E962" s="62"/>
      <c r="F962" s="63"/>
      <c r="G962" s="64"/>
      <c r="O962" s="190"/>
    </row>
    <row r="963" spans="4:15" ht="14.25" customHeight="1">
      <c r="D963" s="61"/>
      <c r="E963" s="62"/>
      <c r="F963" s="63"/>
      <c r="G963" s="64"/>
      <c r="O963" s="190"/>
    </row>
    <row r="964" spans="4:15" ht="14.25" customHeight="1">
      <c r="D964" s="61"/>
      <c r="E964" s="62"/>
      <c r="F964" s="63"/>
      <c r="G964" s="64"/>
      <c r="O964" s="190"/>
    </row>
    <row r="965" spans="4:15" ht="14.25" customHeight="1">
      <c r="D965" s="61"/>
      <c r="E965" s="62"/>
      <c r="F965" s="63"/>
      <c r="G965" s="64"/>
      <c r="O965" s="190"/>
    </row>
    <row r="966" spans="4:15" ht="14.25" customHeight="1">
      <c r="D966" s="61"/>
      <c r="E966" s="62"/>
      <c r="F966" s="63"/>
      <c r="G966" s="64"/>
      <c r="O966" s="190"/>
    </row>
    <row r="967" spans="4:15" ht="14.25" customHeight="1">
      <c r="D967" s="61"/>
      <c r="E967" s="62"/>
      <c r="F967" s="63"/>
      <c r="G967" s="64"/>
      <c r="O967" s="190"/>
    </row>
    <row r="968" spans="4:15" ht="14.25" customHeight="1">
      <c r="D968" s="61"/>
      <c r="E968" s="62"/>
      <c r="F968" s="63"/>
      <c r="G968" s="64"/>
      <c r="O968" s="190"/>
    </row>
    <row r="969" spans="4:15" ht="14.25" customHeight="1">
      <c r="D969" s="61"/>
      <c r="E969" s="62"/>
      <c r="F969" s="63"/>
      <c r="G969" s="64"/>
      <c r="O969" s="190"/>
    </row>
    <row r="970" spans="4:15" ht="14.25" customHeight="1">
      <c r="D970" s="61"/>
      <c r="E970" s="62"/>
      <c r="F970" s="63"/>
      <c r="G970" s="64"/>
      <c r="O970" s="190"/>
    </row>
    <row r="971" spans="4:15" ht="14.25" customHeight="1">
      <c r="D971" s="61"/>
      <c r="E971" s="62"/>
      <c r="F971" s="63"/>
      <c r="G971" s="64"/>
      <c r="O971" s="190"/>
    </row>
    <row r="972" spans="4:15" ht="14.25" customHeight="1">
      <c r="D972" s="61"/>
      <c r="E972" s="62"/>
      <c r="F972" s="63"/>
      <c r="G972" s="64"/>
      <c r="O972" s="190"/>
    </row>
    <row r="973" spans="4:15" ht="14.25" customHeight="1">
      <c r="D973" s="61"/>
      <c r="E973" s="62"/>
      <c r="F973" s="63"/>
      <c r="G973" s="64"/>
      <c r="O973" s="190"/>
    </row>
    <row r="974" spans="4:15" ht="14.25" customHeight="1">
      <c r="D974" s="61"/>
      <c r="E974" s="62"/>
      <c r="F974" s="63"/>
      <c r="G974" s="64"/>
      <c r="O974" s="190"/>
    </row>
    <row r="975" spans="4:15" ht="14.25" customHeight="1">
      <c r="D975" s="61"/>
      <c r="E975" s="62"/>
      <c r="F975" s="63"/>
      <c r="G975" s="64"/>
      <c r="O975" s="190"/>
    </row>
    <row r="976" spans="4:15" ht="14.25" customHeight="1">
      <c r="D976" s="61"/>
      <c r="E976" s="62"/>
      <c r="F976" s="63"/>
      <c r="G976" s="64"/>
      <c r="O976" s="190"/>
    </row>
    <row r="977" spans="4:15" ht="14.25" customHeight="1">
      <c r="D977" s="61"/>
      <c r="E977" s="62"/>
      <c r="F977" s="63"/>
      <c r="G977" s="64"/>
      <c r="O977" s="190"/>
    </row>
    <row r="978" spans="4:15" ht="14.25" customHeight="1">
      <c r="D978" s="61"/>
      <c r="E978" s="62"/>
      <c r="F978" s="63"/>
      <c r="G978" s="64"/>
      <c r="O978" s="190"/>
    </row>
    <row r="979" spans="4:15" ht="14.25" customHeight="1">
      <c r="D979" s="61"/>
      <c r="E979" s="62"/>
      <c r="F979" s="63"/>
      <c r="G979" s="64"/>
      <c r="O979" s="190"/>
    </row>
    <row r="980" spans="4:15" ht="14.25" customHeight="1">
      <c r="D980" s="61"/>
      <c r="E980" s="62"/>
      <c r="F980" s="63"/>
      <c r="G980" s="64"/>
      <c r="O980" s="190"/>
    </row>
    <row r="981" spans="4:15" ht="14.25" customHeight="1">
      <c r="D981" s="61"/>
      <c r="E981" s="62"/>
      <c r="F981" s="63"/>
      <c r="G981" s="64"/>
      <c r="O981" s="190"/>
    </row>
    <row r="982" spans="4:15" ht="14.25" customHeight="1">
      <c r="D982" s="61"/>
      <c r="E982" s="62"/>
      <c r="F982" s="63"/>
      <c r="G982" s="64"/>
      <c r="O982" s="190"/>
    </row>
    <row r="983" spans="4:15" ht="14.25" customHeight="1">
      <c r="D983" s="61"/>
      <c r="E983" s="62"/>
      <c r="F983" s="63"/>
      <c r="G983" s="64"/>
      <c r="O983" s="190"/>
    </row>
    <row r="984" spans="4:15" ht="14.25" customHeight="1">
      <c r="D984" s="61"/>
      <c r="E984" s="62"/>
      <c r="F984" s="63"/>
      <c r="G984" s="64"/>
      <c r="O984" s="190"/>
    </row>
    <row r="985" spans="4:15" ht="14.25" customHeight="1">
      <c r="D985" s="61"/>
      <c r="E985" s="62"/>
      <c r="F985" s="63"/>
      <c r="G985" s="64"/>
      <c r="O985" s="190"/>
    </row>
    <row r="986" spans="4:15" ht="14.25" customHeight="1">
      <c r="D986" s="61"/>
      <c r="E986" s="62"/>
      <c r="F986" s="63"/>
      <c r="G986" s="64"/>
      <c r="O986" s="190"/>
    </row>
    <row r="987" spans="4:15" ht="14.25" customHeight="1">
      <c r="D987" s="61"/>
      <c r="E987" s="62"/>
      <c r="F987" s="63"/>
      <c r="G987" s="64"/>
      <c r="O987" s="190"/>
    </row>
    <row r="988" spans="4:15" ht="14.25" customHeight="1">
      <c r="D988" s="61"/>
      <c r="E988" s="62"/>
      <c r="F988" s="63"/>
      <c r="G988" s="64"/>
      <c r="O988" s="190"/>
    </row>
    <row r="989" spans="4:15" ht="14.25" customHeight="1">
      <c r="D989" s="61"/>
      <c r="E989" s="62"/>
      <c r="F989" s="63"/>
      <c r="G989" s="64"/>
      <c r="O989" s="190"/>
    </row>
    <row r="990" spans="4:15" ht="14.25" customHeight="1">
      <c r="D990" s="61"/>
      <c r="E990" s="62"/>
      <c r="F990" s="63"/>
      <c r="G990" s="64"/>
      <c r="O990" s="190"/>
    </row>
    <row r="991" spans="4:15" ht="14.25" customHeight="1">
      <c r="D991" s="61"/>
      <c r="E991" s="62"/>
      <c r="F991" s="63"/>
      <c r="G991" s="64"/>
      <c r="O991" s="190"/>
    </row>
    <row r="992" spans="4:15" ht="14.25" customHeight="1">
      <c r="D992" s="61"/>
      <c r="E992" s="62"/>
      <c r="F992" s="63"/>
      <c r="G992" s="64"/>
      <c r="O992" s="190"/>
    </row>
    <row r="993" spans="4:15" ht="14.25" customHeight="1">
      <c r="D993" s="61"/>
      <c r="E993" s="62"/>
      <c r="F993" s="63"/>
      <c r="G993" s="64"/>
      <c r="O993" s="190"/>
    </row>
    <row r="994" spans="4:15" ht="14.25" customHeight="1">
      <c r="D994" s="61"/>
      <c r="E994" s="62"/>
      <c r="F994" s="63"/>
      <c r="G994" s="64"/>
      <c r="O994" s="190"/>
    </row>
    <row r="995" spans="4:15" ht="14.25" customHeight="1">
      <c r="D995" s="61"/>
      <c r="E995" s="62"/>
      <c r="F995" s="63"/>
      <c r="G995" s="64"/>
      <c r="O995" s="190"/>
    </row>
    <row r="996" spans="4:15" ht="14.25" customHeight="1">
      <c r="D996" s="61"/>
      <c r="E996" s="62"/>
      <c r="F996" s="63"/>
      <c r="G996" s="64"/>
      <c r="O996" s="190"/>
    </row>
    <row r="997" spans="4:15" ht="14.25" customHeight="1">
      <c r="D997" s="61"/>
      <c r="E997" s="62"/>
      <c r="F997" s="63"/>
      <c r="G997" s="64"/>
      <c r="O997" s="190"/>
    </row>
    <row r="998" spans="4:15" ht="14.25" customHeight="1">
      <c r="D998" s="61"/>
      <c r="E998" s="62"/>
      <c r="F998" s="63"/>
      <c r="G998" s="64"/>
      <c r="O998" s="190"/>
    </row>
    <row r="999" spans="4:15" ht="14.25" customHeight="1">
      <c r="D999" s="61"/>
      <c r="E999" s="62"/>
      <c r="F999" s="63"/>
      <c r="G999" s="64"/>
      <c r="O999" s="190"/>
    </row>
    <row r="1000" spans="4:15" ht="14.25" customHeight="1">
      <c r="D1000" s="61"/>
      <c r="E1000" s="62"/>
      <c r="F1000" s="63"/>
      <c r="G1000" s="64"/>
      <c r="O1000" s="190"/>
    </row>
    <row r="1001" spans="4:15" ht="14.25" customHeight="1">
      <c r="D1001" s="61"/>
      <c r="E1001" s="62"/>
      <c r="F1001" s="63"/>
      <c r="G1001" s="64"/>
      <c r="O1001" s="190"/>
    </row>
    <row r="1002" spans="4:15" ht="14.25" customHeight="1">
      <c r="D1002" s="61"/>
      <c r="E1002" s="62"/>
      <c r="F1002" s="63"/>
      <c r="G1002" s="64"/>
      <c r="O1002" s="190"/>
    </row>
    <row r="1003" spans="4:15" ht="14.25" customHeight="1">
      <c r="D1003" s="61"/>
      <c r="E1003" s="62"/>
      <c r="F1003" s="63"/>
      <c r="G1003" s="64"/>
      <c r="O1003" s="190"/>
    </row>
    <row r="1004" spans="4:15" ht="14.25" customHeight="1">
      <c r="D1004" s="61"/>
      <c r="E1004" s="62"/>
      <c r="F1004" s="63"/>
      <c r="G1004" s="64"/>
      <c r="O1004" s="190"/>
    </row>
    <row r="1005" spans="4:15" ht="14.25" customHeight="1">
      <c r="D1005" s="61"/>
      <c r="E1005" s="62"/>
      <c r="F1005" s="63"/>
      <c r="G1005" s="64"/>
      <c r="O1005" s="190"/>
    </row>
    <row r="1006" spans="4:15" ht="14.25" customHeight="1">
      <c r="D1006" s="61"/>
      <c r="E1006" s="62"/>
      <c r="F1006" s="63"/>
      <c r="G1006" s="64"/>
      <c r="O1006" s="190"/>
    </row>
    <row r="1007" spans="4:15" ht="14.25" customHeight="1">
      <c r="D1007" s="61"/>
      <c r="E1007" s="62"/>
      <c r="F1007" s="63"/>
      <c r="G1007" s="64"/>
      <c r="O1007" s="190"/>
    </row>
    <row r="1008" spans="4:15" ht="14.25" customHeight="1">
      <c r="D1008" s="61"/>
      <c r="E1008" s="62"/>
      <c r="F1008" s="63"/>
      <c r="G1008" s="64"/>
      <c r="O1008" s="190"/>
    </row>
    <row r="1009" spans="15:15" ht="14.25" customHeight="1">
      <c r="O1009" s="190"/>
    </row>
    <row r="1010" spans="15:15" ht="14.25" customHeight="1">
      <c r="O1010" s="190"/>
    </row>
  </sheetData>
  <mergeCells count="15">
    <mergeCell ref="K56:N56"/>
    <mergeCell ref="A1:B3"/>
    <mergeCell ref="D1:F1"/>
    <mergeCell ref="G1:J1"/>
    <mergeCell ref="K1:N1"/>
    <mergeCell ref="A5:A12"/>
    <mergeCell ref="A14:A21"/>
    <mergeCell ref="A23:A31"/>
    <mergeCell ref="D43:G43"/>
    <mergeCell ref="H43:K43"/>
    <mergeCell ref="O1:R1"/>
    <mergeCell ref="D4:N4"/>
    <mergeCell ref="A13:R13"/>
    <mergeCell ref="A22:R22"/>
    <mergeCell ref="L43:N43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10"/>
  <sheetViews>
    <sheetView topLeftCell="A25" workbookViewId="0">
      <selection activeCell="H33" sqref="H33"/>
    </sheetView>
  </sheetViews>
  <sheetFormatPr defaultColWidth="14.42578125" defaultRowHeight="15" customHeight="1"/>
  <cols>
    <col min="1" max="2" width="10.7109375" customWidth="1"/>
    <col min="3" max="3" width="33" customWidth="1"/>
    <col min="4" max="4" width="11.140625" customWidth="1"/>
    <col min="5" max="29" width="9.42578125" customWidth="1"/>
  </cols>
  <sheetData>
    <row r="1" spans="1:29" ht="14.25" customHeight="1">
      <c r="A1" s="225"/>
      <c r="B1" s="226"/>
      <c r="C1" s="1" t="s">
        <v>0</v>
      </c>
      <c r="D1" s="231">
        <v>2022</v>
      </c>
      <c r="E1" s="222"/>
      <c r="F1" s="223"/>
      <c r="G1" s="231">
        <v>2023</v>
      </c>
      <c r="H1" s="222"/>
      <c r="I1" s="222"/>
      <c r="J1" s="223"/>
      <c r="K1" s="231">
        <v>2024</v>
      </c>
      <c r="L1" s="222"/>
      <c r="M1" s="222"/>
      <c r="N1" s="223"/>
      <c r="O1" s="236">
        <v>2025</v>
      </c>
      <c r="P1" s="222"/>
      <c r="Q1" s="222"/>
      <c r="R1" s="223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</row>
    <row r="2" spans="1:29" ht="14.25" customHeight="1">
      <c r="A2" s="227"/>
      <c r="B2" s="228"/>
      <c r="C2" s="1" t="s">
        <v>1</v>
      </c>
      <c r="D2" s="2" t="s">
        <v>2</v>
      </c>
      <c r="E2" s="3" t="s">
        <v>3</v>
      </c>
      <c r="F2" s="4" t="s">
        <v>4</v>
      </c>
      <c r="G2" s="5" t="s">
        <v>5</v>
      </c>
      <c r="H2" s="2" t="s">
        <v>2</v>
      </c>
      <c r="I2" s="3" t="s">
        <v>3</v>
      </c>
      <c r="J2" s="4" t="s">
        <v>4</v>
      </c>
      <c r="K2" s="5" t="s">
        <v>5</v>
      </c>
      <c r="L2" s="2" t="s">
        <v>2</v>
      </c>
      <c r="M2" s="3" t="s">
        <v>3</v>
      </c>
      <c r="N2" s="4" t="s">
        <v>4</v>
      </c>
      <c r="O2" s="5" t="s">
        <v>5</v>
      </c>
      <c r="P2" s="2" t="s">
        <v>2</v>
      </c>
      <c r="Q2" s="3" t="s">
        <v>3</v>
      </c>
      <c r="R2" s="4" t="s">
        <v>4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</row>
    <row r="3" spans="1:29" ht="14.25" customHeight="1">
      <c r="A3" s="229"/>
      <c r="B3" s="230"/>
      <c r="C3" s="6" t="s">
        <v>6</v>
      </c>
      <c r="D3" s="7">
        <v>44678</v>
      </c>
      <c r="E3" s="8">
        <v>44783</v>
      </c>
      <c r="F3" s="9">
        <v>44883</v>
      </c>
      <c r="G3" s="71">
        <v>45034</v>
      </c>
      <c r="H3" s="7">
        <v>45091</v>
      </c>
      <c r="I3" s="8">
        <v>45159</v>
      </c>
      <c r="J3" s="73">
        <v>45244</v>
      </c>
      <c r="K3" s="71">
        <v>45373</v>
      </c>
      <c r="L3" s="7">
        <v>45462</v>
      </c>
      <c r="M3" s="8">
        <v>45541</v>
      </c>
      <c r="N3" s="9">
        <v>45602</v>
      </c>
      <c r="O3" s="71">
        <v>45713</v>
      </c>
      <c r="P3" s="7">
        <v>45819</v>
      </c>
      <c r="Q3" s="8">
        <v>45860</v>
      </c>
      <c r="R3" s="9">
        <v>45961</v>
      </c>
      <c r="S3" s="192"/>
      <c r="T3" s="192"/>
    </row>
    <row r="4" spans="1:29" ht="14.25" customHeight="1">
      <c r="A4" s="14" t="s">
        <v>7</v>
      </c>
      <c r="B4" s="14" t="s">
        <v>8</v>
      </c>
      <c r="C4" s="15" t="s">
        <v>52</v>
      </c>
      <c r="D4" s="23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  <c r="S4" s="83"/>
      <c r="T4" s="83"/>
    </row>
    <row r="5" spans="1:29" ht="23.25" customHeight="1">
      <c r="A5" s="233" t="s">
        <v>10</v>
      </c>
      <c r="B5" s="16" t="s">
        <v>11</v>
      </c>
      <c r="C5" s="16" t="s">
        <v>12</v>
      </c>
      <c r="D5" s="17">
        <v>0</v>
      </c>
      <c r="E5" s="18">
        <v>0</v>
      </c>
      <c r="F5" s="19">
        <v>0</v>
      </c>
      <c r="G5" s="84">
        <v>0</v>
      </c>
      <c r="H5" s="17">
        <v>0</v>
      </c>
      <c r="I5" s="18">
        <v>0</v>
      </c>
      <c r="J5" s="19">
        <v>0</v>
      </c>
      <c r="K5" s="84">
        <v>0</v>
      </c>
      <c r="L5" s="17">
        <v>0</v>
      </c>
      <c r="M5" s="18">
        <v>0</v>
      </c>
      <c r="N5" s="19">
        <v>0</v>
      </c>
      <c r="O5" s="84">
        <v>0</v>
      </c>
      <c r="P5" s="17">
        <v>0</v>
      </c>
      <c r="Q5" s="18">
        <v>0</v>
      </c>
      <c r="R5" s="19">
        <v>0</v>
      </c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</row>
    <row r="6" spans="1:29" ht="22.5" customHeight="1">
      <c r="A6" s="219"/>
      <c r="B6" s="24" t="s">
        <v>13</v>
      </c>
      <c r="C6" s="24" t="s">
        <v>14</v>
      </c>
      <c r="D6" s="25">
        <v>0</v>
      </c>
      <c r="E6" s="26">
        <v>0</v>
      </c>
      <c r="F6" s="27">
        <v>0</v>
      </c>
      <c r="G6" s="86">
        <v>0</v>
      </c>
      <c r="H6" s="25">
        <v>0</v>
      </c>
      <c r="I6" s="26">
        <v>0</v>
      </c>
      <c r="J6" s="27">
        <v>0</v>
      </c>
      <c r="K6" s="86">
        <v>0</v>
      </c>
      <c r="L6" s="25">
        <v>0</v>
      </c>
      <c r="M6" s="26">
        <v>0</v>
      </c>
      <c r="N6" s="27">
        <v>0</v>
      </c>
      <c r="O6" s="86">
        <v>0</v>
      </c>
      <c r="P6" s="25">
        <v>0</v>
      </c>
      <c r="Q6" s="26">
        <v>0</v>
      </c>
      <c r="R6" s="27">
        <v>0</v>
      </c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</row>
    <row r="7" spans="1:29" ht="22.5" customHeight="1">
      <c r="A7" s="219"/>
      <c r="B7" s="16" t="s">
        <v>15</v>
      </c>
      <c r="C7" s="16" t="s">
        <v>16</v>
      </c>
      <c r="D7" s="17">
        <v>0</v>
      </c>
      <c r="E7" s="18">
        <v>0</v>
      </c>
      <c r="F7" s="19">
        <v>0</v>
      </c>
      <c r="G7" s="84">
        <v>0</v>
      </c>
      <c r="H7" s="17">
        <v>0</v>
      </c>
      <c r="I7" s="18">
        <v>1</v>
      </c>
      <c r="J7" s="19">
        <v>0</v>
      </c>
      <c r="K7" s="84">
        <v>0</v>
      </c>
      <c r="L7" s="17">
        <v>0</v>
      </c>
      <c r="M7" s="18">
        <v>1</v>
      </c>
      <c r="N7" s="19">
        <v>0</v>
      </c>
      <c r="O7" s="84">
        <v>0</v>
      </c>
      <c r="P7" s="17">
        <v>0</v>
      </c>
      <c r="Q7" s="18">
        <v>0</v>
      </c>
      <c r="R7" s="19">
        <v>1</v>
      </c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</row>
    <row r="8" spans="1:29" ht="22.5" customHeight="1">
      <c r="A8" s="219"/>
      <c r="B8" s="24" t="s">
        <v>17</v>
      </c>
      <c r="C8" s="24" t="s">
        <v>18</v>
      </c>
      <c r="D8" s="25">
        <v>0</v>
      </c>
      <c r="E8" s="26">
        <v>0</v>
      </c>
      <c r="F8" s="27">
        <v>0</v>
      </c>
      <c r="G8" s="86">
        <v>0</v>
      </c>
      <c r="H8" s="25">
        <v>0</v>
      </c>
      <c r="I8" s="26">
        <v>0</v>
      </c>
      <c r="J8" s="27">
        <v>0</v>
      </c>
      <c r="K8" s="86">
        <v>0</v>
      </c>
      <c r="L8" s="25">
        <v>0</v>
      </c>
      <c r="M8" s="26">
        <v>0</v>
      </c>
      <c r="N8" s="27">
        <v>0</v>
      </c>
      <c r="O8" s="86">
        <v>0</v>
      </c>
      <c r="P8" s="25">
        <v>0</v>
      </c>
      <c r="Q8" s="26">
        <v>0</v>
      </c>
      <c r="R8" s="27">
        <v>0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</row>
    <row r="9" spans="1:29" ht="22.5" customHeight="1">
      <c r="A9" s="219"/>
      <c r="B9" s="16" t="s">
        <v>19</v>
      </c>
      <c r="C9" s="16" t="s">
        <v>20</v>
      </c>
      <c r="D9" s="17">
        <v>1</v>
      </c>
      <c r="E9" s="18">
        <v>2</v>
      </c>
      <c r="F9" s="19">
        <v>2</v>
      </c>
      <c r="G9" s="84">
        <v>0</v>
      </c>
      <c r="H9" s="17">
        <v>5</v>
      </c>
      <c r="I9" s="18">
        <v>3</v>
      </c>
      <c r="J9" s="19">
        <v>5</v>
      </c>
      <c r="K9" s="84">
        <v>1</v>
      </c>
      <c r="L9" s="17">
        <v>3</v>
      </c>
      <c r="M9" s="18">
        <v>4</v>
      </c>
      <c r="N9" s="19">
        <v>6</v>
      </c>
      <c r="O9" s="84">
        <v>9</v>
      </c>
      <c r="P9" s="17">
        <v>3</v>
      </c>
      <c r="Q9" s="18">
        <v>3</v>
      </c>
      <c r="R9" s="19">
        <v>0</v>
      </c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</row>
    <row r="10" spans="1:29" ht="23.25" customHeight="1">
      <c r="A10" s="219"/>
      <c r="B10" s="24" t="s">
        <v>21</v>
      </c>
      <c r="C10" s="24" t="s">
        <v>22</v>
      </c>
      <c r="D10" s="25">
        <v>0</v>
      </c>
      <c r="E10" s="26">
        <v>0</v>
      </c>
      <c r="F10" s="27">
        <v>1</v>
      </c>
      <c r="G10" s="86">
        <v>3</v>
      </c>
      <c r="H10" s="25">
        <v>19</v>
      </c>
      <c r="I10" s="26">
        <v>3</v>
      </c>
      <c r="J10" s="27">
        <v>48</v>
      </c>
      <c r="K10" s="86">
        <v>12</v>
      </c>
      <c r="L10" s="25">
        <v>6</v>
      </c>
      <c r="M10" s="26">
        <v>4</v>
      </c>
      <c r="N10" s="27">
        <v>4</v>
      </c>
      <c r="O10" s="86">
        <v>13</v>
      </c>
      <c r="P10" s="25">
        <v>1</v>
      </c>
      <c r="Q10" s="26">
        <v>3</v>
      </c>
      <c r="R10" s="27">
        <v>1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</row>
    <row r="11" spans="1:29" ht="24" customHeight="1">
      <c r="A11" s="219"/>
      <c r="B11" s="16" t="s">
        <v>23</v>
      </c>
      <c r="C11" s="16" t="s">
        <v>24</v>
      </c>
      <c r="D11" s="17">
        <v>0</v>
      </c>
      <c r="E11" s="18">
        <v>0</v>
      </c>
      <c r="F11" s="19">
        <v>0</v>
      </c>
      <c r="G11" s="84">
        <v>1</v>
      </c>
      <c r="H11" s="17">
        <v>1</v>
      </c>
      <c r="I11" s="18">
        <v>0</v>
      </c>
      <c r="J11" s="19">
        <v>0</v>
      </c>
      <c r="K11" s="84">
        <v>0</v>
      </c>
      <c r="L11" s="17">
        <v>0</v>
      </c>
      <c r="M11" s="18">
        <v>0</v>
      </c>
      <c r="N11" s="19">
        <v>0</v>
      </c>
      <c r="O11" s="84">
        <v>0</v>
      </c>
      <c r="P11" s="17">
        <v>0</v>
      </c>
      <c r="Q11" s="18">
        <v>0</v>
      </c>
      <c r="R11" s="19">
        <v>0</v>
      </c>
      <c r="S11" s="87"/>
    </row>
    <row r="12" spans="1:29" ht="24.75" customHeight="1">
      <c r="A12" s="220"/>
      <c r="B12" s="32" t="s">
        <v>25</v>
      </c>
      <c r="C12" s="32" t="s">
        <v>26</v>
      </c>
      <c r="D12" s="25">
        <v>0</v>
      </c>
      <c r="E12" s="26">
        <v>0</v>
      </c>
      <c r="F12" s="27">
        <v>0</v>
      </c>
      <c r="G12" s="86">
        <v>0</v>
      </c>
      <c r="H12" s="25">
        <v>1</v>
      </c>
      <c r="I12" s="26">
        <v>2</v>
      </c>
      <c r="J12" s="27">
        <v>0</v>
      </c>
      <c r="K12" s="86">
        <v>0</v>
      </c>
      <c r="L12" s="25">
        <v>0</v>
      </c>
      <c r="M12" s="26">
        <v>0</v>
      </c>
      <c r="N12" s="27">
        <v>0</v>
      </c>
      <c r="O12" s="86">
        <v>1</v>
      </c>
      <c r="P12" s="25">
        <v>0</v>
      </c>
      <c r="Q12" s="26">
        <v>0</v>
      </c>
      <c r="R12" s="27">
        <v>0</v>
      </c>
      <c r="S12" s="87"/>
    </row>
    <row r="13" spans="1:29" ht="6" customHeight="1">
      <c r="A13" s="33"/>
      <c r="B13" s="193"/>
      <c r="C13" s="193"/>
      <c r="D13" s="221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3"/>
    </row>
    <row r="14" spans="1:29" ht="24.75" customHeight="1">
      <c r="A14" s="218" t="s">
        <v>27</v>
      </c>
      <c r="B14" s="16" t="s">
        <v>11</v>
      </c>
      <c r="C14" s="16" t="s">
        <v>12</v>
      </c>
      <c r="D14" s="17">
        <v>0</v>
      </c>
      <c r="E14" s="34">
        <v>0</v>
      </c>
      <c r="F14" s="19">
        <v>0</v>
      </c>
      <c r="G14" s="84">
        <v>0</v>
      </c>
      <c r="H14" s="17">
        <v>0</v>
      </c>
      <c r="I14" s="18">
        <v>0</v>
      </c>
      <c r="J14" s="19">
        <v>0</v>
      </c>
      <c r="K14" s="84">
        <v>0</v>
      </c>
      <c r="L14" s="17">
        <v>0</v>
      </c>
      <c r="M14" s="18">
        <v>0</v>
      </c>
      <c r="N14" s="19">
        <v>0</v>
      </c>
      <c r="O14" s="84">
        <v>0</v>
      </c>
      <c r="P14" s="17">
        <v>0</v>
      </c>
      <c r="Q14" s="18">
        <v>0</v>
      </c>
      <c r="R14" s="19">
        <v>0</v>
      </c>
      <c r="S14" s="87"/>
    </row>
    <row r="15" spans="1:29" ht="25.5" customHeight="1">
      <c r="A15" s="219"/>
      <c r="B15" s="24" t="s">
        <v>28</v>
      </c>
      <c r="C15" s="24" t="s">
        <v>29</v>
      </c>
      <c r="D15" s="25">
        <v>0</v>
      </c>
      <c r="E15" s="35">
        <v>0</v>
      </c>
      <c r="F15" s="27">
        <v>2</v>
      </c>
      <c r="G15" s="86">
        <v>8</v>
      </c>
      <c r="H15" s="25">
        <v>32</v>
      </c>
      <c r="I15" s="26">
        <v>4</v>
      </c>
      <c r="J15" s="27">
        <v>118</v>
      </c>
      <c r="K15" s="86">
        <v>38</v>
      </c>
      <c r="L15" s="25">
        <v>2</v>
      </c>
      <c r="M15" s="26">
        <v>7</v>
      </c>
      <c r="N15" s="27">
        <v>1</v>
      </c>
      <c r="O15" s="86">
        <v>6</v>
      </c>
      <c r="P15" s="25">
        <v>2</v>
      </c>
      <c r="Q15" s="26">
        <v>0</v>
      </c>
      <c r="R15" s="27">
        <v>0</v>
      </c>
      <c r="S15" s="87"/>
    </row>
    <row r="16" spans="1:29" ht="23.25" customHeight="1">
      <c r="A16" s="219"/>
      <c r="B16" s="16" t="s">
        <v>15</v>
      </c>
      <c r="C16" s="16" t="s">
        <v>16</v>
      </c>
      <c r="D16" s="17">
        <v>0</v>
      </c>
      <c r="E16" s="36">
        <v>0</v>
      </c>
      <c r="F16" s="19">
        <v>0</v>
      </c>
      <c r="G16" s="84">
        <v>0</v>
      </c>
      <c r="H16" s="17">
        <v>0</v>
      </c>
      <c r="I16" s="18">
        <v>2</v>
      </c>
      <c r="J16" s="19">
        <v>2</v>
      </c>
      <c r="K16" s="84">
        <v>0</v>
      </c>
      <c r="L16" s="17">
        <v>0</v>
      </c>
      <c r="M16" s="18">
        <v>0</v>
      </c>
      <c r="N16" s="19">
        <v>0</v>
      </c>
      <c r="O16" s="84">
        <v>0</v>
      </c>
      <c r="P16" s="17">
        <v>0</v>
      </c>
      <c r="Q16" s="18">
        <v>0</v>
      </c>
      <c r="R16" s="19">
        <v>1</v>
      </c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</row>
    <row r="17" spans="1:29" ht="25.5" customHeight="1">
      <c r="A17" s="219"/>
      <c r="B17" s="24" t="s">
        <v>17</v>
      </c>
      <c r="C17" s="24" t="s">
        <v>18</v>
      </c>
      <c r="D17" s="25">
        <v>0</v>
      </c>
      <c r="E17" s="35">
        <v>0</v>
      </c>
      <c r="F17" s="27">
        <v>0</v>
      </c>
      <c r="G17" s="86">
        <v>0</v>
      </c>
      <c r="H17" s="25">
        <v>0</v>
      </c>
      <c r="I17" s="26">
        <v>0</v>
      </c>
      <c r="J17" s="27">
        <v>0</v>
      </c>
      <c r="K17" s="86">
        <v>0</v>
      </c>
      <c r="L17" s="25">
        <v>0</v>
      </c>
      <c r="M17" s="26">
        <v>0</v>
      </c>
      <c r="N17" s="27">
        <v>0</v>
      </c>
      <c r="O17" s="86">
        <v>0</v>
      </c>
      <c r="P17" s="25">
        <v>0</v>
      </c>
      <c r="Q17" s="26">
        <v>0</v>
      </c>
      <c r="R17" s="27">
        <v>0</v>
      </c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</row>
    <row r="18" spans="1:29" ht="22.5" customHeight="1">
      <c r="A18" s="219"/>
      <c r="B18" s="16" t="s">
        <v>19</v>
      </c>
      <c r="C18" s="16" t="s">
        <v>20</v>
      </c>
      <c r="D18" s="17">
        <v>0</v>
      </c>
      <c r="E18" s="36">
        <v>1</v>
      </c>
      <c r="F18" s="19">
        <v>1</v>
      </c>
      <c r="G18" s="84">
        <v>2</v>
      </c>
      <c r="H18" s="17">
        <v>6</v>
      </c>
      <c r="I18" s="18">
        <v>2</v>
      </c>
      <c r="J18" s="19">
        <v>4</v>
      </c>
      <c r="K18" s="84">
        <v>5</v>
      </c>
      <c r="L18" s="17">
        <v>2</v>
      </c>
      <c r="M18" s="18">
        <v>9</v>
      </c>
      <c r="N18" s="19">
        <v>4</v>
      </c>
      <c r="O18" s="84">
        <v>3</v>
      </c>
      <c r="P18" s="17">
        <v>2</v>
      </c>
      <c r="Q18" s="18">
        <v>0</v>
      </c>
      <c r="R18" s="19">
        <v>1</v>
      </c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</row>
    <row r="19" spans="1:29" ht="24" customHeight="1">
      <c r="A19" s="219"/>
      <c r="B19" s="24" t="s">
        <v>21</v>
      </c>
      <c r="C19" s="24" t="s">
        <v>22</v>
      </c>
      <c r="D19" s="25">
        <v>0</v>
      </c>
      <c r="E19" s="37">
        <v>1</v>
      </c>
      <c r="F19" s="27">
        <v>6</v>
      </c>
      <c r="G19" s="86">
        <v>10</v>
      </c>
      <c r="H19" s="25">
        <v>48</v>
      </c>
      <c r="I19" s="26">
        <v>4</v>
      </c>
      <c r="J19" s="27">
        <v>136</v>
      </c>
      <c r="K19" s="86">
        <v>49</v>
      </c>
      <c r="L19" s="25">
        <v>9</v>
      </c>
      <c r="M19" s="26">
        <v>11</v>
      </c>
      <c r="N19" s="27">
        <v>5</v>
      </c>
      <c r="O19" s="86">
        <v>2</v>
      </c>
      <c r="P19" s="25">
        <v>1</v>
      </c>
      <c r="Q19" s="26">
        <v>0</v>
      </c>
      <c r="R19" s="27">
        <v>0</v>
      </c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</row>
    <row r="20" spans="1:29" ht="25.5" customHeight="1">
      <c r="A20" s="219"/>
      <c r="B20" s="16" t="s">
        <v>23</v>
      </c>
      <c r="C20" s="16" t="s">
        <v>24</v>
      </c>
      <c r="D20" s="17">
        <v>0</v>
      </c>
      <c r="E20" s="34">
        <v>0</v>
      </c>
      <c r="F20" s="19">
        <v>0</v>
      </c>
      <c r="G20" s="84">
        <v>0</v>
      </c>
      <c r="H20" s="17">
        <v>2</v>
      </c>
      <c r="I20" s="18">
        <v>0</v>
      </c>
      <c r="J20" s="19">
        <v>0</v>
      </c>
      <c r="K20" s="84">
        <v>0</v>
      </c>
      <c r="L20" s="17">
        <v>0</v>
      </c>
      <c r="M20" s="18">
        <v>1</v>
      </c>
      <c r="N20" s="19">
        <v>0</v>
      </c>
      <c r="O20" s="84">
        <v>0</v>
      </c>
      <c r="P20" s="17">
        <v>0</v>
      </c>
      <c r="Q20" s="18">
        <v>0</v>
      </c>
      <c r="R20" s="19">
        <v>0</v>
      </c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</row>
    <row r="21" spans="1:29" ht="25.5" customHeight="1">
      <c r="A21" s="220"/>
      <c r="B21" s="32" t="s">
        <v>25</v>
      </c>
      <c r="C21" s="32" t="s">
        <v>26</v>
      </c>
      <c r="D21" s="25">
        <v>0</v>
      </c>
      <c r="E21" s="35">
        <v>0</v>
      </c>
      <c r="F21" s="27">
        <v>0</v>
      </c>
      <c r="G21" s="86">
        <v>1</v>
      </c>
      <c r="H21" s="25">
        <v>3</v>
      </c>
      <c r="I21" s="26">
        <v>1</v>
      </c>
      <c r="J21" s="27">
        <v>15</v>
      </c>
      <c r="K21" s="86">
        <v>0</v>
      </c>
      <c r="L21" s="25">
        <v>0</v>
      </c>
      <c r="M21" s="26">
        <v>1</v>
      </c>
      <c r="N21" s="27">
        <v>0</v>
      </c>
      <c r="O21" s="86">
        <v>3</v>
      </c>
      <c r="P21" s="25">
        <v>1</v>
      </c>
      <c r="Q21" s="26">
        <v>0</v>
      </c>
      <c r="R21" s="27">
        <v>0</v>
      </c>
    </row>
    <row r="22" spans="1:29" ht="18.75" customHeight="1">
      <c r="A22" s="221"/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3"/>
    </row>
    <row r="23" spans="1:29" ht="30.75" customHeight="1">
      <c r="A23" s="224" t="s">
        <v>30</v>
      </c>
      <c r="B23" s="38" t="s">
        <v>11</v>
      </c>
      <c r="C23" s="38" t="s">
        <v>12</v>
      </c>
      <c r="D23" s="21">
        <f t="shared" ref="D23:R23" si="0">SUM(D5+D14)</f>
        <v>0</v>
      </c>
      <c r="E23" s="22">
        <f t="shared" si="0"/>
        <v>0</v>
      </c>
      <c r="F23" s="39">
        <f t="shared" si="0"/>
        <v>0</v>
      </c>
      <c r="G23" s="40">
        <f t="shared" si="0"/>
        <v>0</v>
      </c>
      <c r="H23" s="21">
        <f t="shared" si="0"/>
        <v>0</v>
      </c>
      <c r="I23" s="22">
        <f t="shared" si="0"/>
        <v>0</v>
      </c>
      <c r="J23" s="39">
        <f t="shared" si="0"/>
        <v>0</v>
      </c>
      <c r="K23" s="40">
        <f t="shared" si="0"/>
        <v>0</v>
      </c>
      <c r="L23" s="21">
        <f t="shared" si="0"/>
        <v>0</v>
      </c>
      <c r="M23" s="22">
        <f t="shared" si="0"/>
        <v>0</v>
      </c>
      <c r="N23" s="39">
        <f t="shared" si="0"/>
        <v>0</v>
      </c>
      <c r="O23" s="40">
        <f t="shared" si="0"/>
        <v>0</v>
      </c>
      <c r="P23" s="21">
        <f t="shared" si="0"/>
        <v>0</v>
      </c>
      <c r="Q23" s="40">
        <f t="shared" si="0"/>
        <v>0</v>
      </c>
      <c r="R23" s="39">
        <f t="shared" si="0"/>
        <v>0</v>
      </c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</row>
    <row r="24" spans="1:29" ht="22.5" customHeight="1">
      <c r="A24" s="219"/>
      <c r="B24" s="24" t="s">
        <v>13</v>
      </c>
      <c r="C24" s="24" t="s">
        <v>14</v>
      </c>
      <c r="D24" s="29">
        <f t="shared" ref="D24:O24" si="1">SUM(D6)</f>
        <v>0</v>
      </c>
      <c r="E24" s="30">
        <f t="shared" si="1"/>
        <v>0</v>
      </c>
      <c r="F24" s="41">
        <f t="shared" si="1"/>
        <v>0</v>
      </c>
      <c r="G24" s="42">
        <f t="shared" si="1"/>
        <v>0</v>
      </c>
      <c r="H24" s="29">
        <f t="shared" si="1"/>
        <v>0</v>
      </c>
      <c r="I24" s="30">
        <f t="shared" si="1"/>
        <v>0</v>
      </c>
      <c r="J24" s="41">
        <f t="shared" si="1"/>
        <v>0</v>
      </c>
      <c r="K24" s="42">
        <f t="shared" si="1"/>
        <v>0</v>
      </c>
      <c r="L24" s="29">
        <f t="shared" si="1"/>
        <v>0</v>
      </c>
      <c r="M24" s="30">
        <f t="shared" si="1"/>
        <v>0</v>
      </c>
      <c r="N24" s="41">
        <f t="shared" si="1"/>
        <v>0</v>
      </c>
      <c r="O24" s="42">
        <f t="shared" si="1"/>
        <v>0</v>
      </c>
      <c r="P24" s="29">
        <f t="shared" ref="P24:Q24" si="2">P5</f>
        <v>0</v>
      </c>
      <c r="Q24" s="42">
        <f t="shared" si="2"/>
        <v>0</v>
      </c>
      <c r="R24" s="39">
        <f t="shared" ref="R24:R25" si="3">SUM(R6+R15)</f>
        <v>0</v>
      </c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</row>
    <row r="25" spans="1:29" ht="25.5" customHeight="1">
      <c r="A25" s="219"/>
      <c r="B25" s="38" t="s">
        <v>28</v>
      </c>
      <c r="C25" s="38" t="s">
        <v>29</v>
      </c>
      <c r="D25" s="17">
        <f t="shared" ref="D25:O25" si="4">SUM(D15)</f>
        <v>0</v>
      </c>
      <c r="E25" s="22">
        <f t="shared" si="4"/>
        <v>0</v>
      </c>
      <c r="F25" s="39">
        <f t="shared" si="4"/>
        <v>2</v>
      </c>
      <c r="G25" s="40">
        <f t="shared" si="4"/>
        <v>8</v>
      </c>
      <c r="H25" s="39">
        <f t="shared" si="4"/>
        <v>32</v>
      </c>
      <c r="I25" s="40">
        <f t="shared" si="4"/>
        <v>4</v>
      </c>
      <c r="J25" s="39">
        <f t="shared" si="4"/>
        <v>118</v>
      </c>
      <c r="K25" s="40">
        <f t="shared" si="4"/>
        <v>38</v>
      </c>
      <c r="L25" s="39">
        <f t="shared" si="4"/>
        <v>2</v>
      </c>
      <c r="M25" s="40">
        <f t="shared" si="4"/>
        <v>7</v>
      </c>
      <c r="N25" s="39">
        <f t="shared" si="4"/>
        <v>1</v>
      </c>
      <c r="O25" s="40">
        <f t="shared" si="4"/>
        <v>6</v>
      </c>
      <c r="P25" s="21">
        <f t="shared" ref="P25:Q25" si="5">P15</f>
        <v>2</v>
      </c>
      <c r="Q25" s="40">
        <f t="shared" si="5"/>
        <v>0</v>
      </c>
      <c r="R25" s="39">
        <f t="shared" si="3"/>
        <v>2</v>
      </c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</row>
    <row r="26" spans="1:29" ht="24.75" customHeight="1">
      <c r="A26" s="219"/>
      <c r="B26" s="24" t="s">
        <v>15</v>
      </c>
      <c r="C26" s="24" t="s">
        <v>16</v>
      </c>
      <c r="D26" s="29">
        <f t="shared" ref="D26:R26" si="6">SUM(D7+D16)</f>
        <v>0</v>
      </c>
      <c r="E26" s="30">
        <f t="shared" si="6"/>
        <v>0</v>
      </c>
      <c r="F26" s="41">
        <f t="shared" si="6"/>
        <v>0</v>
      </c>
      <c r="G26" s="42">
        <f t="shared" si="6"/>
        <v>0</v>
      </c>
      <c r="H26" s="29">
        <f t="shared" si="6"/>
        <v>0</v>
      </c>
      <c r="I26" s="30">
        <f t="shared" si="6"/>
        <v>3</v>
      </c>
      <c r="J26" s="41">
        <f t="shared" si="6"/>
        <v>2</v>
      </c>
      <c r="K26" s="42">
        <f t="shared" si="6"/>
        <v>0</v>
      </c>
      <c r="L26" s="29">
        <f t="shared" si="6"/>
        <v>0</v>
      </c>
      <c r="M26" s="30">
        <f t="shared" si="6"/>
        <v>1</v>
      </c>
      <c r="N26" s="41">
        <f t="shared" si="6"/>
        <v>0</v>
      </c>
      <c r="O26" s="42">
        <f t="shared" si="6"/>
        <v>0</v>
      </c>
      <c r="P26" s="29">
        <f t="shared" si="6"/>
        <v>0</v>
      </c>
      <c r="Q26" s="42">
        <f t="shared" si="6"/>
        <v>0</v>
      </c>
      <c r="R26" s="39">
        <f t="shared" si="6"/>
        <v>2</v>
      </c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</row>
    <row r="27" spans="1:29" ht="23.25" customHeight="1">
      <c r="A27" s="219"/>
      <c r="B27" s="38" t="s">
        <v>17</v>
      </c>
      <c r="C27" s="38" t="s">
        <v>18</v>
      </c>
      <c r="D27" s="21">
        <f t="shared" ref="D27:R27" si="7">SUM(D8+D17)</f>
        <v>0</v>
      </c>
      <c r="E27" s="22">
        <f t="shared" si="7"/>
        <v>0</v>
      </c>
      <c r="F27" s="39">
        <f t="shared" si="7"/>
        <v>0</v>
      </c>
      <c r="G27" s="40">
        <f t="shared" si="7"/>
        <v>0</v>
      </c>
      <c r="H27" s="21">
        <f t="shared" si="7"/>
        <v>0</v>
      </c>
      <c r="I27" s="22">
        <f t="shared" si="7"/>
        <v>0</v>
      </c>
      <c r="J27" s="39">
        <f t="shared" si="7"/>
        <v>0</v>
      </c>
      <c r="K27" s="40">
        <f t="shared" si="7"/>
        <v>0</v>
      </c>
      <c r="L27" s="21">
        <f t="shared" si="7"/>
        <v>0</v>
      </c>
      <c r="M27" s="22">
        <f t="shared" si="7"/>
        <v>0</v>
      </c>
      <c r="N27" s="39">
        <f t="shared" si="7"/>
        <v>0</v>
      </c>
      <c r="O27" s="40">
        <f t="shared" si="7"/>
        <v>0</v>
      </c>
      <c r="P27" s="21">
        <f t="shared" si="7"/>
        <v>0</v>
      </c>
      <c r="Q27" s="40">
        <f t="shared" si="7"/>
        <v>0</v>
      </c>
      <c r="R27" s="39">
        <f t="shared" si="7"/>
        <v>0</v>
      </c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</row>
    <row r="28" spans="1:29" ht="22.5" customHeight="1">
      <c r="A28" s="219"/>
      <c r="B28" s="24" t="s">
        <v>19</v>
      </c>
      <c r="C28" s="24" t="s">
        <v>20</v>
      </c>
      <c r="D28" s="29">
        <f t="shared" ref="D28:R28" si="8">SUM(D9+D18)</f>
        <v>1</v>
      </c>
      <c r="E28" s="30">
        <f t="shared" si="8"/>
        <v>3</v>
      </c>
      <c r="F28" s="41">
        <f t="shared" si="8"/>
        <v>3</v>
      </c>
      <c r="G28" s="42">
        <f t="shared" si="8"/>
        <v>2</v>
      </c>
      <c r="H28" s="29">
        <f t="shared" si="8"/>
        <v>11</v>
      </c>
      <c r="I28" s="30">
        <f t="shared" si="8"/>
        <v>5</v>
      </c>
      <c r="J28" s="41">
        <f t="shared" si="8"/>
        <v>9</v>
      </c>
      <c r="K28" s="42">
        <f t="shared" si="8"/>
        <v>6</v>
      </c>
      <c r="L28" s="29">
        <f t="shared" si="8"/>
        <v>5</v>
      </c>
      <c r="M28" s="30">
        <f t="shared" si="8"/>
        <v>13</v>
      </c>
      <c r="N28" s="41">
        <f t="shared" si="8"/>
        <v>10</v>
      </c>
      <c r="O28" s="42">
        <f t="shared" si="8"/>
        <v>12</v>
      </c>
      <c r="P28" s="29">
        <f t="shared" si="8"/>
        <v>5</v>
      </c>
      <c r="Q28" s="42">
        <f t="shared" si="8"/>
        <v>3</v>
      </c>
      <c r="R28" s="39">
        <f t="shared" si="8"/>
        <v>1</v>
      </c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</row>
    <row r="29" spans="1:29" ht="24.75" customHeight="1">
      <c r="A29" s="219"/>
      <c r="B29" s="38" t="s">
        <v>21</v>
      </c>
      <c r="C29" s="38" t="s">
        <v>22</v>
      </c>
      <c r="D29" s="21">
        <f t="shared" ref="D29:R29" si="9">SUM(D10+D19)</f>
        <v>0</v>
      </c>
      <c r="E29" s="22">
        <f t="shared" si="9"/>
        <v>1</v>
      </c>
      <c r="F29" s="39">
        <f t="shared" si="9"/>
        <v>7</v>
      </c>
      <c r="G29" s="40">
        <f t="shared" si="9"/>
        <v>13</v>
      </c>
      <c r="H29" s="21">
        <f t="shared" si="9"/>
        <v>67</v>
      </c>
      <c r="I29" s="22">
        <f t="shared" si="9"/>
        <v>7</v>
      </c>
      <c r="J29" s="39">
        <f t="shared" si="9"/>
        <v>184</v>
      </c>
      <c r="K29" s="40">
        <f t="shared" si="9"/>
        <v>61</v>
      </c>
      <c r="L29" s="21">
        <f t="shared" si="9"/>
        <v>15</v>
      </c>
      <c r="M29" s="22">
        <f t="shared" si="9"/>
        <v>15</v>
      </c>
      <c r="N29" s="39">
        <f t="shared" si="9"/>
        <v>9</v>
      </c>
      <c r="O29" s="40">
        <f t="shared" si="9"/>
        <v>15</v>
      </c>
      <c r="P29" s="21">
        <f t="shared" si="9"/>
        <v>2</v>
      </c>
      <c r="Q29" s="40">
        <f t="shared" si="9"/>
        <v>3</v>
      </c>
      <c r="R29" s="39">
        <f t="shared" si="9"/>
        <v>1</v>
      </c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</row>
    <row r="30" spans="1:29" ht="24.75" customHeight="1">
      <c r="A30" s="219"/>
      <c r="B30" s="24" t="s">
        <v>23</v>
      </c>
      <c r="C30" s="24" t="s">
        <v>24</v>
      </c>
      <c r="D30" s="29">
        <f t="shared" ref="D30:R30" si="10">SUM(D11+D20)</f>
        <v>0</v>
      </c>
      <c r="E30" s="30">
        <f t="shared" si="10"/>
        <v>0</v>
      </c>
      <c r="F30" s="41">
        <f t="shared" si="10"/>
        <v>0</v>
      </c>
      <c r="G30" s="42">
        <f t="shared" si="10"/>
        <v>1</v>
      </c>
      <c r="H30" s="29">
        <f t="shared" si="10"/>
        <v>3</v>
      </c>
      <c r="I30" s="30">
        <f t="shared" si="10"/>
        <v>0</v>
      </c>
      <c r="J30" s="41">
        <f t="shared" si="10"/>
        <v>0</v>
      </c>
      <c r="K30" s="42">
        <f t="shared" si="10"/>
        <v>0</v>
      </c>
      <c r="L30" s="29">
        <f t="shared" si="10"/>
        <v>0</v>
      </c>
      <c r="M30" s="30">
        <f t="shared" si="10"/>
        <v>1</v>
      </c>
      <c r="N30" s="41">
        <f t="shared" si="10"/>
        <v>0</v>
      </c>
      <c r="O30" s="42">
        <f t="shared" si="10"/>
        <v>0</v>
      </c>
      <c r="P30" s="29">
        <f t="shared" si="10"/>
        <v>0</v>
      </c>
      <c r="Q30" s="42">
        <f t="shared" si="10"/>
        <v>0</v>
      </c>
      <c r="R30" s="39">
        <f t="shared" si="10"/>
        <v>0</v>
      </c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</row>
    <row r="31" spans="1:29" ht="25.5" customHeight="1">
      <c r="A31" s="220"/>
      <c r="B31" s="43" t="s">
        <v>25</v>
      </c>
      <c r="C31" s="43" t="s">
        <v>26</v>
      </c>
      <c r="D31" s="21">
        <f t="shared" ref="D31:R31" si="11">SUM(D12+D21)</f>
        <v>0</v>
      </c>
      <c r="E31" s="22">
        <f t="shared" si="11"/>
        <v>0</v>
      </c>
      <c r="F31" s="39">
        <f t="shared" si="11"/>
        <v>0</v>
      </c>
      <c r="G31" s="40">
        <f t="shared" si="11"/>
        <v>1</v>
      </c>
      <c r="H31" s="21">
        <f t="shared" si="11"/>
        <v>4</v>
      </c>
      <c r="I31" s="22">
        <f t="shared" si="11"/>
        <v>3</v>
      </c>
      <c r="J31" s="39">
        <f t="shared" si="11"/>
        <v>15</v>
      </c>
      <c r="K31" s="40">
        <f t="shared" si="11"/>
        <v>0</v>
      </c>
      <c r="L31" s="21">
        <f t="shared" si="11"/>
        <v>0</v>
      </c>
      <c r="M31" s="22">
        <f t="shared" si="11"/>
        <v>1</v>
      </c>
      <c r="N31" s="39">
        <f t="shared" si="11"/>
        <v>0</v>
      </c>
      <c r="O31" s="40">
        <f t="shared" si="11"/>
        <v>4</v>
      </c>
      <c r="P31" s="21">
        <f t="shared" si="11"/>
        <v>1</v>
      </c>
      <c r="Q31" s="40">
        <f t="shared" si="11"/>
        <v>0</v>
      </c>
      <c r="R31" s="39">
        <f t="shared" si="11"/>
        <v>0</v>
      </c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</row>
    <row r="32" spans="1:29" ht="21.75" customHeight="1">
      <c r="A32" s="44"/>
      <c r="B32" s="44"/>
      <c r="C32" s="45" t="s">
        <v>30</v>
      </c>
      <c r="D32" s="46">
        <f t="shared" ref="D32:R32" si="12">SUM(D23:D31)</f>
        <v>1</v>
      </c>
      <c r="E32" s="47">
        <f t="shared" si="12"/>
        <v>4</v>
      </c>
      <c r="F32" s="48">
        <f t="shared" si="12"/>
        <v>12</v>
      </c>
      <c r="G32" s="49">
        <f t="shared" si="12"/>
        <v>25</v>
      </c>
      <c r="H32" s="46">
        <f t="shared" si="12"/>
        <v>117</v>
      </c>
      <c r="I32" s="47">
        <f t="shared" si="12"/>
        <v>22</v>
      </c>
      <c r="J32" s="48">
        <f t="shared" si="12"/>
        <v>328</v>
      </c>
      <c r="K32" s="49">
        <f t="shared" si="12"/>
        <v>105</v>
      </c>
      <c r="L32" s="46">
        <f t="shared" si="12"/>
        <v>22</v>
      </c>
      <c r="M32" s="47">
        <f t="shared" si="12"/>
        <v>38</v>
      </c>
      <c r="N32" s="48">
        <f t="shared" si="12"/>
        <v>20</v>
      </c>
      <c r="O32" s="49">
        <f t="shared" si="12"/>
        <v>37</v>
      </c>
      <c r="P32" s="29">
        <f t="shared" si="12"/>
        <v>10</v>
      </c>
      <c r="Q32" s="49">
        <f t="shared" si="12"/>
        <v>6</v>
      </c>
      <c r="R32" s="39">
        <f t="shared" si="12"/>
        <v>6</v>
      </c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</row>
    <row r="33" spans="1:29" ht="24.75" customHeight="1">
      <c r="A33" s="50"/>
      <c r="B33" s="50"/>
      <c r="C33" s="45" t="s">
        <v>31</v>
      </c>
      <c r="D33" s="51">
        <f t="shared" ref="D33:R33" si="13">D32*40</f>
        <v>40</v>
      </c>
      <c r="E33" s="52">
        <f t="shared" si="13"/>
        <v>160</v>
      </c>
      <c r="F33" s="53">
        <f t="shared" si="13"/>
        <v>480</v>
      </c>
      <c r="G33" s="54">
        <f t="shared" si="13"/>
        <v>1000</v>
      </c>
      <c r="H33" s="51">
        <f t="shared" si="13"/>
        <v>4680</v>
      </c>
      <c r="I33" s="52">
        <f t="shared" si="13"/>
        <v>880</v>
      </c>
      <c r="J33" s="53">
        <f t="shared" si="13"/>
        <v>13120</v>
      </c>
      <c r="K33" s="54">
        <f t="shared" si="13"/>
        <v>4200</v>
      </c>
      <c r="L33" s="51">
        <f t="shared" si="13"/>
        <v>880</v>
      </c>
      <c r="M33" s="52">
        <f t="shared" si="13"/>
        <v>1520</v>
      </c>
      <c r="N33" s="53">
        <f t="shared" si="13"/>
        <v>800</v>
      </c>
      <c r="O33" s="54">
        <f t="shared" si="13"/>
        <v>1480</v>
      </c>
      <c r="P33" s="46">
        <f t="shared" si="13"/>
        <v>400</v>
      </c>
      <c r="Q33" s="54">
        <f t="shared" si="13"/>
        <v>240</v>
      </c>
      <c r="R33" s="39">
        <f t="shared" si="13"/>
        <v>240</v>
      </c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</row>
    <row r="34" spans="1:29" ht="45.75" customHeight="1">
      <c r="A34" s="50"/>
      <c r="C34" s="98" t="s">
        <v>53</v>
      </c>
      <c r="D34" s="99"/>
      <c r="E34" s="99"/>
      <c r="F34" s="133" t="s">
        <v>100</v>
      </c>
      <c r="G34" s="100"/>
      <c r="H34" s="100"/>
      <c r="I34" s="100"/>
      <c r="J34" s="100"/>
      <c r="K34" s="100"/>
      <c r="L34" s="100"/>
      <c r="M34" s="100"/>
      <c r="N34" s="100"/>
      <c r="O34" s="100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 spans="1:29" ht="15" customHeight="1">
      <c r="D35" s="55"/>
      <c r="E35" s="55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 spans="1:29" ht="15" customHeight="1">
      <c r="B36" s="57" t="s">
        <v>32</v>
      </c>
      <c r="C36" s="58"/>
      <c r="D36" s="55"/>
      <c r="E36" s="55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</row>
    <row r="37" spans="1:29" ht="18.75" customHeight="1">
      <c r="B37" s="59" t="s">
        <v>33</v>
      </c>
      <c r="C37" s="60" t="s">
        <v>101</v>
      </c>
      <c r="D37" s="55"/>
      <c r="E37" s="55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 spans="1:29" ht="17.25" customHeight="1">
      <c r="B38" s="59" t="s">
        <v>34</v>
      </c>
      <c r="C38" s="60" t="s">
        <v>102</v>
      </c>
      <c r="D38" s="55"/>
      <c r="E38" s="55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</row>
    <row r="39" spans="1:29" ht="15" customHeight="1">
      <c r="A39" s="50"/>
      <c r="B39" s="59" t="s">
        <v>35</v>
      </c>
      <c r="C39" s="60" t="s">
        <v>103</v>
      </c>
      <c r="D39" s="55"/>
      <c r="E39" s="55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 spans="1:29" ht="15" customHeight="1">
      <c r="A40" s="50"/>
      <c r="B40" s="59" t="s">
        <v>36</v>
      </c>
      <c r="C40" s="60" t="s">
        <v>104</v>
      </c>
      <c r="D40" s="55"/>
      <c r="E40" s="55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 spans="1:29" ht="15" customHeight="1">
      <c r="A41" s="50"/>
      <c r="B41" s="50"/>
      <c r="C41" s="50"/>
      <c r="D41" s="55"/>
      <c r="E41" s="55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 spans="1:29" ht="15" customHeight="1">
      <c r="A42" s="50"/>
      <c r="B42" s="50"/>
      <c r="C42" s="50"/>
      <c r="D42" s="237">
        <v>2022</v>
      </c>
      <c r="E42" s="222"/>
      <c r="F42" s="222"/>
      <c r="G42" s="223"/>
      <c r="H42" s="234">
        <v>2023</v>
      </c>
      <c r="I42" s="222"/>
      <c r="J42" s="222"/>
      <c r="K42" s="223"/>
      <c r="L42" s="101">
        <v>2024</v>
      </c>
      <c r="M42" s="101"/>
      <c r="N42" s="101"/>
      <c r="O42" s="237">
        <v>2025</v>
      </c>
      <c r="P42" s="222"/>
      <c r="Q42" s="222"/>
      <c r="R42" s="223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</row>
    <row r="43" spans="1:29" ht="23.25" customHeight="1">
      <c r="C43" s="50"/>
      <c r="D43" s="103" t="s">
        <v>58</v>
      </c>
      <c r="E43" s="104" t="s">
        <v>59</v>
      </c>
      <c r="F43" s="105" t="s">
        <v>60</v>
      </c>
      <c r="G43" s="106" t="s">
        <v>61</v>
      </c>
      <c r="H43" s="107" t="s">
        <v>62</v>
      </c>
      <c r="I43" s="104" t="s">
        <v>63</v>
      </c>
      <c r="J43" s="105" t="s">
        <v>64</v>
      </c>
      <c r="K43" s="106" t="s">
        <v>65</v>
      </c>
      <c r="L43" s="107" t="s">
        <v>66</v>
      </c>
      <c r="M43" s="104" t="s">
        <v>67</v>
      </c>
      <c r="N43" s="105" t="s">
        <v>68</v>
      </c>
      <c r="O43" s="194" t="s">
        <v>69</v>
      </c>
      <c r="P43" s="107" t="s">
        <v>105</v>
      </c>
      <c r="Q43" s="104" t="s">
        <v>106</v>
      </c>
      <c r="R43" s="105" t="s">
        <v>107</v>
      </c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</row>
    <row r="44" spans="1:29" ht="14.25" customHeight="1">
      <c r="C44" s="38" t="s">
        <v>11</v>
      </c>
      <c r="D44" s="109">
        <f t="shared" ref="D44:R44" si="14">D23*40</f>
        <v>0</v>
      </c>
      <c r="E44" s="109">
        <f t="shared" si="14"/>
        <v>0</v>
      </c>
      <c r="F44" s="109">
        <f t="shared" si="14"/>
        <v>0</v>
      </c>
      <c r="G44" s="109">
        <f t="shared" si="14"/>
        <v>0</v>
      </c>
      <c r="H44" s="109">
        <f t="shared" si="14"/>
        <v>0</v>
      </c>
      <c r="I44" s="109">
        <f t="shared" si="14"/>
        <v>0</v>
      </c>
      <c r="J44" s="109">
        <f t="shared" si="14"/>
        <v>0</v>
      </c>
      <c r="K44" s="109">
        <f t="shared" si="14"/>
        <v>0</v>
      </c>
      <c r="L44" s="109">
        <f t="shared" si="14"/>
        <v>0</v>
      </c>
      <c r="M44" s="109">
        <f t="shared" si="14"/>
        <v>0</v>
      </c>
      <c r="N44" s="109">
        <f t="shared" si="14"/>
        <v>0</v>
      </c>
      <c r="O44" s="109">
        <f t="shared" si="14"/>
        <v>0</v>
      </c>
      <c r="P44" s="109">
        <f t="shared" si="14"/>
        <v>0</v>
      </c>
      <c r="Q44" s="109">
        <f t="shared" si="14"/>
        <v>0</v>
      </c>
      <c r="R44" s="109">
        <f t="shared" si="14"/>
        <v>0</v>
      </c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 spans="1:29" ht="14.25" customHeight="1">
      <c r="C45" s="24" t="s">
        <v>13</v>
      </c>
      <c r="D45" s="136">
        <f t="shared" ref="D45:R45" si="15">D24*40</f>
        <v>0</v>
      </c>
      <c r="E45" s="136">
        <f t="shared" si="15"/>
        <v>0</v>
      </c>
      <c r="F45" s="136">
        <f t="shared" si="15"/>
        <v>0</v>
      </c>
      <c r="G45" s="136">
        <f t="shared" si="15"/>
        <v>0</v>
      </c>
      <c r="H45" s="136">
        <f t="shared" si="15"/>
        <v>0</v>
      </c>
      <c r="I45" s="136">
        <f t="shared" si="15"/>
        <v>0</v>
      </c>
      <c r="J45" s="136">
        <f t="shared" si="15"/>
        <v>0</v>
      </c>
      <c r="K45" s="136">
        <f t="shared" si="15"/>
        <v>0</v>
      </c>
      <c r="L45" s="136">
        <f t="shared" si="15"/>
        <v>0</v>
      </c>
      <c r="M45" s="136">
        <f t="shared" si="15"/>
        <v>0</v>
      </c>
      <c r="N45" s="136">
        <f t="shared" si="15"/>
        <v>0</v>
      </c>
      <c r="O45" s="136">
        <f t="shared" si="15"/>
        <v>0</v>
      </c>
      <c r="P45" s="136">
        <f t="shared" si="15"/>
        <v>0</v>
      </c>
      <c r="Q45" s="136">
        <f t="shared" si="15"/>
        <v>0</v>
      </c>
      <c r="R45" s="136">
        <f t="shared" si="15"/>
        <v>0</v>
      </c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spans="1:29" ht="14.25" customHeight="1">
      <c r="C46" s="38" t="s">
        <v>28</v>
      </c>
      <c r="D46" s="109">
        <f t="shared" ref="D46:R46" si="16">D25*40</f>
        <v>0</v>
      </c>
      <c r="E46" s="109">
        <f t="shared" si="16"/>
        <v>0</v>
      </c>
      <c r="F46" s="109">
        <f t="shared" si="16"/>
        <v>80</v>
      </c>
      <c r="G46" s="109">
        <f t="shared" si="16"/>
        <v>320</v>
      </c>
      <c r="H46" s="109">
        <f t="shared" si="16"/>
        <v>1280</v>
      </c>
      <c r="I46" s="109">
        <f t="shared" si="16"/>
        <v>160</v>
      </c>
      <c r="J46" s="109">
        <f t="shared" si="16"/>
        <v>4720</v>
      </c>
      <c r="K46" s="109">
        <f t="shared" si="16"/>
        <v>1520</v>
      </c>
      <c r="L46" s="109">
        <f t="shared" si="16"/>
        <v>80</v>
      </c>
      <c r="M46" s="109">
        <f t="shared" si="16"/>
        <v>280</v>
      </c>
      <c r="N46" s="109">
        <f t="shared" si="16"/>
        <v>40</v>
      </c>
      <c r="O46" s="109">
        <f t="shared" si="16"/>
        <v>240</v>
      </c>
      <c r="P46" s="109">
        <f t="shared" si="16"/>
        <v>80</v>
      </c>
      <c r="Q46" s="109">
        <f t="shared" si="16"/>
        <v>0</v>
      </c>
      <c r="R46" s="109">
        <f t="shared" si="16"/>
        <v>80</v>
      </c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 spans="1:29" ht="14.25" customHeight="1">
      <c r="C47" s="24" t="s">
        <v>15</v>
      </c>
      <c r="D47" s="136">
        <f t="shared" ref="D47:R47" si="17">D26*40</f>
        <v>0</v>
      </c>
      <c r="E47" s="136">
        <f t="shared" si="17"/>
        <v>0</v>
      </c>
      <c r="F47" s="136">
        <f t="shared" si="17"/>
        <v>0</v>
      </c>
      <c r="G47" s="136">
        <f t="shared" si="17"/>
        <v>0</v>
      </c>
      <c r="H47" s="136">
        <f t="shared" si="17"/>
        <v>0</v>
      </c>
      <c r="I47" s="136">
        <f t="shared" si="17"/>
        <v>120</v>
      </c>
      <c r="J47" s="136">
        <f t="shared" si="17"/>
        <v>80</v>
      </c>
      <c r="K47" s="136">
        <f t="shared" si="17"/>
        <v>0</v>
      </c>
      <c r="L47" s="136">
        <f t="shared" si="17"/>
        <v>0</v>
      </c>
      <c r="M47" s="136">
        <f t="shared" si="17"/>
        <v>40</v>
      </c>
      <c r="N47" s="136">
        <f t="shared" si="17"/>
        <v>0</v>
      </c>
      <c r="O47" s="136">
        <f t="shared" si="17"/>
        <v>0</v>
      </c>
      <c r="P47" s="136">
        <f t="shared" si="17"/>
        <v>0</v>
      </c>
      <c r="Q47" s="136">
        <f t="shared" si="17"/>
        <v>0</v>
      </c>
      <c r="R47" s="136">
        <f t="shared" si="17"/>
        <v>80</v>
      </c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spans="1:29" ht="14.25" customHeight="1">
      <c r="C48" s="38" t="s">
        <v>17</v>
      </c>
      <c r="D48" s="109">
        <f t="shared" ref="D48:R48" si="18">D27*40</f>
        <v>0</v>
      </c>
      <c r="E48" s="109">
        <f t="shared" si="18"/>
        <v>0</v>
      </c>
      <c r="F48" s="109">
        <f t="shared" si="18"/>
        <v>0</v>
      </c>
      <c r="G48" s="109">
        <f t="shared" si="18"/>
        <v>0</v>
      </c>
      <c r="H48" s="109">
        <f t="shared" si="18"/>
        <v>0</v>
      </c>
      <c r="I48" s="109">
        <f t="shared" si="18"/>
        <v>0</v>
      </c>
      <c r="J48" s="109">
        <f t="shared" si="18"/>
        <v>0</v>
      </c>
      <c r="K48" s="109">
        <f t="shared" si="18"/>
        <v>0</v>
      </c>
      <c r="L48" s="109">
        <f t="shared" si="18"/>
        <v>0</v>
      </c>
      <c r="M48" s="109">
        <f t="shared" si="18"/>
        <v>0</v>
      </c>
      <c r="N48" s="109">
        <f t="shared" si="18"/>
        <v>0</v>
      </c>
      <c r="O48" s="109">
        <f t="shared" si="18"/>
        <v>0</v>
      </c>
      <c r="P48" s="109">
        <f t="shared" si="18"/>
        <v>0</v>
      </c>
      <c r="Q48" s="109">
        <f t="shared" si="18"/>
        <v>0</v>
      </c>
      <c r="R48" s="109">
        <f t="shared" si="18"/>
        <v>0</v>
      </c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 spans="3:29" ht="14.25" customHeight="1">
      <c r="C49" s="24" t="s">
        <v>19</v>
      </c>
      <c r="D49" s="136">
        <f t="shared" ref="D49:R49" si="19">D28*40</f>
        <v>40</v>
      </c>
      <c r="E49" s="136">
        <f t="shared" si="19"/>
        <v>120</v>
      </c>
      <c r="F49" s="136">
        <f t="shared" si="19"/>
        <v>120</v>
      </c>
      <c r="G49" s="136">
        <f t="shared" si="19"/>
        <v>80</v>
      </c>
      <c r="H49" s="136">
        <f t="shared" si="19"/>
        <v>440</v>
      </c>
      <c r="I49" s="136">
        <f t="shared" si="19"/>
        <v>200</v>
      </c>
      <c r="J49" s="136">
        <f t="shared" si="19"/>
        <v>360</v>
      </c>
      <c r="K49" s="136">
        <f t="shared" si="19"/>
        <v>240</v>
      </c>
      <c r="L49" s="136">
        <f t="shared" si="19"/>
        <v>200</v>
      </c>
      <c r="M49" s="136">
        <f t="shared" si="19"/>
        <v>520</v>
      </c>
      <c r="N49" s="136">
        <f t="shared" si="19"/>
        <v>400</v>
      </c>
      <c r="O49" s="136">
        <f t="shared" si="19"/>
        <v>480</v>
      </c>
      <c r="P49" s="136">
        <f t="shared" si="19"/>
        <v>200</v>
      </c>
      <c r="Q49" s="136">
        <f t="shared" si="19"/>
        <v>120</v>
      </c>
      <c r="R49" s="136">
        <f t="shared" si="19"/>
        <v>40</v>
      </c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 spans="3:29" ht="14.25" customHeight="1">
      <c r="C50" s="38" t="s">
        <v>21</v>
      </c>
      <c r="D50" s="109">
        <f t="shared" ref="D50:R50" si="20">D29*40</f>
        <v>0</v>
      </c>
      <c r="E50" s="109">
        <f t="shared" si="20"/>
        <v>40</v>
      </c>
      <c r="F50" s="109">
        <f t="shared" si="20"/>
        <v>280</v>
      </c>
      <c r="G50" s="109">
        <f t="shared" si="20"/>
        <v>520</v>
      </c>
      <c r="H50" s="109">
        <f t="shared" si="20"/>
        <v>2680</v>
      </c>
      <c r="I50" s="109">
        <f t="shared" si="20"/>
        <v>280</v>
      </c>
      <c r="J50" s="109">
        <f t="shared" si="20"/>
        <v>7360</v>
      </c>
      <c r="K50" s="109">
        <f t="shared" si="20"/>
        <v>2440</v>
      </c>
      <c r="L50" s="109">
        <f t="shared" si="20"/>
        <v>600</v>
      </c>
      <c r="M50" s="109">
        <f t="shared" si="20"/>
        <v>600</v>
      </c>
      <c r="N50" s="109">
        <f t="shared" si="20"/>
        <v>360</v>
      </c>
      <c r="O50" s="109">
        <f t="shared" si="20"/>
        <v>600</v>
      </c>
      <c r="P50" s="109">
        <f t="shared" si="20"/>
        <v>80</v>
      </c>
      <c r="Q50" s="109">
        <f t="shared" si="20"/>
        <v>120</v>
      </c>
      <c r="R50" s="109">
        <f t="shared" si="20"/>
        <v>40</v>
      </c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 spans="3:29" ht="14.25" customHeight="1">
      <c r="C51" s="24" t="s">
        <v>23</v>
      </c>
      <c r="D51" s="136">
        <f t="shared" ref="D51:R51" si="21">D30*40</f>
        <v>0</v>
      </c>
      <c r="E51" s="136">
        <f t="shared" si="21"/>
        <v>0</v>
      </c>
      <c r="F51" s="136">
        <f t="shared" si="21"/>
        <v>0</v>
      </c>
      <c r="G51" s="136">
        <f t="shared" si="21"/>
        <v>40</v>
      </c>
      <c r="H51" s="136">
        <f t="shared" si="21"/>
        <v>120</v>
      </c>
      <c r="I51" s="136">
        <f t="shared" si="21"/>
        <v>0</v>
      </c>
      <c r="J51" s="136">
        <f t="shared" si="21"/>
        <v>0</v>
      </c>
      <c r="K51" s="136">
        <f t="shared" si="21"/>
        <v>0</v>
      </c>
      <c r="L51" s="136">
        <f t="shared" si="21"/>
        <v>0</v>
      </c>
      <c r="M51" s="136">
        <f t="shared" si="21"/>
        <v>40</v>
      </c>
      <c r="N51" s="136">
        <f t="shared" si="21"/>
        <v>0</v>
      </c>
      <c r="O51" s="136">
        <f t="shared" si="21"/>
        <v>0</v>
      </c>
      <c r="P51" s="136">
        <f t="shared" si="21"/>
        <v>0</v>
      </c>
      <c r="Q51" s="136">
        <f t="shared" si="21"/>
        <v>0</v>
      </c>
      <c r="R51" s="136">
        <f t="shared" si="21"/>
        <v>0</v>
      </c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</row>
    <row r="52" spans="3:29" ht="14.25" customHeight="1">
      <c r="C52" s="43" t="s">
        <v>25</v>
      </c>
      <c r="D52" s="109">
        <f t="shared" ref="D52:R52" si="22">D31*40</f>
        <v>0</v>
      </c>
      <c r="E52" s="109">
        <f t="shared" si="22"/>
        <v>0</v>
      </c>
      <c r="F52" s="109">
        <f t="shared" si="22"/>
        <v>0</v>
      </c>
      <c r="G52" s="109">
        <f t="shared" si="22"/>
        <v>40</v>
      </c>
      <c r="H52" s="109">
        <f t="shared" si="22"/>
        <v>160</v>
      </c>
      <c r="I52" s="109">
        <f t="shared" si="22"/>
        <v>120</v>
      </c>
      <c r="J52" s="109">
        <f t="shared" si="22"/>
        <v>600</v>
      </c>
      <c r="K52" s="109">
        <f t="shared" si="22"/>
        <v>0</v>
      </c>
      <c r="L52" s="109">
        <f t="shared" si="22"/>
        <v>0</v>
      </c>
      <c r="M52" s="109">
        <f t="shared" si="22"/>
        <v>40</v>
      </c>
      <c r="N52" s="109">
        <f t="shared" si="22"/>
        <v>0</v>
      </c>
      <c r="O52" s="109">
        <f t="shared" si="22"/>
        <v>160</v>
      </c>
      <c r="P52" s="109">
        <f t="shared" si="22"/>
        <v>40</v>
      </c>
      <c r="Q52" s="109">
        <f t="shared" si="22"/>
        <v>0</v>
      </c>
      <c r="R52" s="109">
        <f t="shared" si="22"/>
        <v>0</v>
      </c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</row>
    <row r="53" spans="3:29" ht="14.25" customHeight="1"/>
    <row r="54" spans="3:29" ht="14.25" customHeight="1">
      <c r="C54" s="67" t="s">
        <v>83</v>
      </c>
      <c r="D54" s="56"/>
      <c r="E54" s="56"/>
      <c r="F54" s="56"/>
      <c r="G54" s="56"/>
      <c r="H54" s="56"/>
      <c r="I54" s="56"/>
      <c r="J54" s="56"/>
      <c r="K54" s="56">
        <f>SUM(K46:N46)</f>
        <v>1920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</row>
    <row r="55" spans="3:29" ht="14.25" customHeight="1"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</row>
    <row r="56" spans="3:29" ht="14.25" customHeight="1"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</row>
    <row r="57" spans="3:29" ht="14.25" customHeight="1"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</row>
    <row r="58" spans="3:29" ht="14.25" customHeight="1"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 spans="3:29" ht="14.25" customHeight="1"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</row>
    <row r="60" spans="3:29" ht="14.25" customHeight="1"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 spans="3:29" ht="14.25" customHeight="1"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</row>
    <row r="62" spans="3:29" ht="14.25" customHeight="1"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</row>
    <row r="63" spans="3:29" ht="14.25" customHeight="1"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</row>
    <row r="64" spans="3:29" ht="14.25" customHeight="1"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</row>
    <row r="65" spans="4:29" ht="14.25" customHeight="1"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</row>
    <row r="66" spans="4:29" ht="14.25" customHeight="1"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</row>
    <row r="67" spans="4:29" ht="14.25" customHeight="1"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 spans="4:29" ht="14.25" customHeight="1"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 spans="4:29" ht="14.25" customHeight="1"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</row>
    <row r="70" spans="4:29" ht="14.25" customHeight="1"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</row>
    <row r="71" spans="4:29" ht="14.25" customHeight="1"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</row>
    <row r="72" spans="4:29" ht="14.25" customHeight="1"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</row>
    <row r="73" spans="4:29" ht="14.25" customHeight="1"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</row>
    <row r="74" spans="4:29" ht="14.25" customHeight="1"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</row>
    <row r="75" spans="4:29" ht="14.25" customHeight="1"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</row>
    <row r="76" spans="4:29" ht="14.25" customHeight="1"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</row>
    <row r="77" spans="4:29" ht="14.25" customHeight="1"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</row>
    <row r="78" spans="4:29" ht="14.25" customHeight="1"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</row>
    <row r="79" spans="4:29" ht="14.25" customHeight="1"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</row>
    <row r="80" spans="4:29" ht="14.25" customHeight="1"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</row>
    <row r="81" spans="4:29" ht="14.25" customHeight="1"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</row>
    <row r="82" spans="4:29" ht="14.25" customHeight="1"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</row>
    <row r="83" spans="4:29" ht="14.25" customHeight="1"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</row>
    <row r="84" spans="4:29" ht="14.25" customHeight="1"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</row>
    <row r="85" spans="4:29" ht="14.25" customHeight="1"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</row>
    <row r="86" spans="4:29" ht="14.25" customHeight="1"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</row>
    <row r="87" spans="4:29" ht="14.25" customHeight="1"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</row>
    <row r="88" spans="4:29" ht="14.25" customHeight="1"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</row>
    <row r="89" spans="4:29" ht="14.25" customHeight="1"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</row>
    <row r="90" spans="4:29" ht="14.25" customHeight="1"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</row>
    <row r="91" spans="4:29" ht="14.25" customHeight="1"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</row>
    <row r="92" spans="4:29" ht="14.25" customHeight="1"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</row>
    <row r="93" spans="4:29" ht="14.25" customHeight="1"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</row>
    <row r="94" spans="4:29" ht="14.25" customHeight="1"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</row>
    <row r="95" spans="4:29" ht="14.25" customHeight="1"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</row>
    <row r="96" spans="4:29" ht="14.25" customHeight="1"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</row>
    <row r="97" spans="4:29" ht="14.25" customHeight="1"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</row>
    <row r="98" spans="4:29" ht="14.25" customHeight="1"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</row>
    <row r="99" spans="4:29" ht="14.25" customHeight="1"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</row>
    <row r="100" spans="4:29" ht="14.25" customHeight="1"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</row>
    <row r="101" spans="4:29" ht="14.25" customHeight="1"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</row>
    <row r="102" spans="4:29" ht="14.25" customHeight="1"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</row>
    <row r="103" spans="4:29" ht="14.25" customHeight="1"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</row>
    <row r="104" spans="4:29" ht="14.25" customHeight="1"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</row>
    <row r="105" spans="4:29" ht="14.25" customHeight="1"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</row>
    <row r="106" spans="4:29" ht="14.25" customHeight="1"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</row>
    <row r="107" spans="4:29" ht="14.25" customHeight="1"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</row>
    <row r="108" spans="4:29" ht="14.25" customHeight="1"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</row>
    <row r="109" spans="4:29" ht="14.25" customHeight="1"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</row>
    <row r="110" spans="4:29" ht="14.25" customHeight="1"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</row>
    <row r="111" spans="4:29" ht="14.25" customHeight="1"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</row>
    <row r="112" spans="4:29" ht="14.25" customHeight="1"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</row>
    <row r="113" spans="4:7" ht="14.25" customHeight="1">
      <c r="D113" s="61"/>
      <c r="E113" s="62"/>
      <c r="F113" s="63"/>
      <c r="G113" s="64"/>
    </row>
    <row r="114" spans="4:7" ht="14.25" customHeight="1">
      <c r="D114" s="61"/>
      <c r="E114" s="62"/>
      <c r="F114" s="63"/>
      <c r="G114" s="64"/>
    </row>
    <row r="115" spans="4:7" ht="14.25" customHeight="1">
      <c r="D115" s="61"/>
      <c r="E115" s="62"/>
      <c r="F115" s="63"/>
      <c r="G115" s="64"/>
    </row>
    <row r="116" spans="4:7" ht="14.25" customHeight="1">
      <c r="D116" s="61"/>
      <c r="E116" s="62"/>
      <c r="F116" s="63"/>
      <c r="G116" s="64"/>
    </row>
    <row r="117" spans="4:7" ht="14.25" customHeight="1">
      <c r="D117" s="61"/>
      <c r="E117" s="62"/>
      <c r="F117" s="63"/>
      <c r="G117" s="64"/>
    </row>
    <row r="118" spans="4:7" ht="14.25" customHeight="1">
      <c r="D118" s="61"/>
      <c r="E118" s="62"/>
      <c r="F118" s="63"/>
      <c r="G118" s="64"/>
    </row>
    <row r="119" spans="4:7" ht="14.25" customHeight="1">
      <c r="D119" s="61"/>
      <c r="E119" s="62"/>
      <c r="F119" s="63"/>
      <c r="G119" s="64"/>
    </row>
    <row r="120" spans="4:7" ht="14.25" customHeight="1">
      <c r="D120" s="61"/>
      <c r="E120" s="62"/>
      <c r="F120" s="63"/>
      <c r="G120" s="64"/>
    </row>
    <row r="121" spans="4:7" ht="14.25" customHeight="1">
      <c r="D121" s="61"/>
      <c r="E121" s="62"/>
      <c r="F121" s="63"/>
      <c r="G121" s="64"/>
    </row>
    <row r="122" spans="4:7" ht="14.25" customHeight="1">
      <c r="D122" s="61"/>
      <c r="E122" s="62"/>
      <c r="F122" s="63"/>
      <c r="G122" s="64"/>
    </row>
    <row r="123" spans="4:7" ht="14.25" customHeight="1">
      <c r="D123" s="61"/>
      <c r="E123" s="62"/>
      <c r="F123" s="63"/>
      <c r="G123" s="64"/>
    </row>
    <row r="124" spans="4:7" ht="14.25" customHeight="1">
      <c r="D124" s="61"/>
      <c r="E124" s="62"/>
      <c r="F124" s="63"/>
      <c r="G124" s="64"/>
    </row>
    <row r="125" spans="4:7" ht="14.25" customHeight="1">
      <c r="D125" s="61"/>
      <c r="E125" s="62"/>
      <c r="F125" s="63"/>
      <c r="G125" s="64"/>
    </row>
    <row r="126" spans="4:7" ht="14.25" customHeight="1">
      <c r="D126" s="61"/>
      <c r="E126" s="62"/>
      <c r="F126" s="63"/>
      <c r="G126" s="64"/>
    </row>
    <row r="127" spans="4:7" ht="14.25" customHeight="1">
      <c r="D127" s="61"/>
      <c r="E127" s="62"/>
      <c r="F127" s="63"/>
      <c r="G127" s="64"/>
    </row>
    <row r="128" spans="4:7" ht="14.25" customHeight="1">
      <c r="D128" s="61"/>
      <c r="E128" s="62"/>
      <c r="F128" s="63"/>
      <c r="G128" s="64"/>
    </row>
    <row r="129" spans="4:7" ht="14.25" customHeight="1">
      <c r="D129" s="61"/>
      <c r="E129" s="62"/>
      <c r="F129" s="63"/>
      <c r="G129" s="64"/>
    </row>
    <row r="130" spans="4:7" ht="14.25" customHeight="1">
      <c r="D130" s="61"/>
      <c r="E130" s="62"/>
      <c r="F130" s="63"/>
      <c r="G130" s="64"/>
    </row>
    <row r="131" spans="4:7" ht="14.25" customHeight="1">
      <c r="D131" s="61"/>
      <c r="E131" s="62"/>
      <c r="F131" s="63"/>
      <c r="G131" s="64"/>
    </row>
    <row r="132" spans="4:7" ht="14.25" customHeight="1">
      <c r="D132" s="61"/>
      <c r="E132" s="62"/>
      <c r="F132" s="63"/>
      <c r="G132" s="64"/>
    </row>
    <row r="133" spans="4:7" ht="14.25" customHeight="1">
      <c r="D133" s="61"/>
      <c r="E133" s="62"/>
      <c r="F133" s="63"/>
      <c r="G133" s="64"/>
    </row>
    <row r="134" spans="4:7" ht="14.25" customHeight="1">
      <c r="D134" s="61"/>
      <c r="E134" s="62"/>
      <c r="F134" s="63"/>
      <c r="G134" s="64"/>
    </row>
    <row r="135" spans="4:7" ht="14.25" customHeight="1">
      <c r="D135" s="61"/>
      <c r="E135" s="62"/>
      <c r="F135" s="63"/>
      <c r="G135" s="64"/>
    </row>
    <row r="136" spans="4:7" ht="14.25" customHeight="1">
      <c r="D136" s="61"/>
      <c r="E136" s="62"/>
      <c r="F136" s="63"/>
      <c r="G136" s="64"/>
    </row>
    <row r="137" spans="4:7" ht="14.25" customHeight="1">
      <c r="D137" s="61"/>
      <c r="E137" s="62"/>
      <c r="F137" s="63"/>
      <c r="G137" s="64"/>
    </row>
    <row r="138" spans="4:7" ht="14.25" customHeight="1">
      <c r="D138" s="61"/>
      <c r="E138" s="62"/>
      <c r="F138" s="63"/>
      <c r="G138" s="64"/>
    </row>
    <row r="139" spans="4:7" ht="14.25" customHeight="1">
      <c r="D139" s="61"/>
      <c r="E139" s="62"/>
      <c r="F139" s="63"/>
      <c r="G139" s="64"/>
    </row>
    <row r="140" spans="4:7" ht="14.25" customHeight="1">
      <c r="D140" s="61"/>
      <c r="E140" s="62"/>
      <c r="F140" s="63"/>
      <c r="G140" s="64"/>
    </row>
    <row r="141" spans="4:7" ht="14.25" customHeight="1">
      <c r="D141" s="61"/>
      <c r="E141" s="62"/>
      <c r="F141" s="63"/>
      <c r="G141" s="64"/>
    </row>
    <row r="142" spans="4:7" ht="14.25" customHeight="1">
      <c r="D142" s="61"/>
      <c r="E142" s="62"/>
      <c r="F142" s="63"/>
      <c r="G142" s="64"/>
    </row>
    <row r="143" spans="4:7" ht="14.25" customHeight="1">
      <c r="D143" s="61"/>
      <c r="E143" s="62"/>
      <c r="F143" s="63"/>
      <c r="G143" s="64"/>
    </row>
    <row r="144" spans="4:7" ht="14.25" customHeight="1">
      <c r="D144" s="61"/>
      <c r="E144" s="62"/>
      <c r="F144" s="63"/>
      <c r="G144" s="64"/>
    </row>
    <row r="145" spans="4:7" ht="14.25" customHeight="1">
      <c r="D145" s="61"/>
      <c r="E145" s="62"/>
      <c r="F145" s="63"/>
      <c r="G145" s="64"/>
    </row>
    <row r="146" spans="4:7" ht="14.25" customHeight="1">
      <c r="D146" s="61"/>
      <c r="E146" s="62"/>
      <c r="F146" s="63"/>
      <c r="G146" s="64"/>
    </row>
    <row r="147" spans="4:7" ht="14.25" customHeight="1">
      <c r="D147" s="61"/>
      <c r="E147" s="62"/>
      <c r="F147" s="63"/>
      <c r="G147" s="64"/>
    </row>
    <row r="148" spans="4:7" ht="14.25" customHeight="1">
      <c r="D148" s="61"/>
      <c r="E148" s="62"/>
      <c r="F148" s="63"/>
      <c r="G148" s="64"/>
    </row>
    <row r="149" spans="4:7" ht="14.25" customHeight="1">
      <c r="D149" s="61"/>
      <c r="E149" s="62"/>
      <c r="F149" s="63"/>
      <c r="G149" s="64"/>
    </row>
    <row r="150" spans="4:7" ht="14.25" customHeight="1">
      <c r="D150" s="61"/>
      <c r="E150" s="62"/>
      <c r="F150" s="63"/>
      <c r="G150" s="64"/>
    </row>
    <row r="151" spans="4:7" ht="14.25" customHeight="1">
      <c r="D151" s="61"/>
      <c r="E151" s="62"/>
      <c r="F151" s="63"/>
      <c r="G151" s="64"/>
    </row>
    <row r="152" spans="4:7" ht="14.25" customHeight="1">
      <c r="D152" s="61"/>
      <c r="E152" s="62"/>
      <c r="F152" s="63"/>
      <c r="G152" s="64"/>
    </row>
    <row r="153" spans="4:7" ht="14.25" customHeight="1">
      <c r="D153" s="61"/>
      <c r="E153" s="62"/>
      <c r="F153" s="63"/>
      <c r="G153" s="64"/>
    </row>
    <row r="154" spans="4:7" ht="14.25" customHeight="1">
      <c r="D154" s="61"/>
      <c r="E154" s="62"/>
      <c r="F154" s="63"/>
      <c r="G154" s="64"/>
    </row>
    <row r="155" spans="4:7" ht="14.25" customHeight="1">
      <c r="D155" s="61"/>
      <c r="E155" s="62"/>
      <c r="F155" s="63"/>
      <c r="G155" s="64"/>
    </row>
    <row r="156" spans="4:7" ht="14.25" customHeight="1">
      <c r="D156" s="61"/>
      <c r="E156" s="62"/>
      <c r="F156" s="63"/>
      <c r="G156" s="64"/>
    </row>
    <row r="157" spans="4:7" ht="14.25" customHeight="1">
      <c r="D157" s="61"/>
      <c r="E157" s="62"/>
      <c r="F157" s="63"/>
      <c r="G157" s="64"/>
    </row>
    <row r="158" spans="4:7" ht="14.25" customHeight="1">
      <c r="D158" s="61"/>
      <c r="E158" s="62"/>
      <c r="F158" s="63"/>
      <c r="G158" s="64"/>
    </row>
    <row r="159" spans="4:7" ht="14.25" customHeight="1">
      <c r="D159" s="61"/>
      <c r="E159" s="62"/>
      <c r="F159" s="63"/>
      <c r="G159" s="64"/>
    </row>
    <row r="160" spans="4:7" ht="14.25" customHeight="1">
      <c r="D160" s="61"/>
      <c r="E160" s="62"/>
      <c r="F160" s="63"/>
      <c r="G160" s="64"/>
    </row>
    <row r="161" spans="4:7" ht="14.25" customHeight="1">
      <c r="D161" s="61"/>
      <c r="E161" s="62"/>
      <c r="F161" s="63"/>
      <c r="G161" s="64"/>
    </row>
    <row r="162" spans="4:7" ht="14.25" customHeight="1">
      <c r="D162" s="61"/>
      <c r="E162" s="62"/>
      <c r="F162" s="63"/>
      <c r="G162" s="64"/>
    </row>
    <row r="163" spans="4:7" ht="14.25" customHeight="1">
      <c r="D163" s="61"/>
      <c r="E163" s="62"/>
      <c r="F163" s="63"/>
      <c r="G163" s="64"/>
    </row>
    <row r="164" spans="4:7" ht="14.25" customHeight="1">
      <c r="D164" s="61"/>
      <c r="E164" s="62"/>
      <c r="F164" s="63"/>
      <c r="G164" s="64"/>
    </row>
    <row r="165" spans="4:7" ht="14.25" customHeight="1">
      <c r="D165" s="61"/>
      <c r="E165" s="62"/>
      <c r="F165" s="63"/>
      <c r="G165" s="64"/>
    </row>
    <row r="166" spans="4:7" ht="14.25" customHeight="1">
      <c r="D166" s="61"/>
      <c r="E166" s="62"/>
      <c r="F166" s="63"/>
      <c r="G166" s="64"/>
    </row>
    <row r="167" spans="4:7" ht="14.25" customHeight="1">
      <c r="D167" s="61"/>
      <c r="E167" s="62"/>
      <c r="F167" s="63"/>
      <c r="G167" s="64"/>
    </row>
    <row r="168" spans="4:7" ht="14.25" customHeight="1">
      <c r="D168" s="61"/>
      <c r="E168" s="62"/>
      <c r="F168" s="63"/>
      <c r="G168" s="64"/>
    </row>
    <row r="169" spans="4:7" ht="14.25" customHeight="1">
      <c r="D169" s="61"/>
      <c r="E169" s="62"/>
      <c r="F169" s="63"/>
      <c r="G169" s="64"/>
    </row>
    <row r="170" spans="4:7" ht="14.25" customHeight="1">
      <c r="D170" s="61"/>
      <c r="E170" s="62"/>
      <c r="F170" s="63"/>
      <c r="G170" s="64"/>
    </row>
    <row r="171" spans="4:7" ht="14.25" customHeight="1">
      <c r="D171" s="61"/>
      <c r="E171" s="62"/>
      <c r="F171" s="63"/>
      <c r="G171" s="64"/>
    </row>
    <row r="172" spans="4:7" ht="14.25" customHeight="1">
      <c r="D172" s="61"/>
      <c r="E172" s="62"/>
      <c r="F172" s="63"/>
      <c r="G172" s="64"/>
    </row>
    <row r="173" spans="4:7" ht="14.25" customHeight="1">
      <c r="D173" s="61"/>
      <c r="E173" s="62"/>
      <c r="F173" s="63"/>
      <c r="G173" s="64"/>
    </row>
    <row r="174" spans="4:7" ht="14.25" customHeight="1">
      <c r="D174" s="61"/>
      <c r="E174" s="62"/>
      <c r="F174" s="63"/>
      <c r="G174" s="64"/>
    </row>
    <row r="175" spans="4:7" ht="14.25" customHeight="1">
      <c r="D175" s="61"/>
      <c r="E175" s="62"/>
      <c r="F175" s="63"/>
      <c r="G175" s="64"/>
    </row>
    <row r="176" spans="4:7" ht="14.25" customHeight="1">
      <c r="D176" s="61"/>
      <c r="E176" s="62"/>
      <c r="F176" s="63"/>
      <c r="G176" s="64"/>
    </row>
    <row r="177" spans="4:7" ht="14.25" customHeight="1">
      <c r="D177" s="61"/>
      <c r="E177" s="62"/>
      <c r="F177" s="63"/>
      <c r="G177" s="64"/>
    </row>
    <row r="178" spans="4:7" ht="14.25" customHeight="1">
      <c r="D178" s="61"/>
      <c r="E178" s="62"/>
      <c r="F178" s="63"/>
      <c r="G178" s="64"/>
    </row>
    <row r="179" spans="4:7" ht="14.25" customHeight="1">
      <c r="D179" s="61"/>
      <c r="E179" s="62"/>
      <c r="F179" s="63"/>
      <c r="G179" s="64"/>
    </row>
    <row r="180" spans="4:7" ht="14.25" customHeight="1">
      <c r="D180" s="61"/>
      <c r="E180" s="62"/>
      <c r="F180" s="63"/>
      <c r="G180" s="64"/>
    </row>
    <row r="181" spans="4:7" ht="14.25" customHeight="1">
      <c r="D181" s="61"/>
      <c r="E181" s="62"/>
      <c r="F181" s="63"/>
      <c r="G181" s="64"/>
    </row>
    <row r="182" spans="4:7" ht="14.25" customHeight="1">
      <c r="D182" s="61"/>
      <c r="E182" s="62"/>
      <c r="F182" s="63"/>
      <c r="G182" s="64"/>
    </row>
    <row r="183" spans="4:7" ht="14.25" customHeight="1">
      <c r="D183" s="61"/>
      <c r="E183" s="62"/>
      <c r="F183" s="63"/>
      <c r="G183" s="64"/>
    </row>
    <row r="184" spans="4:7" ht="14.25" customHeight="1">
      <c r="D184" s="61"/>
      <c r="E184" s="62"/>
      <c r="F184" s="63"/>
      <c r="G184" s="64"/>
    </row>
    <row r="185" spans="4:7" ht="14.25" customHeight="1">
      <c r="D185" s="61"/>
      <c r="E185" s="62"/>
      <c r="F185" s="63"/>
      <c r="G185" s="64"/>
    </row>
    <row r="186" spans="4:7" ht="14.25" customHeight="1">
      <c r="D186" s="61"/>
      <c r="E186" s="62"/>
      <c r="F186" s="63"/>
      <c r="G186" s="64"/>
    </row>
    <row r="187" spans="4:7" ht="14.25" customHeight="1">
      <c r="D187" s="61"/>
      <c r="E187" s="62"/>
      <c r="F187" s="63"/>
      <c r="G187" s="64"/>
    </row>
    <row r="188" spans="4:7" ht="14.25" customHeight="1">
      <c r="D188" s="61"/>
      <c r="E188" s="62"/>
      <c r="F188" s="63"/>
      <c r="G188" s="64"/>
    </row>
    <row r="189" spans="4:7" ht="14.25" customHeight="1">
      <c r="D189" s="61"/>
      <c r="E189" s="62"/>
      <c r="F189" s="63"/>
      <c r="G189" s="64"/>
    </row>
    <row r="190" spans="4:7" ht="14.25" customHeight="1">
      <c r="D190" s="61"/>
      <c r="E190" s="62"/>
      <c r="F190" s="63"/>
      <c r="G190" s="64"/>
    </row>
    <row r="191" spans="4:7" ht="14.25" customHeight="1">
      <c r="D191" s="61"/>
      <c r="E191" s="62"/>
      <c r="F191" s="63"/>
      <c r="G191" s="64"/>
    </row>
    <row r="192" spans="4:7" ht="14.25" customHeight="1">
      <c r="D192" s="61"/>
      <c r="E192" s="62"/>
      <c r="F192" s="63"/>
      <c r="G192" s="64"/>
    </row>
    <row r="193" spans="4:7" ht="14.25" customHeight="1">
      <c r="D193" s="61"/>
      <c r="E193" s="62"/>
      <c r="F193" s="63"/>
      <c r="G193" s="64"/>
    </row>
    <row r="194" spans="4:7" ht="14.25" customHeight="1">
      <c r="D194" s="61"/>
      <c r="E194" s="62"/>
      <c r="F194" s="63"/>
      <c r="G194" s="64"/>
    </row>
    <row r="195" spans="4:7" ht="14.25" customHeight="1">
      <c r="D195" s="61"/>
      <c r="E195" s="62"/>
      <c r="F195" s="63"/>
      <c r="G195" s="64"/>
    </row>
    <row r="196" spans="4:7" ht="14.25" customHeight="1">
      <c r="D196" s="61"/>
      <c r="E196" s="62"/>
      <c r="F196" s="63"/>
      <c r="G196" s="64"/>
    </row>
    <row r="197" spans="4:7" ht="14.25" customHeight="1">
      <c r="D197" s="61"/>
      <c r="E197" s="62"/>
      <c r="F197" s="63"/>
      <c r="G197" s="64"/>
    </row>
    <row r="198" spans="4:7" ht="14.25" customHeight="1">
      <c r="D198" s="61"/>
      <c r="E198" s="62"/>
      <c r="F198" s="63"/>
      <c r="G198" s="64"/>
    </row>
    <row r="199" spans="4:7" ht="14.25" customHeight="1">
      <c r="D199" s="61"/>
      <c r="E199" s="62"/>
      <c r="F199" s="63"/>
      <c r="G199" s="64"/>
    </row>
    <row r="200" spans="4:7" ht="14.25" customHeight="1">
      <c r="D200" s="61"/>
      <c r="E200" s="62"/>
      <c r="F200" s="63"/>
      <c r="G200" s="64"/>
    </row>
    <row r="201" spans="4:7" ht="14.25" customHeight="1">
      <c r="D201" s="61"/>
      <c r="E201" s="62"/>
      <c r="F201" s="63"/>
      <c r="G201" s="64"/>
    </row>
    <row r="202" spans="4:7" ht="14.25" customHeight="1">
      <c r="D202" s="61"/>
      <c r="E202" s="62"/>
      <c r="F202" s="63"/>
      <c r="G202" s="64"/>
    </row>
    <row r="203" spans="4:7" ht="14.25" customHeight="1">
      <c r="D203" s="61"/>
      <c r="E203" s="62"/>
      <c r="F203" s="63"/>
      <c r="G203" s="64"/>
    </row>
    <row r="204" spans="4:7" ht="14.25" customHeight="1">
      <c r="D204" s="61"/>
      <c r="E204" s="62"/>
      <c r="F204" s="63"/>
      <c r="G204" s="64"/>
    </row>
    <row r="205" spans="4:7" ht="14.25" customHeight="1">
      <c r="D205" s="61"/>
      <c r="E205" s="62"/>
      <c r="F205" s="63"/>
      <c r="G205" s="64"/>
    </row>
    <row r="206" spans="4:7" ht="14.25" customHeight="1">
      <c r="D206" s="61"/>
      <c r="E206" s="62"/>
      <c r="F206" s="63"/>
      <c r="G206" s="64"/>
    </row>
    <row r="207" spans="4:7" ht="14.25" customHeight="1">
      <c r="D207" s="61"/>
      <c r="E207" s="62"/>
      <c r="F207" s="63"/>
      <c r="G207" s="64"/>
    </row>
    <row r="208" spans="4:7" ht="14.25" customHeight="1">
      <c r="D208" s="61"/>
      <c r="E208" s="62"/>
      <c r="F208" s="63"/>
      <c r="G208" s="64"/>
    </row>
    <row r="209" spans="4:7" ht="14.25" customHeight="1">
      <c r="D209" s="61"/>
      <c r="E209" s="62"/>
      <c r="F209" s="63"/>
      <c r="G209" s="64"/>
    </row>
    <row r="210" spans="4:7" ht="14.25" customHeight="1">
      <c r="D210" s="61"/>
      <c r="E210" s="62"/>
      <c r="F210" s="63"/>
      <c r="G210" s="64"/>
    </row>
    <row r="211" spans="4:7" ht="14.25" customHeight="1">
      <c r="D211" s="61"/>
      <c r="E211" s="62"/>
      <c r="F211" s="63"/>
      <c r="G211" s="64"/>
    </row>
    <row r="212" spans="4:7" ht="14.25" customHeight="1">
      <c r="D212" s="61"/>
      <c r="E212" s="62"/>
      <c r="F212" s="63"/>
      <c r="G212" s="64"/>
    </row>
    <row r="213" spans="4:7" ht="14.25" customHeight="1">
      <c r="D213" s="61"/>
      <c r="E213" s="62"/>
      <c r="F213" s="63"/>
      <c r="G213" s="64"/>
    </row>
    <row r="214" spans="4:7" ht="14.25" customHeight="1">
      <c r="D214" s="61"/>
      <c r="E214" s="62"/>
      <c r="F214" s="63"/>
      <c r="G214" s="64"/>
    </row>
    <row r="215" spans="4:7" ht="14.25" customHeight="1">
      <c r="D215" s="61"/>
      <c r="E215" s="62"/>
      <c r="F215" s="63"/>
      <c r="G215" s="64"/>
    </row>
    <row r="216" spans="4:7" ht="14.25" customHeight="1">
      <c r="D216" s="61"/>
      <c r="E216" s="62"/>
      <c r="F216" s="63"/>
      <c r="G216" s="64"/>
    </row>
    <row r="217" spans="4:7" ht="14.25" customHeight="1">
      <c r="D217" s="61"/>
      <c r="E217" s="62"/>
      <c r="F217" s="63"/>
      <c r="G217" s="64"/>
    </row>
    <row r="218" spans="4:7" ht="14.25" customHeight="1">
      <c r="D218" s="61"/>
      <c r="E218" s="62"/>
      <c r="F218" s="63"/>
      <c r="G218" s="64"/>
    </row>
    <row r="219" spans="4:7" ht="14.25" customHeight="1">
      <c r="D219" s="61"/>
      <c r="E219" s="62"/>
      <c r="F219" s="63"/>
      <c r="G219" s="64"/>
    </row>
    <row r="220" spans="4:7" ht="14.25" customHeight="1">
      <c r="D220" s="61"/>
      <c r="E220" s="62"/>
      <c r="F220" s="63"/>
      <c r="G220" s="64"/>
    </row>
    <row r="221" spans="4:7" ht="14.25" customHeight="1">
      <c r="D221" s="61"/>
      <c r="E221" s="62"/>
      <c r="F221" s="63"/>
      <c r="G221" s="64"/>
    </row>
    <row r="222" spans="4:7" ht="14.25" customHeight="1">
      <c r="D222" s="61"/>
      <c r="E222" s="62"/>
      <c r="F222" s="63"/>
      <c r="G222" s="64"/>
    </row>
    <row r="223" spans="4:7" ht="14.25" customHeight="1">
      <c r="D223" s="61"/>
      <c r="E223" s="62"/>
      <c r="F223" s="63"/>
      <c r="G223" s="64"/>
    </row>
    <row r="224" spans="4:7" ht="14.25" customHeight="1">
      <c r="D224" s="61"/>
      <c r="E224" s="62"/>
      <c r="F224" s="63"/>
      <c r="G224" s="64"/>
    </row>
    <row r="225" spans="4:7" ht="14.25" customHeight="1">
      <c r="D225" s="61"/>
      <c r="E225" s="62"/>
      <c r="F225" s="63"/>
      <c r="G225" s="64"/>
    </row>
    <row r="226" spans="4:7" ht="14.25" customHeight="1">
      <c r="D226" s="61"/>
      <c r="E226" s="62"/>
      <c r="F226" s="63"/>
      <c r="G226" s="64"/>
    </row>
    <row r="227" spans="4:7" ht="14.25" customHeight="1">
      <c r="D227" s="61"/>
      <c r="E227" s="62"/>
      <c r="F227" s="63"/>
      <c r="G227" s="64"/>
    </row>
    <row r="228" spans="4:7" ht="14.25" customHeight="1">
      <c r="D228" s="61"/>
      <c r="E228" s="62"/>
      <c r="F228" s="63"/>
      <c r="G228" s="64"/>
    </row>
    <row r="229" spans="4:7" ht="14.25" customHeight="1">
      <c r="D229" s="61"/>
      <c r="E229" s="62"/>
      <c r="F229" s="63"/>
      <c r="G229" s="64"/>
    </row>
    <row r="230" spans="4:7" ht="14.25" customHeight="1">
      <c r="D230" s="61"/>
      <c r="E230" s="62"/>
      <c r="F230" s="63"/>
      <c r="G230" s="64"/>
    </row>
    <row r="231" spans="4:7" ht="14.25" customHeight="1">
      <c r="D231" s="61"/>
      <c r="E231" s="62"/>
      <c r="F231" s="63"/>
      <c r="G231" s="64"/>
    </row>
    <row r="232" spans="4:7" ht="14.25" customHeight="1">
      <c r="D232" s="61"/>
      <c r="E232" s="62"/>
      <c r="F232" s="63"/>
      <c r="G232" s="64"/>
    </row>
    <row r="233" spans="4:7" ht="14.25" customHeight="1">
      <c r="D233" s="61"/>
      <c r="E233" s="62"/>
      <c r="F233" s="63"/>
      <c r="G233" s="64"/>
    </row>
    <row r="234" spans="4:7" ht="14.25" customHeight="1">
      <c r="D234" s="61"/>
      <c r="E234" s="62"/>
      <c r="F234" s="63"/>
      <c r="G234" s="64"/>
    </row>
    <row r="235" spans="4:7" ht="14.25" customHeight="1">
      <c r="D235" s="61"/>
      <c r="E235" s="62"/>
      <c r="F235" s="63"/>
      <c r="G235" s="64"/>
    </row>
    <row r="236" spans="4:7" ht="14.25" customHeight="1">
      <c r="D236" s="61"/>
      <c r="E236" s="62"/>
      <c r="F236" s="63"/>
      <c r="G236" s="64"/>
    </row>
    <row r="237" spans="4:7" ht="14.25" customHeight="1">
      <c r="D237" s="61"/>
      <c r="E237" s="62"/>
      <c r="F237" s="63"/>
      <c r="G237" s="64"/>
    </row>
    <row r="238" spans="4:7" ht="14.25" customHeight="1">
      <c r="D238" s="61"/>
      <c r="E238" s="62"/>
      <c r="F238" s="63"/>
      <c r="G238" s="64"/>
    </row>
    <row r="239" spans="4:7" ht="14.25" customHeight="1">
      <c r="D239" s="61"/>
      <c r="E239" s="62"/>
      <c r="F239" s="63"/>
      <c r="G239" s="64"/>
    </row>
    <row r="240" spans="4:7" ht="14.25" customHeight="1">
      <c r="D240" s="61"/>
      <c r="E240" s="62"/>
      <c r="F240" s="63"/>
      <c r="G240" s="64"/>
    </row>
    <row r="241" spans="4:7" ht="14.25" customHeight="1">
      <c r="D241" s="61"/>
      <c r="E241" s="62"/>
      <c r="F241" s="63"/>
      <c r="G241" s="64"/>
    </row>
    <row r="242" spans="4:7" ht="14.25" customHeight="1">
      <c r="D242" s="61"/>
      <c r="E242" s="62"/>
      <c r="F242" s="63"/>
      <c r="G242" s="64"/>
    </row>
    <row r="243" spans="4:7" ht="14.25" customHeight="1">
      <c r="D243" s="61"/>
      <c r="E243" s="62"/>
      <c r="F243" s="63"/>
      <c r="G243" s="64"/>
    </row>
    <row r="244" spans="4:7" ht="14.25" customHeight="1">
      <c r="D244" s="61"/>
      <c r="E244" s="62"/>
      <c r="F244" s="63"/>
      <c r="G244" s="64"/>
    </row>
    <row r="245" spans="4:7" ht="14.25" customHeight="1">
      <c r="D245" s="61"/>
      <c r="E245" s="62"/>
      <c r="F245" s="63"/>
      <c r="G245" s="64"/>
    </row>
    <row r="246" spans="4:7" ht="14.25" customHeight="1">
      <c r="D246" s="61"/>
      <c r="E246" s="62"/>
      <c r="F246" s="63"/>
      <c r="G246" s="64"/>
    </row>
    <row r="247" spans="4:7" ht="14.25" customHeight="1">
      <c r="D247" s="61"/>
      <c r="E247" s="62"/>
      <c r="F247" s="63"/>
      <c r="G247" s="64"/>
    </row>
    <row r="248" spans="4:7" ht="14.25" customHeight="1">
      <c r="D248" s="61"/>
      <c r="E248" s="62"/>
      <c r="F248" s="63"/>
      <c r="G248" s="64"/>
    </row>
    <row r="249" spans="4:7" ht="14.25" customHeight="1">
      <c r="D249" s="61"/>
      <c r="E249" s="62"/>
      <c r="F249" s="63"/>
      <c r="G249" s="64"/>
    </row>
    <row r="250" spans="4:7" ht="14.25" customHeight="1">
      <c r="D250" s="61"/>
      <c r="E250" s="62"/>
      <c r="F250" s="63"/>
      <c r="G250" s="64"/>
    </row>
    <row r="251" spans="4:7" ht="14.25" customHeight="1">
      <c r="D251" s="61"/>
      <c r="E251" s="62"/>
      <c r="F251" s="63"/>
      <c r="G251" s="64"/>
    </row>
    <row r="252" spans="4:7" ht="14.25" customHeight="1">
      <c r="D252" s="61"/>
      <c r="E252" s="62"/>
      <c r="F252" s="63"/>
      <c r="G252" s="64"/>
    </row>
    <row r="253" spans="4:7" ht="14.25" customHeight="1">
      <c r="D253" s="61"/>
      <c r="E253" s="62"/>
      <c r="F253" s="63"/>
      <c r="G253" s="64"/>
    </row>
    <row r="254" spans="4:7" ht="14.25" customHeight="1">
      <c r="D254" s="61"/>
      <c r="E254" s="62"/>
      <c r="F254" s="63"/>
      <c r="G254" s="64"/>
    </row>
    <row r="255" spans="4:7" ht="14.25" customHeight="1">
      <c r="D255" s="61"/>
      <c r="E255" s="62"/>
      <c r="F255" s="63"/>
      <c r="G255" s="64"/>
    </row>
    <row r="256" spans="4:7" ht="14.25" customHeight="1">
      <c r="D256" s="61"/>
      <c r="E256" s="62"/>
      <c r="F256" s="63"/>
      <c r="G256" s="64"/>
    </row>
    <row r="257" spans="4:7" ht="14.25" customHeight="1">
      <c r="D257" s="61"/>
      <c r="E257" s="62"/>
      <c r="F257" s="63"/>
      <c r="G257" s="64"/>
    </row>
    <row r="258" spans="4:7" ht="14.25" customHeight="1">
      <c r="D258" s="61"/>
      <c r="E258" s="62"/>
      <c r="F258" s="63"/>
      <c r="G258" s="64"/>
    </row>
    <row r="259" spans="4:7" ht="14.25" customHeight="1">
      <c r="D259" s="61"/>
      <c r="E259" s="62"/>
      <c r="F259" s="63"/>
      <c r="G259" s="64"/>
    </row>
    <row r="260" spans="4:7" ht="14.25" customHeight="1">
      <c r="D260" s="61"/>
      <c r="E260" s="62"/>
      <c r="F260" s="63"/>
      <c r="G260" s="64"/>
    </row>
    <row r="261" spans="4:7" ht="14.25" customHeight="1">
      <c r="D261" s="61"/>
      <c r="E261" s="62"/>
      <c r="F261" s="63"/>
      <c r="G261" s="64"/>
    </row>
    <row r="262" spans="4:7" ht="14.25" customHeight="1">
      <c r="D262" s="61"/>
      <c r="E262" s="62"/>
      <c r="F262" s="63"/>
      <c r="G262" s="64"/>
    </row>
    <row r="263" spans="4:7" ht="14.25" customHeight="1">
      <c r="D263" s="61"/>
      <c r="E263" s="62"/>
      <c r="F263" s="63"/>
      <c r="G263" s="64"/>
    </row>
    <row r="264" spans="4:7" ht="14.25" customHeight="1">
      <c r="D264" s="61"/>
      <c r="E264" s="62"/>
      <c r="F264" s="63"/>
      <c r="G264" s="64"/>
    </row>
    <row r="265" spans="4:7" ht="14.25" customHeight="1">
      <c r="D265" s="61"/>
      <c r="E265" s="62"/>
      <c r="F265" s="63"/>
      <c r="G265" s="64"/>
    </row>
    <row r="266" spans="4:7" ht="14.25" customHeight="1">
      <c r="D266" s="61"/>
      <c r="E266" s="62"/>
      <c r="F266" s="63"/>
      <c r="G266" s="64"/>
    </row>
    <row r="267" spans="4:7" ht="14.25" customHeight="1">
      <c r="D267" s="61"/>
      <c r="E267" s="62"/>
      <c r="F267" s="63"/>
      <c r="G267" s="64"/>
    </row>
    <row r="268" spans="4:7" ht="14.25" customHeight="1">
      <c r="D268" s="61"/>
      <c r="E268" s="62"/>
      <c r="F268" s="63"/>
      <c r="G268" s="64"/>
    </row>
    <row r="269" spans="4:7" ht="14.25" customHeight="1">
      <c r="D269" s="61"/>
      <c r="E269" s="62"/>
      <c r="F269" s="63"/>
      <c r="G269" s="64"/>
    </row>
    <row r="270" spans="4:7" ht="14.25" customHeight="1">
      <c r="D270" s="61"/>
      <c r="E270" s="62"/>
      <c r="F270" s="63"/>
      <c r="G270" s="64"/>
    </row>
    <row r="271" spans="4:7" ht="14.25" customHeight="1">
      <c r="D271" s="61"/>
      <c r="E271" s="62"/>
      <c r="F271" s="63"/>
      <c r="G271" s="64"/>
    </row>
    <row r="272" spans="4:7" ht="14.25" customHeight="1">
      <c r="D272" s="61"/>
      <c r="E272" s="62"/>
      <c r="F272" s="63"/>
      <c r="G272" s="64"/>
    </row>
    <row r="273" spans="4:7" ht="14.25" customHeight="1">
      <c r="D273" s="61"/>
      <c r="E273" s="62"/>
      <c r="F273" s="63"/>
      <c r="G273" s="64"/>
    </row>
    <row r="274" spans="4:7" ht="14.25" customHeight="1">
      <c r="D274" s="61"/>
      <c r="E274" s="62"/>
      <c r="F274" s="63"/>
      <c r="G274" s="64"/>
    </row>
    <row r="275" spans="4:7" ht="14.25" customHeight="1">
      <c r="D275" s="61"/>
      <c r="E275" s="62"/>
      <c r="F275" s="63"/>
      <c r="G275" s="64"/>
    </row>
    <row r="276" spans="4:7" ht="14.25" customHeight="1">
      <c r="D276" s="61"/>
      <c r="E276" s="62"/>
      <c r="F276" s="63"/>
      <c r="G276" s="64"/>
    </row>
    <row r="277" spans="4:7" ht="14.25" customHeight="1">
      <c r="D277" s="61"/>
      <c r="E277" s="62"/>
      <c r="F277" s="63"/>
      <c r="G277" s="64"/>
    </row>
    <row r="278" spans="4:7" ht="14.25" customHeight="1">
      <c r="D278" s="61"/>
      <c r="E278" s="62"/>
      <c r="F278" s="63"/>
      <c r="G278" s="64"/>
    </row>
    <row r="279" spans="4:7" ht="14.25" customHeight="1">
      <c r="D279" s="61"/>
      <c r="E279" s="62"/>
      <c r="F279" s="63"/>
      <c r="G279" s="64"/>
    </row>
    <row r="280" spans="4:7" ht="14.25" customHeight="1">
      <c r="D280" s="61"/>
      <c r="E280" s="62"/>
      <c r="F280" s="63"/>
      <c r="G280" s="64"/>
    </row>
    <row r="281" spans="4:7" ht="14.25" customHeight="1">
      <c r="D281" s="61"/>
      <c r="E281" s="62"/>
      <c r="F281" s="63"/>
      <c r="G281" s="64"/>
    </row>
    <row r="282" spans="4:7" ht="14.25" customHeight="1">
      <c r="D282" s="61"/>
      <c r="E282" s="62"/>
      <c r="F282" s="63"/>
      <c r="G282" s="64"/>
    </row>
    <row r="283" spans="4:7" ht="14.25" customHeight="1">
      <c r="D283" s="61"/>
      <c r="E283" s="62"/>
      <c r="F283" s="63"/>
      <c r="G283" s="64"/>
    </row>
    <row r="284" spans="4:7" ht="14.25" customHeight="1">
      <c r="D284" s="61"/>
      <c r="E284" s="62"/>
      <c r="F284" s="63"/>
      <c r="G284" s="64"/>
    </row>
    <row r="285" spans="4:7" ht="14.25" customHeight="1">
      <c r="D285" s="61"/>
      <c r="E285" s="62"/>
      <c r="F285" s="63"/>
      <c r="G285" s="64"/>
    </row>
    <row r="286" spans="4:7" ht="14.25" customHeight="1">
      <c r="D286" s="61"/>
      <c r="E286" s="62"/>
      <c r="F286" s="63"/>
      <c r="G286" s="64"/>
    </row>
    <row r="287" spans="4:7" ht="14.25" customHeight="1">
      <c r="D287" s="61"/>
      <c r="E287" s="62"/>
      <c r="F287" s="63"/>
      <c r="G287" s="64"/>
    </row>
    <row r="288" spans="4:7" ht="14.25" customHeight="1">
      <c r="D288" s="61"/>
      <c r="E288" s="62"/>
      <c r="F288" s="63"/>
      <c r="G288" s="64"/>
    </row>
    <row r="289" spans="4:7" ht="14.25" customHeight="1">
      <c r="D289" s="61"/>
      <c r="E289" s="62"/>
      <c r="F289" s="63"/>
      <c r="G289" s="64"/>
    </row>
    <row r="290" spans="4:7" ht="14.25" customHeight="1">
      <c r="D290" s="61"/>
      <c r="E290" s="62"/>
      <c r="F290" s="63"/>
      <c r="G290" s="64"/>
    </row>
    <row r="291" spans="4:7" ht="14.25" customHeight="1">
      <c r="D291" s="61"/>
      <c r="E291" s="62"/>
      <c r="F291" s="63"/>
      <c r="G291" s="64"/>
    </row>
    <row r="292" spans="4:7" ht="14.25" customHeight="1">
      <c r="D292" s="61"/>
      <c r="E292" s="62"/>
      <c r="F292" s="63"/>
      <c r="G292" s="64"/>
    </row>
    <row r="293" spans="4:7" ht="14.25" customHeight="1">
      <c r="D293" s="61"/>
      <c r="E293" s="62"/>
      <c r="F293" s="63"/>
      <c r="G293" s="64"/>
    </row>
    <row r="294" spans="4:7" ht="14.25" customHeight="1">
      <c r="D294" s="61"/>
      <c r="E294" s="62"/>
      <c r="F294" s="63"/>
      <c r="G294" s="64"/>
    </row>
    <row r="295" spans="4:7" ht="14.25" customHeight="1">
      <c r="D295" s="61"/>
      <c r="E295" s="62"/>
      <c r="F295" s="63"/>
      <c r="G295" s="64"/>
    </row>
    <row r="296" spans="4:7" ht="14.25" customHeight="1">
      <c r="D296" s="61"/>
      <c r="E296" s="62"/>
      <c r="F296" s="63"/>
      <c r="G296" s="64"/>
    </row>
    <row r="297" spans="4:7" ht="14.25" customHeight="1">
      <c r="D297" s="61"/>
      <c r="E297" s="62"/>
      <c r="F297" s="63"/>
      <c r="G297" s="64"/>
    </row>
    <row r="298" spans="4:7" ht="14.25" customHeight="1">
      <c r="D298" s="61"/>
      <c r="E298" s="62"/>
      <c r="F298" s="63"/>
      <c r="G298" s="64"/>
    </row>
    <row r="299" spans="4:7" ht="14.25" customHeight="1">
      <c r="D299" s="61"/>
      <c r="E299" s="62"/>
      <c r="F299" s="63"/>
      <c r="G299" s="64"/>
    </row>
    <row r="300" spans="4:7" ht="14.25" customHeight="1">
      <c r="D300" s="61"/>
      <c r="E300" s="62"/>
      <c r="F300" s="63"/>
      <c r="G300" s="64"/>
    </row>
    <row r="301" spans="4:7" ht="14.25" customHeight="1">
      <c r="D301" s="61"/>
      <c r="E301" s="62"/>
      <c r="F301" s="63"/>
      <c r="G301" s="64"/>
    </row>
    <row r="302" spans="4:7" ht="14.25" customHeight="1">
      <c r="D302" s="61"/>
      <c r="E302" s="62"/>
      <c r="F302" s="63"/>
      <c r="G302" s="64"/>
    </row>
    <row r="303" spans="4:7" ht="14.25" customHeight="1">
      <c r="D303" s="61"/>
      <c r="E303" s="62"/>
      <c r="F303" s="63"/>
      <c r="G303" s="64"/>
    </row>
    <row r="304" spans="4:7" ht="14.25" customHeight="1">
      <c r="D304" s="61"/>
      <c r="E304" s="62"/>
      <c r="F304" s="63"/>
      <c r="G304" s="64"/>
    </row>
    <row r="305" spans="4:7" ht="14.25" customHeight="1">
      <c r="D305" s="61"/>
      <c r="E305" s="62"/>
      <c r="F305" s="63"/>
      <c r="G305" s="64"/>
    </row>
    <row r="306" spans="4:7" ht="14.25" customHeight="1">
      <c r="D306" s="61"/>
      <c r="E306" s="62"/>
      <c r="F306" s="63"/>
      <c r="G306" s="64"/>
    </row>
    <row r="307" spans="4:7" ht="14.25" customHeight="1">
      <c r="D307" s="61"/>
      <c r="E307" s="62"/>
      <c r="F307" s="63"/>
      <c r="G307" s="64"/>
    </row>
    <row r="308" spans="4:7" ht="14.25" customHeight="1">
      <c r="D308" s="61"/>
      <c r="E308" s="62"/>
      <c r="F308" s="63"/>
      <c r="G308" s="64"/>
    </row>
    <row r="309" spans="4:7" ht="14.25" customHeight="1">
      <c r="D309" s="61"/>
      <c r="E309" s="62"/>
      <c r="F309" s="63"/>
      <c r="G309" s="64"/>
    </row>
    <row r="310" spans="4:7" ht="14.25" customHeight="1">
      <c r="D310" s="61"/>
      <c r="E310" s="62"/>
      <c r="F310" s="63"/>
      <c r="G310" s="64"/>
    </row>
    <row r="311" spans="4:7" ht="14.25" customHeight="1">
      <c r="D311" s="61"/>
      <c r="E311" s="62"/>
      <c r="F311" s="63"/>
      <c r="G311" s="64"/>
    </row>
    <row r="312" spans="4:7" ht="14.25" customHeight="1">
      <c r="D312" s="61"/>
      <c r="E312" s="62"/>
      <c r="F312" s="63"/>
      <c r="G312" s="64"/>
    </row>
    <row r="313" spans="4:7" ht="14.25" customHeight="1">
      <c r="D313" s="61"/>
      <c r="E313" s="62"/>
      <c r="F313" s="63"/>
      <c r="G313" s="64"/>
    </row>
    <row r="314" spans="4:7" ht="14.25" customHeight="1">
      <c r="D314" s="61"/>
      <c r="E314" s="62"/>
      <c r="F314" s="63"/>
      <c r="G314" s="64"/>
    </row>
    <row r="315" spans="4:7" ht="14.25" customHeight="1">
      <c r="D315" s="61"/>
      <c r="E315" s="62"/>
      <c r="F315" s="63"/>
      <c r="G315" s="64"/>
    </row>
    <row r="316" spans="4:7" ht="14.25" customHeight="1">
      <c r="D316" s="61"/>
      <c r="E316" s="62"/>
      <c r="F316" s="63"/>
      <c r="G316" s="64"/>
    </row>
    <row r="317" spans="4:7" ht="14.25" customHeight="1">
      <c r="D317" s="61"/>
      <c r="E317" s="62"/>
      <c r="F317" s="63"/>
      <c r="G317" s="64"/>
    </row>
    <row r="318" spans="4:7" ht="14.25" customHeight="1">
      <c r="D318" s="61"/>
      <c r="E318" s="62"/>
      <c r="F318" s="63"/>
      <c r="G318" s="64"/>
    </row>
    <row r="319" spans="4:7" ht="14.25" customHeight="1">
      <c r="D319" s="61"/>
      <c r="E319" s="62"/>
      <c r="F319" s="63"/>
      <c r="G319" s="64"/>
    </row>
    <row r="320" spans="4:7" ht="14.25" customHeight="1">
      <c r="D320" s="61"/>
      <c r="E320" s="62"/>
      <c r="F320" s="63"/>
      <c r="G320" s="64"/>
    </row>
    <row r="321" spans="4:7" ht="14.25" customHeight="1">
      <c r="D321" s="61"/>
      <c r="E321" s="62"/>
      <c r="F321" s="63"/>
      <c r="G321" s="64"/>
    </row>
    <row r="322" spans="4:7" ht="14.25" customHeight="1">
      <c r="D322" s="61"/>
      <c r="E322" s="62"/>
      <c r="F322" s="63"/>
      <c r="G322" s="64"/>
    </row>
    <row r="323" spans="4:7" ht="14.25" customHeight="1">
      <c r="D323" s="61"/>
      <c r="E323" s="62"/>
      <c r="F323" s="63"/>
      <c r="G323" s="64"/>
    </row>
    <row r="324" spans="4:7" ht="14.25" customHeight="1">
      <c r="D324" s="61"/>
      <c r="E324" s="62"/>
      <c r="F324" s="63"/>
      <c r="G324" s="64"/>
    </row>
    <row r="325" spans="4:7" ht="14.25" customHeight="1">
      <c r="D325" s="61"/>
      <c r="E325" s="62"/>
      <c r="F325" s="63"/>
      <c r="G325" s="64"/>
    </row>
    <row r="326" spans="4:7" ht="14.25" customHeight="1">
      <c r="D326" s="61"/>
      <c r="E326" s="62"/>
      <c r="F326" s="63"/>
      <c r="G326" s="64"/>
    </row>
    <row r="327" spans="4:7" ht="14.25" customHeight="1">
      <c r="D327" s="61"/>
      <c r="E327" s="62"/>
      <c r="F327" s="63"/>
      <c r="G327" s="64"/>
    </row>
    <row r="328" spans="4:7" ht="14.25" customHeight="1">
      <c r="D328" s="61"/>
      <c r="E328" s="62"/>
      <c r="F328" s="63"/>
      <c r="G328" s="64"/>
    </row>
    <row r="329" spans="4:7" ht="14.25" customHeight="1">
      <c r="D329" s="61"/>
      <c r="E329" s="62"/>
      <c r="F329" s="63"/>
      <c r="G329" s="64"/>
    </row>
    <row r="330" spans="4:7" ht="14.25" customHeight="1">
      <c r="D330" s="61"/>
      <c r="E330" s="62"/>
      <c r="F330" s="63"/>
      <c r="G330" s="64"/>
    </row>
    <row r="331" spans="4:7" ht="14.25" customHeight="1">
      <c r="D331" s="61"/>
      <c r="E331" s="62"/>
      <c r="F331" s="63"/>
      <c r="G331" s="64"/>
    </row>
    <row r="332" spans="4:7" ht="14.25" customHeight="1">
      <c r="D332" s="61"/>
      <c r="E332" s="62"/>
      <c r="F332" s="63"/>
      <c r="G332" s="64"/>
    </row>
    <row r="333" spans="4:7" ht="14.25" customHeight="1">
      <c r="D333" s="61"/>
      <c r="E333" s="62"/>
      <c r="F333" s="63"/>
      <c r="G333" s="64"/>
    </row>
    <row r="334" spans="4:7" ht="14.25" customHeight="1">
      <c r="D334" s="61"/>
      <c r="E334" s="62"/>
      <c r="F334" s="63"/>
      <c r="G334" s="64"/>
    </row>
    <row r="335" spans="4:7" ht="14.25" customHeight="1">
      <c r="D335" s="61"/>
      <c r="E335" s="62"/>
      <c r="F335" s="63"/>
      <c r="G335" s="64"/>
    </row>
    <row r="336" spans="4:7" ht="14.25" customHeight="1">
      <c r="D336" s="61"/>
      <c r="E336" s="62"/>
      <c r="F336" s="63"/>
      <c r="G336" s="64"/>
    </row>
    <row r="337" spans="4:7" ht="14.25" customHeight="1">
      <c r="D337" s="61"/>
      <c r="E337" s="62"/>
      <c r="F337" s="63"/>
      <c r="G337" s="64"/>
    </row>
    <row r="338" spans="4:7" ht="14.25" customHeight="1">
      <c r="D338" s="61"/>
      <c r="E338" s="62"/>
      <c r="F338" s="63"/>
      <c r="G338" s="64"/>
    </row>
    <row r="339" spans="4:7" ht="14.25" customHeight="1">
      <c r="D339" s="61"/>
      <c r="E339" s="62"/>
      <c r="F339" s="63"/>
      <c r="G339" s="64"/>
    </row>
    <row r="340" spans="4:7" ht="14.25" customHeight="1">
      <c r="D340" s="61"/>
      <c r="E340" s="62"/>
      <c r="F340" s="63"/>
      <c r="G340" s="64"/>
    </row>
    <row r="341" spans="4:7" ht="14.25" customHeight="1">
      <c r="D341" s="61"/>
      <c r="E341" s="62"/>
      <c r="F341" s="63"/>
      <c r="G341" s="64"/>
    </row>
    <row r="342" spans="4:7" ht="14.25" customHeight="1">
      <c r="D342" s="61"/>
      <c r="E342" s="62"/>
      <c r="F342" s="63"/>
      <c r="G342" s="64"/>
    </row>
    <row r="343" spans="4:7" ht="14.25" customHeight="1">
      <c r="D343" s="61"/>
      <c r="E343" s="62"/>
      <c r="F343" s="63"/>
      <c r="G343" s="64"/>
    </row>
    <row r="344" spans="4:7" ht="14.25" customHeight="1">
      <c r="D344" s="61"/>
      <c r="E344" s="62"/>
      <c r="F344" s="63"/>
      <c r="G344" s="64"/>
    </row>
    <row r="345" spans="4:7" ht="14.25" customHeight="1">
      <c r="D345" s="61"/>
      <c r="E345" s="62"/>
      <c r="F345" s="63"/>
      <c r="G345" s="64"/>
    </row>
    <row r="346" spans="4:7" ht="14.25" customHeight="1">
      <c r="D346" s="61"/>
      <c r="E346" s="62"/>
      <c r="F346" s="63"/>
      <c r="G346" s="64"/>
    </row>
    <row r="347" spans="4:7" ht="14.25" customHeight="1">
      <c r="D347" s="61"/>
      <c r="E347" s="62"/>
      <c r="F347" s="63"/>
      <c r="G347" s="64"/>
    </row>
    <row r="348" spans="4:7" ht="14.25" customHeight="1">
      <c r="D348" s="61"/>
      <c r="E348" s="62"/>
      <c r="F348" s="63"/>
      <c r="G348" s="64"/>
    </row>
    <row r="349" spans="4:7" ht="14.25" customHeight="1">
      <c r="D349" s="61"/>
      <c r="E349" s="62"/>
      <c r="F349" s="63"/>
      <c r="G349" s="64"/>
    </row>
    <row r="350" spans="4:7" ht="14.25" customHeight="1">
      <c r="D350" s="61"/>
      <c r="E350" s="62"/>
      <c r="F350" s="63"/>
      <c r="G350" s="64"/>
    </row>
    <row r="351" spans="4:7" ht="14.25" customHeight="1">
      <c r="D351" s="61"/>
      <c r="E351" s="62"/>
      <c r="F351" s="63"/>
      <c r="G351" s="64"/>
    </row>
    <row r="352" spans="4:7" ht="14.25" customHeight="1">
      <c r="D352" s="61"/>
      <c r="E352" s="62"/>
      <c r="F352" s="63"/>
      <c r="G352" s="64"/>
    </row>
    <row r="353" spans="4:7" ht="14.25" customHeight="1">
      <c r="D353" s="61"/>
      <c r="E353" s="62"/>
      <c r="F353" s="63"/>
      <c r="G353" s="64"/>
    </row>
    <row r="354" spans="4:7" ht="14.25" customHeight="1">
      <c r="D354" s="61"/>
      <c r="E354" s="62"/>
      <c r="F354" s="63"/>
      <c r="G354" s="64"/>
    </row>
    <row r="355" spans="4:7" ht="14.25" customHeight="1">
      <c r="D355" s="61"/>
      <c r="E355" s="62"/>
      <c r="F355" s="63"/>
      <c r="G355" s="64"/>
    </row>
    <row r="356" spans="4:7" ht="14.25" customHeight="1">
      <c r="D356" s="61"/>
      <c r="E356" s="62"/>
      <c r="F356" s="63"/>
      <c r="G356" s="64"/>
    </row>
    <row r="357" spans="4:7" ht="14.25" customHeight="1">
      <c r="D357" s="61"/>
      <c r="E357" s="62"/>
      <c r="F357" s="63"/>
      <c r="G357" s="64"/>
    </row>
    <row r="358" spans="4:7" ht="14.25" customHeight="1">
      <c r="D358" s="61"/>
      <c r="E358" s="62"/>
      <c r="F358" s="63"/>
      <c r="G358" s="64"/>
    </row>
    <row r="359" spans="4:7" ht="14.25" customHeight="1">
      <c r="D359" s="61"/>
      <c r="E359" s="62"/>
      <c r="F359" s="63"/>
      <c r="G359" s="64"/>
    </row>
    <row r="360" spans="4:7" ht="14.25" customHeight="1">
      <c r="D360" s="61"/>
      <c r="E360" s="62"/>
      <c r="F360" s="63"/>
      <c r="G360" s="64"/>
    </row>
    <row r="361" spans="4:7" ht="14.25" customHeight="1">
      <c r="D361" s="61"/>
      <c r="E361" s="62"/>
      <c r="F361" s="63"/>
      <c r="G361" s="64"/>
    </row>
    <row r="362" spans="4:7" ht="14.25" customHeight="1">
      <c r="D362" s="61"/>
      <c r="E362" s="62"/>
      <c r="F362" s="63"/>
      <c r="G362" s="64"/>
    </row>
    <row r="363" spans="4:7" ht="14.25" customHeight="1">
      <c r="D363" s="61"/>
      <c r="E363" s="62"/>
      <c r="F363" s="63"/>
      <c r="G363" s="64"/>
    </row>
    <row r="364" spans="4:7" ht="14.25" customHeight="1">
      <c r="D364" s="61"/>
      <c r="E364" s="62"/>
      <c r="F364" s="63"/>
      <c r="G364" s="64"/>
    </row>
    <row r="365" spans="4:7" ht="14.25" customHeight="1">
      <c r="D365" s="61"/>
      <c r="E365" s="62"/>
      <c r="F365" s="63"/>
      <c r="G365" s="64"/>
    </row>
    <row r="366" spans="4:7" ht="14.25" customHeight="1">
      <c r="D366" s="61"/>
      <c r="E366" s="62"/>
      <c r="F366" s="63"/>
      <c r="G366" s="64"/>
    </row>
    <row r="367" spans="4:7" ht="14.25" customHeight="1">
      <c r="D367" s="61"/>
      <c r="E367" s="62"/>
      <c r="F367" s="63"/>
      <c r="G367" s="64"/>
    </row>
    <row r="368" spans="4:7" ht="14.25" customHeight="1">
      <c r="D368" s="61"/>
      <c r="E368" s="62"/>
      <c r="F368" s="63"/>
      <c r="G368" s="64"/>
    </row>
    <row r="369" spans="4:7" ht="14.25" customHeight="1">
      <c r="D369" s="61"/>
      <c r="E369" s="62"/>
      <c r="F369" s="63"/>
      <c r="G369" s="64"/>
    </row>
    <row r="370" spans="4:7" ht="14.25" customHeight="1">
      <c r="D370" s="61"/>
      <c r="E370" s="62"/>
      <c r="F370" s="63"/>
      <c r="G370" s="64"/>
    </row>
    <row r="371" spans="4:7" ht="14.25" customHeight="1">
      <c r="D371" s="61"/>
      <c r="E371" s="62"/>
      <c r="F371" s="63"/>
      <c r="G371" s="64"/>
    </row>
    <row r="372" spans="4:7" ht="14.25" customHeight="1">
      <c r="D372" s="61"/>
      <c r="E372" s="62"/>
      <c r="F372" s="63"/>
      <c r="G372" s="64"/>
    </row>
    <row r="373" spans="4:7" ht="14.25" customHeight="1">
      <c r="D373" s="61"/>
      <c r="E373" s="62"/>
      <c r="F373" s="63"/>
      <c r="G373" s="64"/>
    </row>
    <row r="374" spans="4:7" ht="14.25" customHeight="1">
      <c r="D374" s="61"/>
      <c r="E374" s="62"/>
      <c r="F374" s="63"/>
      <c r="G374" s="64"/>
    </row>
    <row r="375" spans="4:7" ht="14.25" customHeight="1">
      <c r="D375" s="61"/>
      <c r="E375" s="62"/>
      <c r="F375" s="63"/>
      <c r="G375" s="64"/>
    </row>
    <row r="376" spans="4:7" ht="14.25" customHeight="1">
      <c r="D376" s="61"/>
      <c r="E376" s="62"/>
      <c r="F376" s="63"/>
      <c r="G376" s="64"/>
    </row>
    <row r="377" spans="4:7" ht="14.25" customHeight="1">
      <c r="D377" s="61"/>
      <c r="E377" s="62"/>
      <c r="F377" s="63"/>
      <c r="G377" s="64"/>
    </row>
    <row r="378" spans="4:7" ht="14.25" customHeight="1">
      <c r="D378" s="61"/>
      <c r="E378" s="62"/>
      <c r="F378" s="63"/>
      <c r="G378" s="64"/>
    </row>
    <row r="379" spans="4:7" ht="14.25" customHeight="1">
      <c r="D379" s="61"/>
      <c r="E379" s="62"/>
      <c r="F379" s="63"/>
      <c r="G379" s="64"/>
    </row>
    <row r="380" spans="4:7" ht="14.25" customHeight="1">
      <c r="D380" s="61"/>
      <c r="E380" s="62"/>
      <c r="F380" s="63"/>
      <c r="G380" s="64"/>
    </row>
    <row r="381" spans="4:7" ht="14.25" customHeight="1">
      <c r="D381" s="61"/>
      <c r="E381" s="62"/>
      <c r="F381" s="63"/>
      <c r="G381" s="64"/>
    </row>
    <row r="382" spans="4:7" ht="14.25" customHeight="1">
      <c r="D382" s="61"/>
      <c r="E382" s="62"/>
      <c r="F382" s="63"/>
      <c r="G382" s="64"/>
    </row>
    <row r="383" spans="4:7" ht="14.25" customHeight="1">
      <c r="D383" s="61"/>
      <c r="E383" s="62"/>
      <c r="F383" s="63"/>
      <c r="G383" s="64"/>
    </row>
    <row r="384" spans="4:7" ht="14.25" customHeight="1">
      <c r="D384" s="61"/>
      <c r="E384" s="62"/>
      <c r="F384" s="63"/>
      <c r="G384" s="64"/>
    </row>
    <row r="385" spans="4:7" ht="14.25" customHeight="1">
      <c r="D385" s="61"/>
      <c r="E385" s="62"/>
      <c r="F385" s="63"/>
      <c r="G385" s="64"/>
    </row>
    <row r="386" spans="4:7" ht="14.25" customHeight="1">
      <c r="D386" s="61"/>
      <c r="E386" s="62"/>
      <c r="F386" s="63"/>
      <c r="G386" s="64"/>
    </row>
    <row r="387" spans="4:7" ht="14.25" customHeight="1">
      <c r="D387" s="61"/>
      <c r="E387" s="62"/>
      <c r="F387" s="63"/>
      <c r="G387" s="64"/>
    </row>
    <row r="388" spans="4:7" ht="14.25" customHeight="1">
      <c r="D388" s="61"/>
      <c r="E388" s="62"/>
      <c r="F388" s="63"/>
      <c r="G388" s="64"/>
    </row>
    <row r="389" spans="4:7" ht="14.25" customHeight="1">
      <c r="D389" s="61"/>
      <c r="E389" s="62"/>
      <c r="F389" s="63"/>
      <c r="G389" s="64"/>
    </row>
    <row r="390" spans="4:7" ht="14.25" customHeight="1">
      <c r="D390" s="61"/>
      <c r="E390" s="62"/>
      <c r="F390" s="63"/>
      <c r="G390" s="64"/>
    </row>
    <row r="391" spans="4:7" ht="14.25" customHeight="1">
      <c r="D391" s="61"/>
      <c r="E391" s="62"/>
      <c r="F391" s="63"/>
      <c r="G391" s="64"/>
    </row>
    <row r="392" spans="4:7" ht="14.25" customHeight="1">
      <c r="D392" s="61"/>
      <c r="E392" s="62"/>
      <c r="F392" s="63"/>
      <c r="G392" s="64"/>
    </row>
    <row r="393" spans="4:7" ht="14.25" customHeight="1">
      <c r="D393" s="61"/>
      <c r="E393" s="62"/>
      <c r="F393" s="63"/>
      <c r="G393" s="64"/>
    </row>
    <row r="394" spans="4:7" ht="14.25" customHeight="1">
      <c r="D394" s="61"/>
      <c r="E394" s="62"/>
      <c r="F394" s="63"/>
      <c r="G394" s="64"/>
    </row>
    <row r="395" spans="4:7" ht="14.25" customHeight="1">
      <c r="D395" s="61"/>
      <c r="E395" s="62"/>
      <c r="F395" s="63"/>
      <c r="G395" s="64"/>
    </row>
    <row r="396" spans="4:7" ht="14.25" customHeight="1">
      <c r="D396" s="61"/>
      <c r="E396" s="62"/>
      <c r="F396" s="63"/>
      <c r="G396" s="64"/>
    </row>
    <row r="397" spans="4:7" ht="14.25" customHeight="1">
      <c r="D397" s="61"/>
      <c r="E397" s="62"/>
      <c r="F397" s="63"/>
      <c r="G397" s="64"/>
    </row>
    <row r="398" spans="4:7" ht="14.25" customHeight="1">
      <c r="D398" s="61"/>
      <c r="E398" s="62"/>
      <c r="F398" s="63"/>
      <c r="G398" s="64"/>
    </row>
    <row r="399" spans="4:7" ht="14.25" customHeight="1">
      <c r="D399" s="61"/>
      <c r="E399" s="62"/>
      <c r="F399" s="63"/>
      <c r="G399" s="64"/>
    </row>
    <row r="400" spans="4:7" ht="14.25" customHeight="1">
      <c r="D400" s="61"/>
      <c r="E400" s="62"/>
      <c r="F400" s="63"/>
      <c r="G400" s="64"/>
    </row>
    <row r="401" spans="4:7" ht="14.25" customHeight="1">
      <c r="D401" s="61"/>
      <c r="E401" s="62"/>
      <c r="F401" s="63"/>
      <c r="G401" s="64"/>
    </row>
    <row r="402" spans="4:7" ht="14.25" customHeight="1">
      <c r="D402" s="61"/>
      <c r="E402" s="62"/>
      <c r="F402" s="63"/>
      <c r="G402" s="64"/>
    </row>
    <row r="403" spans="4:7" ht="14.25" customHeight="1">
      <c r="D403" s="61"/>
      <c r="E403" s="62"/>
      <c r="F403" s="63"/>
      <c r="G403" s="64"/>
    </row>
    <row r="404" spans="4:7" ht="14.25" customHeight="1">
      <c r="D404" s="61"/>
      <c r="E404" s="62"/>
      <c r="F404" s="63"/>
      <c r="G404" s="64"/>
    </row>
    <row r="405" spans="4:7" ht="14.25" customHeight="1">
      <c r="D405" s="61"/>
      <c r="E405" s="62"/>
      <c r="F405" s="63"/>
      <c r="G405" s="64"/>
    </row>
    <row r="406" spans="4:7" ht="14.25" customHeight="1">
      <c r="D406" s="61"/>
      <c r="E406" s="62"/>
      <c r="F406" s="63"/>
      <c r="G406" s="64"/>
    </row>
    <row r="407" spans="4:7" ht="14.25" customHeight="1">
      <c r="D407" s="61"/>
      <c r="E407" s="62"/>
      <c r="F407" s="63"/>
      <c r="G407" s="64"/>
    </row>
    <row r="408" spans="4:7" ht="14.25" customHeight="1">
      <c r="D408" s="61"/>
      <c r="E408" s="62"/>
      <c r="F408" s="63"/>
      <c r="G408" s="64"/>
    </row>
    <row r="409" spans="4:7" ht="14.25" customHeight="1">
      <c r="D409" s="61"/>
      <c r="E409" s="62"/>
      <c r="F409" s="63"/>
      <c r="G409" s="64"/>
    </row>
    <row r="410" spans="4:7" ht="14.25" customHeight="1">
      <c r="D410" s="61"/>
      <c r="E410" s="62"/>
      <c r="F410" s="63"/>
      <c r="G410" s="64"/>
    </row>
    <row r="411" spans="4:7" ht="14.25" customHeight="1">
      <c r="D411" s="61"/>
      <c r="E411" s="62"/>
      <c r="F411" s="63"/>
      <c r="G411" s="64"/>
    </row>
    <row r="412" spans="4:7" ht="14.25" customHeight="1">
      <c r="D412" s="61"/>
      <c r="E412" s="62"/>
      <c r="F412" s="63"/>
      <c r="G412" s="64"/>
    </row>
    <row r="413" spans="4:7" ht="14.25" customHeight="1">
      <c r="D413" s="61"/>
      <c r="E413" s="62"/>
      <c r="F413" s="63"/>
      <c r="G413" s="64"/>
    </row>
    <row r="414" spans="4:7" ht="14.25" customHeight="1">
      <c r="D414" s="61"/>
      <c r="E414" s="62"/>
      <c r="F414" s="63"/>
      <c r="G414" s="64"/>
    </row>
    <row r="415" spans="4:7" ht="14.25" customHeight="1">
      <c r="D415" s="61"/>
      <c r="E415" s="62"/>
      <c r="F415" s="63"/>
      <c r="G415" s="64"/>
    </row>
    <row r="416" spans="4:7" ht="14.25" customHeight="1">
      <c r="D416" s="61"/>
      <c r="E416" s="62"/>
      <c r="F416" s="63"/>
      <c r="G416" s="64"/>
    </row>
    <row r="417" spans="4:7" ht="14.25" customHeight="1">
      <c r="D417" s="61"/>
      <c r="E417" s="62"/>
      <c r="F417" s="63"/>
      <c r="G417" s="64"/>
    </row>
    <row r="418" spans="4:7" ht="14.25" customHeight="1">
      <c r="D418" s="61"/>
      <c r="E418" s="62"/>
      <c r="F418" s="63"/>
      <c r="G418" s="64"/>
    </row>
    <row r="419" spans="4:7" ht="14.25" customHeight="1">
      <c r="D419" s="61"/>
      <c r="E419" s="62"/>
      <c r="F419" s="63"/>
      <c r="G419" s="64"/>
    </row>
    <row r="420" spans="4:7" ht="14.25" customHeight="1">
      <c r="D420" s="61"/>
      <c r="E420" s="62"/>
      <c r="F420" s="63"/>
      <c r="G420" s="64"/>
    </row>
    <row r="421" spans="4:7" ht="14.25" customHeight="1">
      <c r="D421" s="61"/>
      <c r="E421" s="62"/>
      <c r="F421" s="63"/>
      <c r="G421" s="64"/>
    </row>
    <row r="422" spans="4:7" ht="14.25" customHeight="1">
      <c r="D422" s="61"/>
      <c r="E422" s="62"/>
      <c r="F422" s="63"/>
      <c r="G422" s="64"/>
    </row>
    <row r="423" spans="4:7" ht="14.25" customHeight="1">
      <c r="D423" s="61"/>
      <c r="E423" s="62"/>
      <c r="F423" s="63"/>
      <c r="G423" s="64"/>
    </row>
    <row r="424" spans="4:7" ht="14.25" customHeight="1">
      <c r="D424" s="61"/>
      <c r="E424" s="62"/>
      <c r="F424" s="63"/>
      <c r="G424" s="64"/>
    </row>
    <row r="425" spans="4:7" ht="14.25" customHeight="1">
      <c r="D425" s="61"/>
      <c r="E425" s="62"/>
      <c r="F425" s="63"/>
      <c r="G425" s="64"/>
    </row>
    <row r="426" spans="4:7" ht="14.25" customHeight="1">
      <c r="D426" s="61"/>
      <c r="E426" s="62"/>
      <c r="F426" s="63"/>
      <c r="G426" s="64"/>
    </row>
    <row r="427" spans="4:7" ht="14.25" customHeight="1">
      <c r="D427" s="61"/>
      <c r="E427" s="62"/>
      <c r="F427" s="63"/>
      <c r="G427" s="64"/>
    </row>
    <row r="428" spans="4:7" ht="14.25" customHeight="1">
      <c r="D428" s="61"/>
      <c r="E428" s="62"/>
      <c r="F428" s="63"/>
      <c r="G428" s="64"/>
    </row>
    <row r="429" spans="4:7" ht="14.25" customHeight="1">
      <c r="D429" s="61"/>
      <c r="E429" s="62"/>
      <c r="F429" s="63"/>
      <c r="G429" s="64"/>
    </row>
    <row r="430" spans="4:7" ht="14.25" customHeight="1">
      <c r="D430" s="61"/>
      <c r="E430" s="62"/>
      <c r="F430" s="63"/>
      <c r="G430" s="64"/>
    </row>
    <row r="431" spans="4:7" ht="14.25" customHeight="1">
      <c r="D431" s="61"/>
      <c r="E431" s="62"/>
      <c r="F431" s="63"/>
      <c r="G431" s="64"/>
    </row>
    <row r="432" spans="4:7" ht="14.25" customHeight="1">
      <c r="D432" s="61"/>
      <c r="E432" s="62"/>
      <c r="F432" s="63"/>
      <c r="G432" s="64"/>
    </row>
    <row r="433" spans="4:7" ht="14.25" customHeight="1">
      <c r="D433" s="61"/>
      <c r="E433" s="62"/>
      <c r="F433" s="63"/>
      <c r="G433" s="64"/>
    </row>
    <row r="434" spans="4:7" ht="14.25" customHeight="1">
      <c r="D434" s="61"/>
      <c r="E434" s="62"/>
      <c r="F434" s="63"/>
      <c r="G434" s="64"/>
    </row>
    <row r="435" spans="4:7" ht="14.25" customHeight="1">
      <c r="D435" s="61"/>
      <c r="E435" s="62"/>
      <c r="F435" s="63"/>
      <c r="G435" s="64"/>
    </row>
    <row r="436" spans="4:7" ht="14.25" customHeight="1">
      <c r="D436" s="61"/>
      <c r="E436" s="62"/>
      <c r="F436" s="63"/>
      <c r="G436" s="64"/>
    </row>
    <row r="437" spans="4:7" ht="14.25" customHeight="1">
      <c r="D437" s="61"/>
      <c r="E437" s="62"/>
      <c r="F437" s="63"/>
      <c r="G437" s="64"/>
    </row>
    <row r="438" spans="4:7" ht="14.25" customHeight="1">
      <c r="D438" s="61"/>
      <c r="E438" s="62"/>
      <c r="F438" s="63"/>
      <c r="G438" s="64"/>
    </row>
    <row r="439" spans="4:7" ht="14.25" customHeight="1">
      <c r="D439" s="61"/>
      <c r="E439" s="62"/>
      <c r="F439" s="63"/>
      <c r="G439" s="64"/>
    </row>
    <row r="440" spans="4:7" ht="14.25" customHeight="1">
      <c r="D440" s="61"/>
      <c r="E440" s="62"/>
      <c r="F440" s="63"/>
      <c r="G440" s="64"/>
    </row>
    <row r="441" spans="4:7" ht="14.25" customHeight="1">
      <c r="D441" s="61"/>
      <c r="E441" s="62"/>
      <c r="F441" s="63"/>
      <c r="G441" s="64"/>
    </row>
    <row r="442" spans="4:7" ht="14.25" customHeight="1">
      <c r="D442" s="61"/>
      <c r="E442" s="62"/>
      <c r="F442" s="63"/>
      <c r="G442" s="64"/>
    </row>
    <row r="443" spans="4:7" ht="14.25" customHeight="1">
      <c r="D443" s="61"/>
      <c r="E443" s="62"/>
      <c r="F443" s="63"/>
      <c r="G443" s="64"/>
    </row>
    <row r="444" spans="4:7" ht="14.25" customHeight="1">
      <c r="D444" s="61"/>
      <c r="E444" s="62"/>
      <c r="F444" s="63"/>
      <c r="G444" s="64"/>
    </row>
    <row r="445" spans="4:7" ht="14.25" customHeight="1">
      <c r="D445" s="61"/>
      <c r="E445" s="62"/>
      <c r="F445" s="63"/>
      <c r="G445" s="64"/>
    </row>
    <row r="446" spans="4:7" ht="14.25" customHeight="1">
      <c r="D446" s="61"/>
      <c r="E446" s="62"/>
      <c r="F446" s="63"/>
      <c r="G446" s="64"/>
    </row>
    <row r="447" spans="4:7" ht="14.25" customHeight="1">
      <c r="D447" s="61"/>
      <c r="E447" s="62"/>
      <c r="F447" s="63"/>
      <c r="G447" s="64"/>
    </row>
    <row r="448" spans="4:7" ht="14.25" customHeight="1">
      <c r="D448" s="61"/>
      <c r="E448" s="62"/>
      <c r="F448" s="63"/>
      <c r="G448" s="64"/>
    </row>
    <row r="449" spans="4:7" ht="14.25" customHeight="1">
      <c r="D449" s="61"/>
      <c r="E449" s="62"/>
      <c r="F449" s="63"/>
      <c r="G449" s="64"/>
    </row>
    <row r="450" spans="4:7" ht="14.25" customHeight="1">
      <c r="D450" s="61"/>
      <c r="E450" s="62"/>
      <c r="F450" s="63"/>
      <c r="G450" s="64"/>
    </row>
    <row r="451" spans="4:7" ht="14.25" customHeight="1">
      <c r="D451" s="61"/>
      <c r="E451" s="62"/>
      <c r="F451" s="63"/>
      <c r="G451" s="64"/>
    </row>
    <row r="452" spans="4:7" ht="14.25" customHeight="1">
      <c r="D452" s="61"/>
      <c r="E452" s="62"/>
      <c r="F452" s="63"/>
      <c r="G452" s="64"/>
    </row>
    <row r="453" spans="4:7" ht="14.25" customHeight="1">
      <c r="D453" s="61"/>
      <c r="E453" s="62"/>
      <c r="F453" s="63"/>
      <c r="G453" s="64"/>
    </row>
    <row r="454" spans="4:7" ht="14.25" customHeight="1">
      <c r="D454" s="61"/>
      <c r="E454" s="62"/>
      <c r="F454" s="63"/>
      <c r="G454" s="64"/>
    </row>
    <row r="455" spans="4:7" ht="14.25" customHeight="1">
      <c r="D455" s="61"/>
      <c r="E455" s="62"/>
      <c r="F455" s="63"/>
      <c r="G455" s="64"/>
    </row>
    <row r="456" spans="4:7" ht="14.25" customHeight="1">
      <c r="D456" s="61"/>
      <c r="E456" s="62"/>
      <c r="F456" s="63"/>
      <c r="G456" s="64"/>
    </row>
    <row r="457" spans="4:7" ht="14.25" customHeight="1">
      <c r="D457" s="61"/>
      <c r="E457" s="62"/>
      <c r="F457" s="63"/>
      <c r="G457" s="64"/>
    </row>
    <row r="458" spans="4:7" ht="14.25" customHeight="1">
      <c r="D458" s="61"/>
      <c r="E458" s="62"/>
      <c r="F458" s="63"/>
      <c r="G458" s="64"/>
    </row>
    <row r="459" spans="4:7" ht="14.25" customHeight="1">
      <c r="D459" s="61"/>
      <c r="E459" s="62"/>
      <c r="F459" s="63"/>
      <c r="G459" s="64"/>
    </row>
    <row r="460" spans="4:7" ht="14.25" customHeight="1">
      <c r="D460" s="61"/>
      <c r="E460" s="62"/>
      <c r="F460" s="63"/>
      <c r="G460" s="64"/>
    </row>
    <row r="461" spans="4:7" ht="14.25" customHeight="1">
      <c r="D461" s="61"/>
      <c r="E461" s="62"/>
      <c r="F461" s="63"/>
      <c r="G461" s="64"/>
    </row>
    <row r="462" spans="4:7" ht="14.25" customHeight="1">
      <c r="D462" s="61"/>
      <c r="E462" s="62"/>
      <c r="F462" s="63"/>
      <c r="G462" s="64"/>
    </row>
    <row r="463" spans="4:7" ht="14.25" customHeight="1">
      <c r="D463" s="61"/>
      <c r="E463" s="62"/>
      <c r="F463" s="63"/>
      <c r="G463" s="64"/>
    </row>
    <row r="464" spans="4:7" ht="14.25" customHeight="1">
      <c r="D464" s="61"/>
      <c r="E464" s="62"/>
      <c r="F464" s="63"/>
      <c r="G464" s="64"/>
    </row>
    <row r="465" spans="4:7" ht="14.25" customHeight="1">
      <c r="D465" s="61"/>
      <c r="E465" s="62"/>
      <c r="F465" s="63"/>
      <c r="G465" s="64"/>
    </row>
    <row r="466" spans="4:7" ht="14.25" customHeight="1">
      <c r="D466" s="61"/>
      <c r="E466" s="62"/>
      <c r="F466" s="63"/>
      <c r="G466" s="64"/>
    </row>
    <row r="467" spans="4:7" ht="14.25" customHeight="1">
      <c r="D467" s="61"/>
      <c r="E467" s="62"/>
      <c r="F467" s="63"/>
      <c r="G467" s="64"/>
    </row>
    <row r="468" spans="4:7" ht="14.25" customHeight="1">
      <c r="D468" s="61"/>
      <c r="E468" s="62"/>
      <c r="F468" s="63"/>
      <c r="G468" s="64"/>
    </row>
    <row r="469" spans="4:7" ht="14.25" customHeight="1">
      <c r="D469" s="61"/>
      <c r="E469" s="62"/>
      <c r="F469" s="63"/>
      <c r="G469" s="64"/>
    </row>
    <row r="470" spans="4:7" ht="14.25" customHeight="1">
      <c r="D470" s="61"/>
      <c r="E470" s="62"/>
      <c r="F470" s="63"/>
      <c r="G470" s="64"/>
    </row>
    <row r="471" spans="4:7" ht="14.25" customHeight="1">
      <c r="D471" s="61"/>
      <c r="E471" s="62"/>
      <c r="F471" s="63"/>
      <c r="G471" s="64"/>
    </row>
    <row r="472" spans="4:7" ht="14.25" customHeight="1">
      <c r="D472" s="61"/>
      <c r="E472" s="62"/>
      <c r="F472" s="63"/>
      <c r="G472" s="64"/>
    </row>
    <row r="473" spans="4:7" ht="14.25" customHeight="1">
      <c r="D473" s="61"/>
      <c r="E473" s="62"/>
      <c r="F473" s="63"/>
      <c r="G473" s="64"/>
    </row>
    <row r="474" spans="4:7" ht="14.25" customHeight="1">
      <c r="D474" s="61"/>
      <c r="E474" s="62"/>
      <c r="F474" s="63"/>
      <c r="G474" s="64"/>
    </row>
    <row r="475" spans="4:7" ht="14.25" customHeight="1">
      <c r="D475" s="61"/>
      <c r="E475" s="62"/>
      <c r="F475" s="63"/>
      <c r="G475" s="64"/>
    </row>
    <row r="476" spans="4:7" ht="14.25" customHeight="1">
      <c r="D476" s="61"/>
      <c r="E476" s="62"/>
      <c r="F476" s="63"/>
      <c r="G476" s="64"/>
    </row>
    <row r="477" spans="4:7" ht="14.25" customHeight="1">
      <c r="D477" s="61"/>
      <c r="E477" s="62"/>
      <c r="F477" s="63"/>
      <c r="G477" s="64"/>
    </row>
    <row r="478" spans="4:7" ht="14.25" customHeight="1">
      <c r="D478" s="61"/>
      <c r="E478" s="62"/>
      <c r="F478" s="63"/>
      <c r="G478" s="64"/>
    </row>
    <row r="479" spans="4:7" ht="14.25" customHeight="1">
      <c r="D479" s="61"/>
      <c r="E479" s="62"/>
      <c r="F479" s="63"/>
      <c r="G479" s="64"/>
    </row>
    <row r="480" spans="4:7" ht="14.25" customHeight="1">
      <c r="D480" s="61"/>
      <c r="E480" s="62"/>
      <c r="F480" s="63"/>
      <c r="G480" s="64"/>
    </row>
    <row r="481" spans="4:7" ht="14.25" customHeight="1">
      <c r="D481" s="61"/>
      <c r="E481" s="62"/>
      <c r="F481" s="63"/>
      <c r="G481" s="64"/>
    </row>
    <row r="482" spans="4:7" ht="14.25" customHeight="1">
      <c r="D482" s="61"/>
      <c r="E482" s="62"/>
      <c r="F482" s="63"/>
      <c r="G482" s="64"/>
    </row>
    <row r="483" spans="4:7" ht="14.25" customHeight="1">
      <c r="D483" s="61"/>
      <c r="E483" s="62"/>
      <c r="F483" s="63"/>
      <c r="G483" s="64"/>
    </row>
    <row r="484" spans="4:7" ht="14.25" customHeight="1">
      <c r="D484" s="61"/>
      <c r="E484" s="62"/>
      <c r="F484" s="63"/>
      <c r="G484" s="64"/>
    </row>
    <row r="485" spans="4:7" ht="14.25" customHeight="1">
      <c r="D485" s="61"/>
      <c r="E485" s="62"/>
      <c r="F485" s="63"/>
      <c r="G485" s="64"/>
    </row>
    <row r="486" spans="4:7" ht="14.25" customHeight="1">
      <c r="D486" s="61"/>
      <c r="E486" s="62"/>
      <c r="F486" s="63"/>
      <c r="G486" s="64"/>
    </row>
    <row r="487" spans="4:7" ht="14.25" customHeight="1">
      <c r="D487" s="61"/>
      <c r="E487" s="62"/>
      <c r="F487" s="63"/>
      <c r="G487" s="64"/>
    </row>
    <row r="488" spans="4:7" ht="14.25" customHeight="1">
      <c r="D488" s="61"/>
      <c r="E488" s="62"/>
      <c r="F488" s="63"/>
      <c r="G488" s="64"/>
    </row>
    <row r="489" spans="4:7" ht="14.25" customHeight="1">
      <c r="D489" s="61"/>
      <c r="E489" s="62"/>
      <c r="F489" s="63"/>
      <c r="G489" s="64"/>
    </row>
    <row r="490" spans="4:7" ht="14.25" customHeight="1">
      <c r="D490" s="61"/>
      <c r="E490" s="62"/>
      <c r="F490" s="63"/>
      <c r="G490" s="64"/>
    </row>
    <row r="491" spans="4:7" ht="14.25" customHeight="1">
      <c r="D491" s="61"/>
      <c r="E491" s="62"/>
      <c r="F491" s="63"/>
      <c r="G491" s="64"/>
    </row>
    <row r="492" spans="4:7" ht="14.25" customHeight="1">
      <c r="D492" s="61"/>
      <c r="E492" s="62"/>
      <c r="F492" s="63"/>
      <c r="G492" s="64"/>
    </row>
    <row r="493" spans="4:7" ht="14.25" customHeight="1">
      <c r="D493" s="61"/>
      <c r="E493" s="62"/>
      <c r="F493" s="63"/>
      <c r="G493" s="64"/>
    </row>
    <row r="494" spans="4:7" ht="14.25" customHeight="1">
      <c r="D494" s="61"/>
      <c r="E494" s="62"/>
      <c r="F494" s="63"/>
      <c r="G494" s="64"/>
    </row>
    <row r="495" spans="4:7" ht="14.25" customHeight="1">
      <c r="D495" s="61"/>
      <c r="E495" s="62"/>
      <c r="F495" s="63"/>
      <c r="G495" s="64"/>
    </row>
    <row r="496" spans="4:7" ht="14.25" customHeight="1">
      <c r="D496" s="61"/>
      <c r="E496" s="62"/>
      <c r="F496" s="63"/>
      <c r="G496" s="64"/>
    </row>
    <row r="497" spans="4:7" ht="14.25" customHeight="1">
      <c r="D497" s="61"/>
      <c r="E497" s="62"/>
      <c r="F497" s="63"/>
      <c r="G497" s="64"/>
    </row>
    <row r="498" spans="4:7" ht="14.25" customHeight="1">
      <c r="D498" s="61"/>
      <c r="E498" s="62"/>
      <c r="F498" s="63"/>
      <c r="G498" s="64"/>
    </row>
    <row r="499" spans="4:7" ht="14.25" customHeight="1">
      <c r="D499" s="61"/>
      <c r="E499" s="62"/>
      <c r="F499" s="63"/>
      <c r="G499" s="64"/>
    </row>
    <row r="500" spans="4:7" ht="14.25" customHeight="1">
      <c r="D500" s="61"/>
      <c r="E500" s="62"/>
      <c r="F500" s="63"/>
      <c r="G500" s="64"/>
    </row>
    <row r="501" spans="4:7" ht="14.25" customHeight="1">
      <c r="D501" s="61"/>
      <c r="E501" s="62"/>
      <c r="F501" s="63"/>
      <c r="G501" s="64"/>
    </row>
    <row r="502" spans="4:7" ht="14.25" customHeight="1">
      <c r="D502" s="61"/>
      <c r="E502" s="62"/>
      <c r="F502" s="63"/>
      <c r="G502" s="64"/>
    </row>
    <row r="503" spans="4:7" ht="14.25" customHeight="1">
      <c r="D503" s="61"/>
      <c r="E503" s="62"/>
      <c r="F503" s="63"/>
      <c r="G503" s="64"/>
    </row>
    <row r="504" spans="4:7" ht="14.25" customHeight="1">
      <c r="D504" s="61"/>
      <c r="E504" s="62"/>
      <c r="F504" s="63"/>
      <c r="G504" s="64"/>
    </row>
    <row r="505" spans="4:7" ht="14.25" customHeight="1">
      <c r="D505" s="61"/>
      <c r="E505" s="62"/>
      <c r="F505" s="63"/>
      <c r="G505" s="64"/>
    </row>
    <row r="506" spans="4:7" ht="14.25" customHeight="1">
      <c r="D506" s="61"/>
      <c r="E506" s="62"/>
      <c r="F506" s="63"/>
      <c r="G506" s="64"/>
    </row>
    <row r="507" spans="4:7" ht="14.25" customHeight="1">
      <c r="D507" s="61"/>
      <c r="E507" s="62"/>
      <c r="F507" s="63"/>
      <c r="G507" s="64"/>
    </row>
    <row r="508" spans="4:7" ht="14.25" customHeight="1">
      <c r="D508" s="61"/>
      <c r="E508" s="62"/>
      <c r="F508" s="63"/>
      <c r="G508" s="64"/>
    </row>
    <row r="509" spans="4:7" ht="14.25" customHeight="1">
      <c r="D509" s="61"/>
      <c r="E509" s="62"/>
      <c r="F509" s="63"/>
      <c r="G509" s="64"/>
    </row>
    <row r="510" spans="4:7" ht="14.25" customHeight="1">
      <c r="D510" s="61"/>
      <c r="E510" s="62"/>
      <c r="F510" s="63"/>
      <c r="G510" s="64"/>
    </row>
    <row r="511" spans="4:7" ht="14.25" customHeight="1">
      <c r="D511" s="61"/>
      <c r="E511" s="62"/>
      <c r="F511" s="63"/>
      <c r="G511" s="64"/>
    </row>
    <row r="512" spans="4:7" ht="14.25" customHeight="1">
      <c r="D512" s="61"/>
      <c r="E512" s="62"/>
      <c r="F512" s="63"/>
      <c r="G512" s="64"/>
    </row>
    <row r="513" spans="4:7" ht="14.25" customHeight="1">
      <c r="D513" s="61"/>
      <c r="E513" s="62"/>
      <c r="F513" s="63"/>
      <c r="G513" s="64"/>
    </row>
    <row r="514" spans="4:7" ht="14.25" customHeight="1">
      <c r="D514" s="61"/>
      <c r="E514" s="62"/>
      <c r="F514" s="63"/>
      <c r="G514" s="64"/>
    </row>
    <row r="515" spans="4:7" ht="14.25" customHeight="1">
      <c r="D515" s="61"/>
      <c r="E515" s="62"/>
      <c r="F515" s="63"/>
      <c r="G515" s="64"/>
    </row>
    <row r="516" spans="4:7" ht="14.25" customHeight="1">
      <c r="D516" s="61"/>
      <c r="E516" s="62"/>
      <c r="F516" s="63"/>
      <c r="G516" s="64"/>
    </row>
    <row r="517" spans="4:7" ht="14.25" customHeight="1">
      <c r="D517" s="61"/>
      <c r="E517" s="62"/>
      <c r="F517" s="63"/>
      <c r="G517" s="64"/>
    </row>
    <row r="518" spans="4:7" ht="14.25" customHeight="1">
      <c r="D518" s="61"/>
      <c r="E518" s="62"/>
      <c r="F518" s="63"/>
      <c r="G518" s="64"/>
    </row>
    <row r="519" spans="4:7" ht="14.25" customHeight="1">
      <c r="D519" s="61"/>
      <c r="E519" s="62"/>
      <c r="F519" s="63"/>
      <c r="G519" s="64"/>
    </row>
    <row r="520" spans="4:7" ht="14.25" customHeight="1">
      <c r="D520" s="61"/>
      <c r="E520" s="62"/>
      <c r="F520" s="63"/>
      <c r="G520" s="64"/>
    </row>
    <row r="521" spans="4:7" ht="14.25" customHeight="1">
      <c r="D521" s="61"/>
      <c r="E521" s="62"/>
      <c r="F521" s="63"/>
      <c r="G521" s="64"/>
    </row>
    <row r="522" spans="4:7" ht="14.25" customHeight="1">
      <c r="D522" s="61"/>
      <c r="E522" s="62"/>
      <c r="F522" s="63"/>
      <c r="G522" s="64"/>
    </row>
    <row r="523" spans="4:7" ht="14.25" customHeight="1">
      <c r="D523" s="61"/>
      <c r="E523" s="62"/>
      <c r="F523" s="63"/>
      <c r="G523" s="64"/>
    </row>
    <row r="524" spans="4:7" ht="14.25" customHeight="1">
      <c r="D524" s="61"/>
      <c r="E524" s="62"/>
      <c r="F524" s="63"/>
      <c r="G524" s="64"/>
    </row>
    <row r="525" spans="4:7" ht="14.25" customHeight="1">
      <c r="D525" s="61"/>
      <c r="E525" s="62"/>
      <c r="F525" s="63"/>
      <c r="G525" s="64"/>
    </row>
    <row r="526" spans="4:7" ht="14.25" customHeight="1">
      <c r="D526" s="61"/>
      <c r="E526" s="62"/>
      <c r="F526" s="63"/>
      <c r="G526" s="64"/>
    </row>
    <row r="527" spans="4:7" ht="14.25" customHeight="1">
      <c r="D527" s="61"/>
      <c r="E527" s="62"/>
      <c r="F527" s="63"/>
      <c r="G527" s="64"/>
    </row>
    <row r="528" spans="4:7" ht="14.25" customHeight="1">
      <c r="D528" s="61"/>
      <c r="E528" s="62"/>
      <c r="F528" s="63"/>
      <c r="G528" s="64"/>
    </row>
    <row r="529" spans="4:7" ht="14.25" customHeight="1">
      <c r="D529" s="61"/>
      <c r="E529" s="62"/>
      <c r="F529" s="63"/>
      <c r="G529" s="64"/>
    </row>
    <row r="530" spans="4:7" ht="14.25" customHeight="1">
      <c r="D530" s="61"/>
      <c r="E530" s="62"/>
      <c r="F530" s="63"/>
      <c r="G530" s="64"/>
    </row>
    <row r="531" spans="4:7" ht="14.25" customHeight="1">
      <c r="D531" s="61"/>
      <c r="E531" s="62"/>
      <c r="F531" s="63"/>
      <c r="G531" s="64"/>
    </row>
    <row r="532" spans="4:7" ht="14.25" customHeight="1">
      <c r="D532" s="61"/>
      <c r="E532" s="62"/>
      <c r="F532" s="63"/>
      <c r="G532" s="64"/>
    </row>
    <row r="533" spans="4:7" ht="14.25" customHeight="1">
      <c r="D533" s="61"/>
      <c r="E533" s="62"/>
      <c r="F533" s="63"/>
      <c r="G533" s="64"/>
    </row>
    <row r="534" spans="4:7" ht="14.25" customHeight="1">
      <c r="D534" s="61"/>
      <c r="E534" s="62"/>
      <c r="F534" s="63"/>
      <c r="G534" s="64"/>
    </row>
    <row r="535" spans="4:7" ht="14.25" customHeight="1">
      <c r="D535" s="61"/>
      <c r="E535" s="62"/>
      <c r="F535" s="63"/>
      <c r="G535" s="64"/>
    </row>
    <row r="536" spans="4:7" ht="14.25" customHeight="1">
      <c r="D536" s="61"/>
      <c r="E536" s="62"/>
      <c r="F536" s="63"/>
      <c r="G536" s="64"/>
    </row>
    <row r="537" spans="4:7" ht="14.25" customHeight="1">
      <c r="D537" s="61"/>
      <c r="E537" s="62"/>
      <c r="F537" s="63"/>
      <c r="G537" s="64"/>
    </row>
    <row r="538" spans="4:7" ht="14.25" customHeight="1">
      <c r="D538" s="61"/>
      <c r="E538" s="62"/>
      <c r="F538" s="63"/>
      <c r="G538" s="64"/>
    </row>
    <row r="539" spans="4:7" ht="14.25" customHeight="1">
      <c r="D539" s="61"/>
      <c r="E539" s="62"/>
      <c r="F539" s="63"/>
      <c r="G539" s="64"/>
    </row>
    <row r="540" spans="4:7" ht="14.25" customHeight="1">
      <c r="D540" s="61"/>
      <c r="E540" s="62"/>
      <c r="F540" s="63"/>
      <c r="G540" s="64"/>
    </row>
    <row r="541" spans="4:7" ht="14.25" customHeight="1">
      <c r="D541" s="61"/>
      <c r="E541" s="62"/>
      <c r="F541" s="63"/>
      <c r="G541" s="64"/>
    </row>
    <row r="542" spans="4:7" ht="14.25" customHeight="1">
      <c r="D542" s="61"/>
      <c r="E542" s="62"/>
      <c r="F542" s="63"/>
      <c r="G542" s="64"/>
    </row>
    <row r="543" spans="4:7" ht="14.25" customHeight="1">
      <c r="D543" s="61"/>
      <c r="E543" s="62"/>
      <c r="F543" s="63"/>
      <c r="G543" s="64"/>
    </row>
    <row r="544" spans="4:7" ht="14.25" customHeight="1">
      <c r="D544" s="61"/>
      <c r="E544" s="62"/>
      <c r="F544" s="63"/>
      <c r="G544" s="64"/>
    </row>
    <row r="545" spans="4:7" ht="14.25" customHeight="1">
      <c r="D545" s="61"/>
      <c r="E545" s="62"/>
      <c r="F545" s="63"/>
      <c r="G545" s="64"/>
    </row>
    <row r="546" spans="4:7" ht="14.25" customHeight="1">
      <c r="D546" s="61"/>
      <c r="E546" s="62"/>
      <c r="F546" s="63"/>
      <c r="G546" s="64"/>
    </row>
    <row r="547" spans="4:7" ht="14.25" customHeight="1">
      <c r="D547" s="61"/>
      <c r="E547" s="62"/>
      <c r="F547" s="63"/>
      <c r="G547" s="64"/>
    </row>
    <row r="548" spans="4:7" ht="14.25" customHeight="1">
      <c r="D548" s="61"/>
      <c r="E548" s="62"/>
      <c r="F548" s="63"/>
      <c r="G548" s="64"/>
    </row>
    <row r="549" spans="4:7" ht="14.25" customHeight="1">
      <c r="D549" s="61"/>
      <c r="E549" s="62"/>
      <c r="F549" s="63"/>
      <c r="G549" s="64"/>
    </row>
    <row r="550" spans="4:7" ht="14.25" customHeight="1">
      <c r="D550" s="61"/>
      <c r="E550" s="62"/>
      <c r="F550" s="63"/>
      <c r="G550" s="64"/>
    </row>
    <row r="551" spans="4:7" ht="14.25" customHeight="1">
      <c r="D551" s="61"/>
      <c r="E551" s="62"/>
      <c r="F551" s="63"/>
      <c r="G551" s="64"/>
    </row>
    <row r="552" spans="4:7" ht="14.25" customHeight="1">
      <c r="D552" s="61"/>
      <c r="E552" s="62"/>
      <c r="F552" s="63"/>
      <c r="G552" s="64"/>
    </row>
    <row r="553" spans="4:7" ht="14.25" customHeight="1">
      <c r="D553" s="61"/>
      <c r="E553" s="62"/>
      <c r="F553" s="63"/>
      <c r="G553" s="64"/>
    </row>
    <row r="554" spans="4:7" ht="14.25" customHeight="1">
      <c r="D554" s="61"/>
      <c r="E554" s="62"/>
      <c r="F554" s="63"/>
      <c r="G554" s="64"/>
    </row>
    <row r="555" spans="4:7" ht="14.25" customHeight="1">
      <c r="D555" s="61"/>
      <c r="E555" s="62"/>
      <c r="F555" s="63"/>
      <c r="G555" s="64"/>
    </row>
    <row r="556" spans="4:7" ht="14.25" customHeight="1">
      <c r="D556" s="61"/>
      <c r="E556" s="62"/>
      <c r="F556" s="63"/>
      <c r="G556" s="64"/>
    </row>
    <row r="557" spans="4:7" ht="14.25" customHeight="1">
      <c r="D557" s="61"/>
      <c r="E557" s="62"/>
      <c r="F557" s="63"/>
      <c r="G557" s="64"/>
    </row>
    <row r="558" spans="4:7" ht="14.25" customHeight="1">
      <c r="D558" s="61"/>
      <c r="E558" s="62"/>
      <c r="F558" s="63"/>
      <c r="G558" s="64"/>
    </row>
    <row r="559" spans="4:7" ht="14.25" customHeight="1">
      <c r="D559" s="61"/>
      <c r="E559" s="62"/>
      <c r="F559" s="63"/>
      <c r="G559" s="64"/>
    </row>
    <row r="560" spans="4:7" ht="14.25" customHeight="1">
      <c r="D560" s="61"/>
      <c r="E560" s="62"/>
      <c r="F560" s="63"/>
      <c r="G560" s="64"/>
    </row>
    <row r="561" spans="4:7" ht="14.25" customHeight="1">
      <c r="D561" s="61"/>
      <c r="E561" s="62"/>
      <c r="F561" s="63"/>
      <c r="G561" s="64"/>
    </row>
    <row r="562" spans="4:7" ht="14.25" customHeight="1">
      <c r="D562" s="61"/>
      <c r="E562" s="62"/>
      <c r="F562" s="63"/>
      <c r="G562" s="64"/>
    </row>
    <row r="563" spans="4:7" ht="14.25" customHeight="1">
      <c r="D563" s="61"/>
      <c r="E563" s="62"/>
      <c r="F563" s="63"/>
      <c r="G563" s="64"/>
    </row>
    <row r="564" spans="4:7" ht="14.25" customHeight="1">
      <c r="D564" s="61"/>
      <c r="E564" s="62"/>
      <c r="F564" s="63"/>
      <c r="G564" s="64"/>
    </row>
    <row r="565" spans="4:7" ht="14.25" customHeight="1">
      <c r="D565" s="61"/>
      <c r="E565" s="62"/>
      <c r="F565" s="63"/>
      <c r="G565" s="64"/>
    </row>
    <row r="566" spans="4:7" ht="14.25" customHeight="1">
      <c r="D566" s="61"/>
      <c r="E566" s="62"/>
      <c r="F566" s="63"/>
      <c r="G566" s="64"/>
    </row>
    <row r="567" spans="4:7" ht="14.25" customHeight="1">
      <c r="D567" s="61"/>
      <c r="E567" s="62"/>
      <c r="F567" s="63"/>
      <c r="G567" s="64"/>
    </row>
    <row r="568" spans="4:7" ht="14.25" customHeight="1">
      <c r="D568" s="61"/>
      <c r="E568" s="62"/>
      <c r="F568" s="63"/>
      <c r="G568" s="64"/>
    </row>
    <row r="569" spans="4:7" ht="14.25" customHeight="1">
      <c r="D569" s="61"/>
      <c r="E569" s="62"/>
      <c r="F569" s="63"/>
      <c r="G569" s="64"/>
    </row>
    <row r="570" spans="4:7" ht="14.25" customHeight="1">
      <c r="D570" s="61"/>
      <c r="E570" s="62"/>
      <c r="F570" s="63"/>
      <c r="G570" s="64"/>
    </row>
    <row r="571" spans="4:7" ht="14.25" customHeight="1">
      <c r="D571" s="61"/>
      <c r="E571" s="62"/>
      <c r="F571" s="63"/>
      <c r="G571" s="64"/>
    </row>
    <row r="572" spans="4:7" ht="14.25" customHeight="1">
      <c r="D572" s="61"/>
      <c r="E572" s="62"/>
      <c r="F572" s="63"/>
      <c r="G572" s="64"/>
    </row>
    <row r="573" spans="4:7" ht="14.25" customHeight="1">
      <c r="D573" s="61"/>
      <c r="E573" s="62"/>
      <c r="F573" s="63"/>
      <c r="G573" s="64"/>
    </row>
    <row r="574" spans="4:7" ht="14.25" customHeight="1">
      <c r="D574" s="61"/>
      <c r="E574" s="62"/>
      <c r="F574" s="63"/>
      <c r="G574" s="64"/>
    </row>
    <row r="575" spans="4:7" ht="14.25" customHeight="1">
      <c r="D575" s="61"/>
      <c r="E575" s="62"/>
      <c r="F575" s="63"/>
      <c r="G575" s="64"/>
    </row>
    <row r="576" spans="4:7" ht="14.25" customHeight="1">
      <c r="D576" s="61"/>
      <c r="E576" s="62"/>
      <c r="F576" s="63"/>
      <c r="G576" s="64"/>
    </row>
    <row r="577" spans="4:7" ht="14.25" customHeight="1">
      <c r="D577" s="61"/>
      <c r="E577" s="62"/>
      <c r="F577" s="63"/>
      <c r="G577" s="64"/>
    </row>
    <row r="578" spans="4:7" ht="14.25" customHeight="1">
      <c r="D578" s="61"/>
      <c r="E578" s="62"/>
      <c r="F578" s="63"/>
      <c r="G578" s="64"/>
    </row>
    <row r="579" spans="4:7" ht="14.25" customHeight="1">
      <c r="D579" s="61"/>
      <c r="E579" s="62"/>
      <c r="F579" s="63"/>
      <c r="G579" s="64"/>
    </row>
    <row r="580" spans="4:7" ht="14.25" customHeight="1">
      <c r="D580" s="61"/>
      <c r="E580" s="62"/>
      <c r="F580" s="63"/>
      <c r="G580" s="64"/>
    </row>
    <row r="581" spans="4:7" ht="14.25" customHeight="1">
      <c r="D581" s="61"/>
      <c r="E581" s="62"/>
      <c r="F581" s="63"/>
      <c r="G581" s="64"/>
    </row>
    <row r="582" spans="4:7" ht="14.25" customHeight="1">
      <c r="D582" s="61"/>
      <c r="E582" s="62"/>
      <c r="F582" s="63"/>
      <c r="G582" s="64"/>
    </row>
    <row r="583" spans="4:7" ht="14.25" customHeight="1">
      <c r="D583" s="61"/>
      <c r="E583" s="62"/>
      <c r="F583" s="63"/>
      <c r="G583" s="64"/>
    </row>
    <row r="584" spans="4:7" ht="14.25" customHeight="1">
      <c r="D584" s="61"/>
      <c r="E584" s="62"/>
      <c r="F584" s="63"/>
      <c r="G584" s="64"/>
    </row>
    <row r="585" spans="4:7" ht="14.25" customHeight="1">
      <c r="D585" s="61"/>
      <c r="E585" s="62"/>
      <c r="F585" s="63"/>
      <c r="G585" s="64"/>
    </row>
    <row r="586" spans="4:7" ht="14.25" customHeight="1">
      <c r="D586" s="61"/>
      <c r="E586" s="62"/>
      <c r="F586" s="63"/>
      <c r="G586" s="64"/>
    </row>
    <row r="587" spans="4:7" ht="14.25" customHeight="1">
      <c r="D587" s="61"/>
      <c r="E587" s="62"/>
      <c r="F587" s="63"/>
      <c r="G587" s="64"/>
    </row>
    <row r="588" spans="4:7" ht="14.25" customHeight="1">
      <c r="D588" s="61"/>
      <c r="E588" s="62"/>
      <c r="F588" s="63"/>
      <c r="G588" s="64"/>
    </row>
    <row r="589" spans="4:7" ht="14.25" customHeight="1">
      <c r="D589" s="61"/>
      <c r="E589" s="62"/>
      <c r="F589" s="63"/>
      <c r="G589" s="64"/>
    </row>
    <row r="590" spans="4:7" ht="14.25" customHeight="1">
      <c r="D590" s="61"/>
      <c r="E590" s="62"/>
      <c r="F590" s="63"/>
      <c r="G590" s="64"/>
    </row>
    <row r="591" spans="4:7" ht="14.25" customHeight="1">
      <c r="D591" s="61"/>
      <c r="E591" s="62"/>
      <c r="F591" s="63"/>
      <c r="G591" s="64"/>
    </row>
    <row r="592" spans="4:7" ht="14.25" customHeight="1">
      <c r="D592" s="61"/>
      <c r="E592" s="62"/>
      <c r="F592" s="63"/>
      <c r="G592" s="64"/>
    </row>
    <row r="593" spans="4:7" ht="14.25" customHeight="1">
      <c r="D593" s="61"/>
      <c r="E593" s="62"/>
      <c r="F593" s="63"/>
      <c r="G593" s="64"/>
    </row>
    <row r="594" spans="4:7" ht="14.25" customHeight="1">
      <c r="D594" s="61"/>
      <c r="E594" s="62"/>
      <c r="F594" s="63"/>
      <c r="G594" s="64"/>
    </row>
    <row r="595" spans="4:7" ht="14.25" customHeight="1">
      <c r="D595" s="61"/>
      <c r="E595" s="62"/>
      <c r="F595" s="63"/>
      <c r="G595" s="64"/>
    </row>
    <row r="596" spans="4:7" ht="14.25" customHeight="1">
      <c r="D596" s="61"/>
      <c r="E596" s="62"/>
      <c r="F596" s="63"/>
      <c r="G596" s="64"/>
    </row>
    <row r="597" spans="4:7" ht="14.25" customHeight="1">
      <c r="D597" s="61"/>
      <c r="E597" s="62"/>
      <c r="F597" s="63"/>
      <c r="G597" s="64"/>
    </row>
    <row r="598" spans="4:7" ht="14.25" customHeight="1">
      <c r="D598" s="61"/>
      <c r="E598" s="62"/>
      <c r="F598" s="63"/>
      <c r="G598" s="64"/>
    </row>
    <row r="599" spans="4:7" ht="14.25" customHeight="1">
      <c r="D599" s="61"/>
      <c r="E599" s="62"/>
      <c r="F599" s="63"/>
      <c r="G599" s="64"/>
    </row>
    <row r="600" spans="4:7" ht="14.25" customHeight="1">
      <c r="D600" s="61"/>
      <c r="E600" s="62"/>
      <c r="F600" s="63"/>
      <c r="G600" s="64"/>
    </row>
    <row r="601" spans="4:7" ht="14.25" customHeight="1">
      <c r="D601" s="61"/>
      <c r="E601" s="62"/>
      <c r="F601" s="63"/>
      <c r="G601" s="64"/>
    </row>
    <row r="602" spans="4:7" ht="14.25" customHeight="1">
      <c r="D602" s="61"/>
      <c r="E602" s="62"/>
      <c r="F602" s="63"/>
      <c r="G602" s="64"/>
    </row>
    <row r="603" spans="4:7" ht="14.25" customHeight="1">
      <c r="D603" s="61"/>
      <c r="E603" s="62"/>
      <c r="F603" s="63"/>
      <c r="G603" s="64"/>
    </row>
    <row r="604" spans="4:7" ht="14.25" customHeight="1">
      <c r="D604" s="61"/>
      <c r="E604" s="62"/>
      <c r="F604" s="63"/>
      <c r="G604" s="64"/>
    </row>
    <row r="605" spans="4:7" ht="14.25" customHeight="1">
      <c r="D605" s="61"/>
      <c r="E605" s="62"/>
      <c r="F605" s="63"/>
      <c r="G605" s="64"/>
    </row>
    <row r="606" spans="4:7" ht="14.25" customHeight="1">
      <c r="D606" s="61"/>
      <c r="E606" s="62"/>
      <c r="F606" s="63"/>
      <c r="G606" s="64"/>
    </row>
    <row r="607" spans="4:7" ht="14.25" customHeight="1">
      <c r="D607" s="61"/>
      <c r="E607" s="62"/>
      <c r="F607" s="63"/>
      <c r="G607" s="64"/>
    </row>
    <row r="608" spans="4:7" ht="14.25" customHeight="1">
      <c r="D608" s="61"/>
      <c r="E608" s="62"/>
      <c r="F608" s="63"/>
      <c r="G608" s="64"/>
    </row>
    <row r="609" spans="4:7" ht="14.25" customHeight="1">
      <c r="D609" s="61"/>
      <c r="E609" s="62"/>
      <c r="F609" s="63"/>
      <c r="G609" s="64"/>
    </row>
    <row r="610" spans="4:7" ht="14.25" customHeight="1">
      <c r="D610" s="61"/>
      <c r="E610" s="62"/>
      <c r="F610" s="63"/>
      <c r="G610" s="64"/>
    </row>
    <row r="611" spans="4:7" ht="14.25" customHeight="1">
      <c r="D611" s="61"/>
      <c r="E611" s="62"/>
      <c r="F611" s="63"/>
      <c r="G611" s="64"/>
    </row>
    <row r="612" spans="4:7" ht="14.25" customHeight="1">
      <c r="D612" s="61"/>
      <c r="E612" s="62"/>
      <c r="F612" s="63"/>
      <c r="G612" s="64"/>
    </row>
    <row r="613" spans="4:7" ht="14.25" customHeight="1">
      <c r="D613" s="61"/>
      <c r="E613" s="62"/>
      <c r="F613" s="63"/>
      <c r="G613" s="64"/>
    </row>
    <row r="614" spans="4:7" ht="14.25" customHeight="1">
      <c r="D614" s="61"/>
      <c r="E614" s="62"/>
      <c r="F614" s="63"/>
      <c r="G614" s="64"/>
    </row>
    <row r="615" spans="4:7" ht="14.25" customHeight="1">
      <c r="D615" s="61"/>
      <c r="E615" s="62"/>
      <c r="F615" s="63"/>
      <c r="G615" s="64"/>
    </row>
    <row r="616" spans="4:7" ht="14.25" customHeight="1">
      <c r="D616" s="61"/>
      <c r="E616" s="62"/>
      <c r="F616" s="63"/>
      <c r="G616" s="64"/>
    </row>
    <row r="617" spans="4:7" ht="14.25" customHeight="1">
      <c r="D617" s="61"/>
      <c r="E617" s="62"/>
      <c r="F617" s="63"/>
      <c r="G617" s="64"/>
    </row>
    <row r="618" spans="4:7" ht="14.25" customHeight="1">
      <c r="D618" s="61"/>
      <c r="E618" s="62"/>
      <c r="F618" s="63"/>
      <c r="G618" s="64"/>
    </row>
    <row r="619" spans="4:7" ht="14.25" customHeight="1">
      <c r="D619" s="61"/>
      <c r="E619" s="62"/>
      <c r="F619" s="63"/>
      <c r="G619" s="64"/>
    </row>
    <row r="620" spans="4:7" ht="14.25" customHeight="1">
      <c r="D620" s="61"/>
      <c r="E620" s="62"/>
      <c r="F620" s="63"/>
      <c r="G620" s="64"/>
    </row>
    <row r="621" spans="4:7" ht="14.25" customHeight="1">
      <c r="D621" s="61"/>
      <c r="E621" s="62"/>
      <c r="F621" s="63"/>
      <c r="G621" s="64"/>
    </row>
    <row r="622" spans="4:7" ht="14.25" customHeight="1">
      <c r="D622" s="61"/>
      <c r="E622" s="62"/>
      <c r="F622" s="63"/>
      <c r="G622" s="64"/>
    </row>
    <row r="623" spans="4:7" ht="14.25" customHeight="1">
      <c r="D623" s="61"/>
      <c r="E623" s="62"/>
      <c r="F623" s="63"/>
      <c r="G623" s="64"/>
    </row>
    <row r="624" spans="4:7" ht="14.25" customHeight="1">
      <c r="D624" s="61"/>
      <c r="E624" s="62"/>
      <c r="F624" s="63"/>
      <c r="G624" s="64"/>
    </row>
    <row r="625" spans="4:7" ht="14.25" customHeight="1">
      <c r="D625" s="61"/>
      <c r="E625" s="62"/>
      <c r="F625" s="63"/>
      <c r="G625" s="64"/>
    </row>
    <row r="626" spans="4:7" ht="14.25" customHeight="1">
      <c r="D626" s="61"/>
      <c r="E626" s="62"/>
      <c r="F626" s="63"/>
      <c r="G626" s="64"/>
    </row>
    <row r="627" spans="4:7" ht="14.25" customHeight="1">
      <c r="D627" s="61"/>
      <c r="E627" s="62"/>
      <c r="F627" s="63"/>
      <c r="G627" s="64"/>
    </row>
    <row r="628" spans="4:7" ht="14.25" customHeight="1">
      <c r="D628" s="61"/>
      <c r="E628" s="62"/>
      <c r="F628" s="63"/>
      <c r="G628" s="64"/>
    </row>
    <row r="629" spans="4:7" ht="14.25" customHeight="1">
      <c r="D629" s="61"/>
      <c r="E629" s="62"/>
      <c r="F629" s="63"/>
      <c r="G629" s="64"/>
    </row>
    <row r="630" spans="4:7" ht="14.25" customHeight="1">
      <c r="D630" s="61"/>
      <c r="E630" s="62"/>
      <c r="F630" s="63"/>
      <c r="G630" s="64"/>
    </row>
    <row r="631" spans="4:7" ht="14.25" customHeight="1">
      <c r="D631" s="61"/>
      <c r="E631" s="62"/>
      <c r="F631" s="63"/>
      <c r="G631" s="64"/>
    </row>
    <row r="632" spans="4:7" ht="14.25" customHeight="1">
      <c r="D632" s="61"/>
      <c r="E632" s="62"/>
      <c r="F632" s="63"/>
      <c r="G632" s="64"/>
    </row>
    <row r="633" spans="4:7" ht="14.25" customHeight="1">
      <c r="D633" s="61"/>
      <c r="E633" s="62"/>
      <c r="F633" s="63"/>
      <c r="G633" s="64"/>
    </row>
    <row r="634" spans="4:7" ht="14.25" customHeight="1">
      <c r="D634" s="61"/>
      <c r="E634" s="62"/>
      <c r="F634" s="63"/>
      <c r="G634" s="64"/>
    </row>
    <row r="635" spans="4:7" ht="14.25" customHeight="1">
      <c r="D635" s="61"/>
      <c r="E635" s="62"/>
      <c r="F635" s="63"/>
      <c r="G635" s="64"/>
    </row>
    <row r="636" spans="4:7" ht="14.25" customHeight="1">
      <c r="D636" s="61"/>
      <c r="E636" s="62"/>
      <c r="F636" s="63"/>
      <c r="G636" s="64"/>
    </row>
    <row r="637" spans="4:7" ht="14.25" customHeight="1">
      <c r="D637" s="61"/>
      <c r="E637" s="62"/>
      <c r="F637" s="63"/>
      <c r="G637" s="64"/>
    </row>
    <row r="638" spans="4:7" ht="14.25" customHeight="1">
      <c r="D638" s="61"/>
      <c r="E638" s="62"/>
      <c r="F638" s="63"/>
      <c r="G638" s="64"/>
    </row>
    <row r="639" spans="4:7" ht="14.25" customHeight="1">
      <c r="D639" s="61"/>
      <c r="E639" s="62"/>
      <c r="F639" s="63"/>
      <c r="G639" s="64"/>
    </row>
    <row r="640" spans="4:7" ht="14.25" customHeight="1">
      <c r="D640" s="61"/>
      <c r="E640" s="62"/>
      <c r="F640" s="63"/>
      <c r="G640" s="64"/>
    </row>
    <row r="641" spans="4:7" ht="14.25" customHeight="1">
      <c r="D641" s="61"/>
      <c r="E641" s="62"/>
      <c r="F641" s="63"/>
      <c r="G641" s="64"/>
    </row>
    <row r="642" spans="4:7" ht="14.25" customHeight="1">
      <c r="D642" s="61"/>
      <c r="E642" s="62"/>
      <c r="F642" s="63"/>
      <c r="G642" s="64"/>
    </row>
    <row r="643" spans="4:7" ht="14.25" customHeight="1">
      <c r="D643" s="61"/>
      <c r="E643" s="62"/>
      <c r="F643" s="63"/>
      <c r="G643" s="64"/>
    </row>
    <row r="644" spans="4:7" ht="14.25" customHeight="1">
      <c r="D644" s="61"/>
      <c r="E644" s="62"/>
      <c r="F644" s="63"/>
      <c r="G644" s="64"/>
    </row>
    <row r="645" spans="4:7" ht="14.25" customHeight="1">
      <c r="D645" s="61"/>
      <c r="E645" s="62"/>
      <c r="F645" s="63"/>
      <c r="G645" s="64"/>
    </row>
    <row r="646" spans="4:7" ht="14.25" customHeight="1">
      <c r="D646" s="61"/>
      <c r="E646" s="62"/>
      <c r="F646" s="63"/>
      <c r="G646" s="64"/>
    </row>
    <row r="647" spans="4:7" ht="14.25" customHeight="1">
      <c r="D647" s="61"/>
      <c r="E647" s="62"/>
      <c r="F647" s="63"/>
      <c r="G647" s="64"/>
    </row>
    <row r="648" spans="4:7" ht="14.25" customHeight="1">
      <c r="D648" s="61"/>
      <c r="E648" s="62"/>
      <c r="F648" s="63"/>
      <c r="G648" s="64"/>
    </row>
    <row r="649" spans="4:7" ht="14.25" customHeight="1">
      <c r="D649" s="61"/>
      <c r="E649" s="62"/>
      <c r="F649" s="63"/>
      <c r="G649" s="64"/>
    </row>
    <row r="650" spans="4:7" ht="14.25" customHeight="1">
      <c r="D650" s="61"/>
      <c r="E650" s="62"/>
      <c r="F650" s="63"/>
      <c r="G650" s="64"/>
    </row>
    <row r="651" spans="4:7" ht="14.25" customHeight="1">
      <c r="D651" s="61"/>
      <c r="E651" s="62"/>
      <c r="F651" s="63"/>
      <c r="G651" s="64"/>
    </row>
    <row r="652" spans="4:7" ht="14.25" customHeight="1">
      <c r="D652" s="61"/>
      <c r="E652" s="62"/>
      <c r="F652" s="63"/>
      <c r="G652" s="64"/>
    </row>
    <row r="653" spans="4:7" ht="14.25" customHeight="1">
      <c r="D653" s="61"/>
      <c r="E653" s="62"/>
      <c r="F653" s="63"/>
      <c r="G653" s="64"/>
    </row>
    <row r="654" spans="4:7" ht="14.25" customHeight="1">
      <c r="D654" s="61"/>
      <c r="E654" s="62"/>
      <c r="F654" s="63"/>
      <c r="G654" s="64"/>
    </row>
    <row r="655" spans="4:7" ht="14.25" customHeight="1">
      <c r="D655" s="61"/>
      <c r="E655" s="62"/>
      <c r="F655" s="63"/>
      <c r="G655" s="64"/>
    </row>
    <row r="656" spans="4:7" ht="14.25" customHeight="1">
      <c r="D656" s="61"/>
      <c r="E656" s="62"/>
      <c r="F656" s="63"/>
      <c r="G656" s="64"/>
    </row>
    <row r="657" spans="4:7" ht="14.25" customHeight="1">
      <c r="D657" s="61"/>
      <c r="E657" s="62"/>
      <c r="F657" s="63"/>
      <c r="G657" s="64"/>
    </row>
    <row r="658" spans="4:7" ht="14.25" customHeight="1">
      <c r="D658" s="61"/>
      <c r="E658" s="62"/>
      <c r="F658" s="63"/>
      <c r="G658" s="64"/>
    </row>
    <row r="659" spans="4:7" ht="14.25" customHeight="1">
      <c r="D659" s="61"/>
      <c r="E659" s="62"/>
      <c r="F659" s="63"/>
      <c r="G659" s="64"/>
    </row>
    <row r="660" spans="4:7" ht="14.25" customHeight="1">
      <c r="D660" s="61"/>
      <c r="E660" s="62"/>
      <c r="F660" s="63"/>
      <c r="G660" s="64"/>
    </row>
    <row r="661" spans="4:7" ht="14.25" customHeight="1">
      <c r="D661" s="61"/>
      <c r="E661" s="62"/>
      <c r="F661" s="63"/>
      <c r="G661" s="64"/>
    </row>
    <row r="662" spans="4:7" ht="14.25" customHeight="1">
      <c r="D662" s="61"/>
      <c r="E662" s="62"/>
      <c r="F662" s="63"/>
      <c r="G662" s="64"/>
    </row>
    <row r="663" spans="4:7" ht="14.25" customHeight="1">
      <c r="D663" s="61"/>
      <c r="E663" s="62"/>
      <c r="F663" s="63"/>
      <c r="G663" s="64"/>
    </row>
    <row r="664" spans="4:7" ht="14.25" customHeight="1">
      <c r="D664" s="61"/>
      <c r="E664" s="62"/>
      <c r="F664" s="63"/>
      <c r="G664" s="64"/>
    </row>
    <row r="665" spans="4:7" ht="14.25" customHeight="1">
      <c r="D665" s="61"/>
      <c r="E665" s="62"/>
      <c r="F665" s="63"/>
      <c r="G665" s="64"/>
    </row>
    <row r="666" spans="4:7" ht="14.25" customHeight="1">
      <c r="D666" s="61"/>
      <c r="E666" s="62"/>
      <c r="F666" s="63"/>
      <c r="G666" s="64"/>
    </row>
    <row r="667" spans="4:7" ht="14.25" customHeight="1">
      <c r="D667" s="61"/>
      <c r="E667" s="62"/>
      <c r="F667" s="63"/>
      <c r="G667" s="64"/>
    </row>
    <row r="668" spans="4:7" ht="14.25" customHeight="1">
      <c r="D668" s="61"/>
      <c r="E668" s="62"/>
      <c r="F668" s="63"/>
      <c r="G668" s="64"/>
    </row>
    <row r="669" spans="4:7" ht="14.25" customHeight="1">
      <c r="D669" s="61"/>
      <c r="E669" s="62"/>
      <c r="F669" s="63"/>
      <c r="G669" s="64"/>
    </row>
    <row r="670" spans="4:7" ht="14.25" customHeight="1">
      <c r="D670" s="61"/>
      <c r="E670" s="62"/>
      <c r="F670" s="63"/>
      <c r="G670" s="64"/>
    </row>
    <row r="671" spans="4:7" ht="14.25" customHeight="1">
      <c r="D671" s="61"/>
      <c r="E671" s="62"/>
      <c r="F671" s="63"/>
      <c r="G671" s="64"/>
    </row>
    <row r="672" spans="4:7" ht="14.25" customHeight="1">
      <c r="D672" s="61"/>
      <c r="E672" s="62"/>
      <c r="F672" s="63"/>
      <c r="G672" s="64"/>
    </row>
    <row r="673" spans="4:7" ht="14.25" customHeight="1">
      <c r="D673" s="61"/>
      <c r="E673" s="62"/>
      <c r="F673" s="63"/>
      <c r="G673" s="64"/>
    </row>
    <row r="674" spans="4:7" ht="14.25" customHeight="1">
      <c r="D674" s="61"/>
      <c r="E674" s="62"/>
      <c r="F674" s="63"/>
      <c r="G674" s="64"/>
    </row>
    <row r="675" spans="4:7" ht="14.25" customHeight="1">
      <c r="D675" s="61"/>
      <c r="E675" s="62"/>
      <c r="F675" s="63"/>
      <c r="G675" s="64"/>
    </row>
    <row r="676" spans="4:7" ht="14.25" customHeight="1">
      <c r="D676" s="61"/>
      <c r="E676" s="62"/>
      <c r="F676" s="63"/>
      <c r="G676" s="64"/>
    </row>
    <row r="677" spans="4:7" ht="14.25" customHeight="1">
      <c r="D677" s="61"/>
      <c r="E677" s="62"/>
      <c r="F677" s="63"/>
      <c r="G677" s="64"/>
    </row>
    <row r="678" spans="4:7" ht="14.25" customHeight="1">
      <c r="D678" s="61"/>
      <c r="E678" s="62"/>
      <c r="F678" s="63"/>
      <c r="G678" s="64"/>
    </row>
    <row r="679" spans="4:7" ht="14.25" customHeight="1">
      <c r="D679" s="61"/>
      <c r="E679" s="62"/>
      <c r="F679" s="63"/>
      <c r="G679" s="64"/>
    </row>
    <row r="680" spans="4:7" ht="14.25" customHeight="1">
      <c r="D680" s="61"/>
      <c r="E680" s="62"/>
      <c r="F680" s="63"/>
      <c r="G680" s="64"/>
    </row>
    <row r="681" spans="4:7" ht="14.25" customHeight="1">
      <c r="D681" s="61"/>
      <c r="E681" s="62"/>
      <c r="F681" s="63"/>
      <c r="G681" s="64"/>
    </row>
    <row r="682" spans="4:7" ht="14.25" customHeight="1">
      <c r="D682" s="61"/>
      <c r="E682" s="62"/>
      <c r="F682" s="63"/>
      <c r="G682" s="64"/>
    </row>
    <row r="683" spans="4:7" ht="14.25" customHeight="1">
      <c r="D683" s="61"/>
      <c r="E683" s="62"/>
      <c r="F683" s="63"/>
      <c r="G683" s="64"/>
    </row>
    <row r="684" spans="4:7" ht="14.25" customHeight="1">
      <c r="D684" s="61"/>
      <c r="E684" s="62"/>
      <c r="F684" s="63"/>
      <c r="G684" s="64"/>
    </row>
    <row r="685" spans="4:7" ht="14.25" customHeight="1">
      <c r="D685" s="61"/>
      <c r="E685" s="62"/>
      <c r="F685" s="63"/>
      <c r="G685" s="64"/>
    </row>
    <row r="686" spans="4:7" ht="14.25" customHeight="1">
      <c r="D686" s="61"/>
      <c r="E686" s="62"/>
      <c r="F686" s="63"/>
      <c r="G686" s="64"/>
    </row>
    <row r="687" spans="4:7" ht="14.25" customHeight="1">
      <c r="D687" s="61"/>
      <c r="E687" s="62"/>
      <c r="F687" s="63"/>
      <c r="G687" s="64"/>
    </row>
    <row r="688" spans="4:7" ht="14.25" customHeight="1">
      <c r="D688" s="61"/>
      <c r="E688" s="62"/>
      <c r="F688" s="63"/>
      <c r="G688" s="64"/>
    </row>
    <row r="689" spans="4:7" ht="14.25" customHeight="1">
      <c r="D689" s="61"/>
      <c r="E689" s="62"/>
      <c r="F689" s="63"/>
      <c r="G689" s="64"/>
    </row>
    <row r="690" spans="4:7" ht="14.25" customHeight="1">
      <c r="D690" s="61"/>
      <c r="E690" s="62"/>
      <c r="F690" s="63"/>
      <c r="G690" s="64"/>
    </row>
    <row r="691" spans="4:7" ht="14.25" customHeight="1">
      <c r="D691" s="61"/>
      <c r="E691" s="62"/>
      <c r="F691" s="63"/>
      <c r="G691" s="64"/>
    </row>
    <row r="692" spans="4:7" ht="14.25" customHeight="1">
      <c r="D692" s="61"/>
      <c r="E692" s="62"/>
      <c r="F692" s="63"/>
      <c r="G692" s="64"/>
    </row>
    <row r="693" spans="4:7" ht="14.25" customHeight="1">
      <c r="D693" s="61"/>
      <c r="E693" s="62"/>
      <c r="F693" s="63"/>
      <c r="G693" s="64"/>
    </row>
    <row r="694" spans="4:7" ht="14.25" customHeight="1">
      <c r="D694" s="61"/>
      <c r="E694" s="62"/>
      <c r="F694" s="63"/>
      <c r="G694" s="64"/>
    </row>
    <row r="695" spans="4:7" ht="14.25" customHeight="1">
      <c r="D695" s="61"/>
      <c r="E695" s="62"/>
      <c r="F695" s="63"/>
      <c r="G695" s="64"/>
    </row>
    <row r="696" spans="4:7" ht="14.25" customHeight="1">
      <c r="D696" s="61"/>
      <c r="E696" s="62"/>
      <c r="F696" s="63"/>
      <c r="G696" s="64"/>
    </row>
    <row r="697" spans="4:7" ht="14.25" customHeight="1">
      <c r="D697" s="61"/>
      <c r="E697" s="62"/>
      <c r="F697" s="63"/>
      <c r="G697" s="64"/>
    </row>
    <row r="698" spans="4:7" ht="14.25" customHeight="1">
      <c r="D698" s="61"/>
      <c r="E698" s="62"/>
      <c r="F698" s="63"/>
      <c r="G698" s="64"/>
    </row>
    <row r="699" spans="4:7" ht="14.25" customHeight="1">
      <c r="D699" s="61"/>
      <c r="E699" s="62"/>
      <c r="F699" s="63"/>
      <c r="G699" s="64"/>
    </row>
    <row r="700" spans="4:7" ht="14.25" customHeight="1">
      <c r="D700" s="61"/>
      <c r="E700" s="62"/>
      <c r="F700" s="63"/>
      <c r="G700" s="64"/>
    </row>
    <row r="701" spans="4:7" ht="14.25" customHeight="1">
      <c r="D701" s="61"/>
      <c r="E701" s="62"/>
      <c r="F701" s="63"/>
      <c r="G701" s="64"/>
    </row>
    <row r="702" spans="4:7" ht="14.25" customHeight="1">
      <c r="D702" s="61"/>
      <c r="E702" s="62"/>
      <c r="F702" s="63"/>
      <c r="G702" s="64"/>
    </row>
    <row r="703" spans="4:7" ht="14.25" customHeight="1">
      <c r="D703" s="61"/>
      <c r="E703" s="62"/>
      <c r="F703" s="63"/>
      <c r="G703" s="64"/>
    </row>
    <row r="704" spans="4:7" ht="14.25" customHeight="1">
      <c r="D704" s="61"/>
      <c r="E704" s="62"/>
      <c r="F704" s="63"/>
      <c r="G704" s="64"/>
    </row>
    <row r="705" spans="4:7" ht="14.25" customHeight="1">
      <c r="D705" s="61"/>
      <c r="E705" s="62"/>
      <c r="F705" s="63"/>
      <c r="G705" s="64"/>
    </row>
    <row r="706" spans="4:7" ht="14.25" customHeight="1">
      <c r="D706" s="61"/>
      <c r="E706" s="62"/>
      <c r="F706" s="63"/>
      <c r="G706" s="64"/>
    </row>
    <row r="707" spans="4:7" ht="14.25" customHeight="1">
      <c r="D707" s="61"/>
      <c r="E707" s="62"/>
      <c r="F707" s="63"/>
      <c r="G707" s="64"/>
    </row>
    <row r="708" spans="4:7" ht="14.25" customHeight="1">
      <c r="D708" s="61"/>
      <c r="E708" s="62"/>
      <c r="F708" s="63"/>
      <c r="G708" s="64"/>
    </row>
    <row r="709" spans="4:7" ht="14.25" customHeight="1">
      <c r="D709" s="61"/>
      <c r="E709" s="62"/>
      <c r="F709" s="63"/>
      <c r="G709" s="64"/>
    </row>
    <row r="710" spans="4:7" ht="14.25" customHeight="1">
      <c r="D710" s="61"/>
      <c r="E710" s="62"/>
      <c r="F710" s="63"/>
      <c r="G710" s="64"/>
    </row>
    <row r="711" spans="4:7" ht="14.25" customHeight="1">
      <c r="D711" s="61"/>
      <c r="E711" s="62"/>
      <c r="F711" s="63"/>
      <c r="G711" s="64"/>
    </row>
    <row r="712" spans="4:7" ht="14.25" customHeight="1">
      <c r="D712" s="61"/>
      <c r="E712" s="62"/>
      <c r="F712" s="63"/>
      <c r="G712" s="64"/>
    </row>
    <row r="713" spans="4:7" ht="14.25" customHeight="1">
      <c r="D713" s="61"/>
      <c r="E713" s="62"/>
      <c r="F713" s="63"/>
      <c r="G713" s="64"/>
    </row>
    <row r="714" spans="4:7" ht="14.25" customHeight="1">
      <c r="D714" s="61"/>
      <c r="E714" s="62"/>
      <c r="F714" s="63"/>
      <c r="G714" s="64"/>
    </row>
    <row r="715" spans="4:7" ht="14.25" customHeight="1">
      <c r="D715" s="61"/>
      <c r="E715" s="62"/>
      <c r="F715" s="63"/>
      <c r="G715" s="64"/>
    </row>
    <row r="716" spans="4:7" ht="14.25" customHeight="1">
      <c r="D716" s="61"/>
      <c r="E716" s="62"/>
      <c r="F716" s="63"/>
      <c r="G716" s="64"/>
    </row>
    <row r="717" spans="4:7" ht="14.25" customHeight="1">
      <c r="D717" s="61"/>
      <c r="E717" s="62"/>
      <c r="F717" s="63"/>
      <c r="G717" s="64"/>
    </row>
    <row r="718" spans="4:7" ht="14.25" customHeight="1">
      <c r="D718" s="61"/>
      <c r="E718" s="62"/>
      <c r="F718" s="63"/>
      <c r="G718" s="64"/>
    </row>
    <row r="719" spans="4:7" ht="14.25" customHeight="1">
      <c r="D719" s="61"/>
      <c r="E719" s="62"/>
      <c r="F719" s="63"/>
      <c r="G719" s="64"/>
    </row>
    <row r="720" spans="4:7" ht="14.25" customHeight="1">
      <c r="D720" s="61"/>
      <c r="E720" s="62"/>
      <c r="F720" s="63"/>
      <c r="G720" s="64"/>
    </row>
    <row r="721" spans="4:7" ht="14.25" customHeight="1">
      <c r="D721" s="61"/>
      <c r="E721" s="62"/>
      <c r="F721" s="63"/>
      <c r="G721" s="64"/>
    </row>
    <row r="722" spans="4:7" ht="14.25" customHeight="1">
      <c r="D722" s="61"/>
      <c r="E722" s="62"/>
      <c r="F722" s="63"/>
      <c r="G722" s="64"/>
    </row>
    <row r="723" spans="4:7" ht="14.25" customHeight="1">
      <c r="D723" s="61"/>
      <c r="E723" s="62"/>
      <c r="F723" s="63"/>
      <c r="G723" s="64"/>
    </row>
    <row r="724" spans="4:7" ht="14.25" customHeight="1">
      <c r="D724" s="61"/>
      <c r="E724" s="62"/>
      <c r="F724" s="63"/>
      <c r="G724" s="64"/>
    </row>
    <row r="725" spans="4:7" ht="14.25" customHeight="1">
      <c r="D725" s="61"/>
      <c r="E725" s="62"/>
      <c r="F725" s="63"/>
      <c r="G725" s="64"/>
    </row>
    <row r="726" spans="4:7" ht="14.25" customHeight="1">
      <c r="D726" s="61"/>
      <c r="E726" s="62"/>
      <c r="F726" s="63"/>
      <c r="G726" s="64"/>
    </row>
    <row r="727" spans="4:7" ht="14.25" customHeight="1">
      <c r="D727" s="61"/>
      <c r="E727" s="62"/>
      <c r="F727" s="63"/>
      <c r="G727" s="64"/>
    </row>
    <row r="728" spans="4:7" ht="14.25" customHeight="1">
      <c r="D728" s="61"/>
      <c r="E728" s="62"/>
      <c r="F728" s="63"/>
      <c r="G728" s="64"/>
    </row>
    <row r="729" spans="4:7" ht="14.25" customHeight="1">
      <c r="D729" s="61"/>
      <c r="E729" s="62"/>
      <c r="F729" s="63"/>
      <c r="G729" s="64"/>
    </row>
    <row r="730" spans="4:7" ht="14.25" customHeight="1">
      <c r="D730" s="61"/>
      <c r="E730" s="62"/>
      <c r="F730" s="63"/>
      <c r="G730" s="64"/>
    </row>
    <row r="731" spans="4:7" ht="14.25" customHeight="1">
      <c r="D731" s="61"/>
      <c r="E731" s="62"/>
      <c r="F731" s="63"/>
      <c r="G731" s="64"/>
    </row>
    <row r="732" spans="4:7" ht="14.25" customHeight="1">
      <c r="D732" s="61"/>
      <c r="E732" s="62"/>
      <c r="F732" s="63"/>
      <c r="G732" s="64"/>
    </row>
    <row r="733" spans="4:7" ht="14.25" customHeight="1">
      <c r="D733" s="61"/>
      <c r="E733" s="62"/>
      <c r="F733" s="63"/>
      <c r="G733" s="64"/>
    </row>
    <row r="734" spans="4:7" ht="14.25" customHeight="1">
      <c r="D734" s="61"/>
      <c r="E734" s="62"/>
      <c r="F734" s="63"/>
      <c r="G734" s="64"/>
    </row>
    <row r="735" spans="4:7" ht="14.25" customHeight="1">
      <c r="D735" s="61"/>
      <c r="E735" s="62"/>
      <c r="F735" s="63"/>
      <c r="G735" s="64"/>
    </row>
    <row r="736" spans="4:7" ht="14.25" customHeight="1">
      <c r="D736" s="61"/>
      <c r="E736" s="62"/>
      <c r="F736" s="63"/>
      <c r="G736" s="64"/>
    </row>
    <row r="737" spans="4:7" ht="14.25" customHeight="1">
      <c r="D737" s="61"/>
      <c r="E737" s="62"/>
      <c r="F737" s="63"/>
      <c r="G737" s="64"/>
    </row>
    <row r="738" spans="4:7" ht="14.25" customHeight="1">
      <c r="D738" s="61"/>
      <c r="E738" s="62"/>
      <c r="F738" s="63"/>
      <c r="G738" s="64"/>
    </row>
    <row r="739" spans="4:7" ht="14.25" customHeight="1">
      <c r="D739" s="61"/>
      <c r="E739" s="62"/>
      <c r="F739" s="63"/>
      <c r="G739" s="64"/>
    </row>
    <row r="740" spans="4:7" ht="14.25" customHeight="1">
      <c r="D740" s="61"/>
      <c r="E740" s="62"/>
      <c r="F740" s="63"/>
      <c r="G740" s="64"/>
    </row>
    <row r="741" spans="4:7" ht="14.25" customHeight="1">
      <c r="D741" s="61"/>
      <c r="E741" s="62"/>
      <c r="F741" s="63"/>
      <c r="G741" s="64"/>
    </row>
    <row r="742" spans="4:7" ht="14.25" customHeight="1">
      <c r="D742" s="61"/>
      <c r="E742" s="62"/>
      <c r="F742" s="63"/>
      <c r="G742" s="64"/>
    </row>
    <row r="743" spans="4:7" ht="14.25" customHeight="1">
      <c r="D743" s="61"/>
      <c r="E743" s="62"/>
      <c r="F743" s="63"/>
      <c r="G743" s="64"/>
    </row>
    <row r="744" spans="4:7" ht="14.25" customHeight="1">
      <c r="D744" s="61"/>
      <c r="E744" s="62"/>
      <c r="F744" s="63"/>
      <c r="G744" s="64"/>
    </row>
    <row r="745" spans="4:7" ht="14.25" customHeight="1">
      <c r="D745" s="61"/>
      <c r="E745" s="62"/>
      <c r="F745" s="63"/>
      <c r="G745" s="64"/>
    </row>
    <row r="746" spans="4:7" ht="14.25" customHeight="1">
      <c r="D746" s="61"/>
      <c r="E746" s="62"/>
      <c r="F746" s="63"/>
      <c r="G746" s="64"/>
    </row>
    <row r="747" spans="4:7" ht="14.25" customHeight="1">
      <c r="D747" s="61"/>
      <c r="E747" s="62"/>
      <c r="F747" s="63"/>
      <c r="G747" s="64"/>
    </row>
    <row r="748" spans="4:7" ht="14.25" customHeight="1">
      <c r="D748" s="61"/>
      <c r="E748" s="62"/>
      <c r="F748" s="63"/>
      <c r="G748" s="64"/>
    </row>
    <row r="749" spans="4:7" ht="14.25" customHeight="1">
      <c r="D749" s="61"/>
      <c r="E749" s="62"/>
      <c r="F749" s="63"/>
      <c r="G749" s="64"/>
    </row>
    <row r="750" spans="4:7" ht="14.25" customHeight="1">
      <c r="D750" s="61"/>
      <c r="E750" s="62"/>
      <c r="F750" s="63"/>
      <c r="G750" s="64"/>
    </row>
    <row r="751" spans="4:7" ht="14.25" customHeight="1">
      <c r="D751" s="61"/>
      <c r="E751" s="62"/>
      <c r="F751" s="63"/>
      <c r="G751" s="64"/>
    </row>
    <row r="752" spans="4:7" ht="14.25" customHeight="1">
      <c r="D752" s="61"/>
      <c r="E752" s="62"/>
      <c r="F752" s="63"/>
      <c r="G752" s="64"/>
    </row>
    <row r="753" spans="4:7" ht="14.25" customHeight="1">
      <c r="D753" s="61"/>
      <c r="E753" s="62"/>
      <c r="F753" s="63"/>
      <c r="G753" s="64"/>
    </row>
    <row r="754" spans="4:7" ht="14.25" customHeight="1">
      <c r="D754" s="61"/>
      <c r="E754" s="62"/>
      <c r="F754" s="63"/>
      <c r="G754" s="64"/>
    </row>
    <row r="755" spans="4:7" ht="14.25" customHeight="1">
      <c r="D755" s="61"/>
      <c r="E755" s="62"/>
      <c r="F755" s="63"/>
      <c r="G755" s="64"/>
    </row>
    <row r="756" spans="4:7" ht="14.25" customHeight="1">
      <c r="D756" s="61"/>
      <c r="E756" s="62"/>
      <c r="F756" s="63"/>
      <c r="G756" s="64"/>
    </row>
    <row r="757" spans="4:7" ht="14.25" customHeight="1">
      <c r="D757" s="61"/>
      <c r="E757" s="62"/>
      <c r="F757" s="63"/>
      <c r="G757" s="64"/>
    </row>
    <row r="758" spans="4:7" ht="14.25" customHeight="1">
      <c r="D758" s="61"/>
      <c r="E758" s="62"/>
      <c r="F758" s="63"/>
      <c r="G758" s="64"/>
    </row>
    <row r="759" spans="4:7" ht="14.25" customHeight="1">
      <c r="D759" s="61"/>
      <c r="E759" s="62"/>
      <c r="F759" s="63"/>
      <c r="G759" s="64"/>
    </row>
    <row r="760" spans="4:7" ht="14.25" customHeight="1">
      <c r="D760" s="61"/>
      <c r="E760" s="62"/>
      <c r="F760" s="63"/>
      <c r="G760" s="64"/>
    </row>
    <row r="761" spans="4:7" ht="14.25" customHeight="1">
      <c r="D761" s="61"/>
      <c r="E761" s="62"/>
      <c r="F761" s="63"/>
      <c r="G761" s="64"/>
    </row>
    <row r="762" spans="4:7" ht="14.25" customHeight="1">
      <c r="D762" s="61"/>
      <c r="E762" s="62"/>
      <c r="F762" s="63"/>
      <c r="G762" s="64"/>
    </row>
    <row r="763" spans="4:7" ht="14.25" customHeight="1">
      <c r="D763" s="61"/>
      <c r="E763" s="62"/>
      <c r="F763" s="63"/>
      <c r="G763" s="64"/>
    </row>
    <row r="764" spans="4:7" ht="14.25" customHeight="1">
      <c r="D764" s="61"/>
      <c r="E764" s="62"/>
      <c r="F764" s="63"/>
      <c r="G764" s="64"/>
    </row>
    <row r="765" spans="4:7" ht="14.25" customHeight="1">
      <c r="D765" s="61"/>
      <c r="E765" s="62"/>
      <c r="F765" s="63"/>
      <c r="G765" s="64"/>
    </row>
    <row r="766" spans="4:7" ht="14.25" customHeight="1">
      <c r="D766" s="61"/>
      <c r="E766" s="62"/>
      <c r="F766" s="63"/>
      <c r="G766" s="64"/>
    </row>
    <row r="767" spans="4:7" ht="14.25" customHeight="1">
      <c r="D767" s="61"/>
      <c r="E767" s="62"/>
      <c r="F767" s="63"/>
      <c r="G767" s="64"/>
    </row>
    <row r="768" spans="4:7" ht="14.25" customHeight="1">
      <c r="D768" s="61"/>
      <c r="E768" s="62"/>
      <c r="F768" s="63"/>
      <c r="G768" s="64"/>
    </row>
    <row r="769" spans="4:7" ht="14.25" customHeight="1">
      <c r="D769" s="61"/>
      <c r="E769" s="62"/>
      <c r="F769" s="63"/>
      <c r="G769" s="64"/>
    </row>
    <row r="770" spans="4:7" ht="14.25" customHeight="1">
      <c r="D770" s="61"/>
      <c r="E770" s="62"/>
      <c r="F770" s="63"/>
      <c r="G770" s="64"/>
    </row>
    <row r="771" spans="4:7" ht="14.25" customHeight="1">
      <c r="D771" s="61"/>
      <c r="E771" s="62"/>
      <c r="F771" s="63"/>
      <c r="G771" s="64"/>
    </row>
    <row r="772" spans="4:7" ht="14.25" customHeight="1">
      <c r="D772" s="61"/>
      <c r="E772" s="62"/>
      <c r="F772" s="63"/>
      <c r="G772" s="64"/>
    </row>
    <row r="773" spans="4:7" ht="14.25" customHeight="1">
      <c r="D773" s="61"/>
      <c r="E773" s="62"/>
      <c r="F773" s="63"/>
      <c r="G773" s="64"/>
    </row>
    <row r="774" spans="4:7" ht="14.25" customHeight="1">
      <c r="D774" s="61"/>
      <c r="E774" s="62"/>
      <c r="F774" s="63"/>
      <c r="G774" s="64"/>
    </row>
    <row r="775" spans="4:7" ht="14.25" customHeight="1">
      <c r="D775" s="61"/>
      <c r="E775" s="62"/>
      <c r="F775" s="63"/>
      <c r="G775" s="64"/>
    </row>
    <row r="776" spans="4:7" ht="14.25" customHeight="1">
      <c r="D776" s="61"/>
      <c r="E776" s="62"/>
      <c r="F776" s="63"/>
      <c r="G776" s="64"/>
    </row>
    <row r="777" spans="4:7" ht="14.25" customHeight="1">
      <c r="D777" s="61"/>
      <c r="E777" s="62"/>
      <c r="F777" s="63"/>
      <c r="G777" s="64"/>
    </row>
    <row r="778" spans="4:7" ht="14.25" customHeight="1">
      <c r="D778" s="61"/>
      <c r="E778" s="62"/>
      <c r="F778" s="63"/>
      <c r="G778" s="64"/>
    </row>
    <row r="779" spans="4:7" ht="14.25" customHeight="1">
      <c r="D779" s="61"/>
      <c r="E779" s="62"/>
      <c r="F779" s="63"/>
      <c r="G779" s="64"/>
    </row>
    <row r="780" spans="4:7" ht="14.25" customHeight="1">
      <c r="D780" s="61"/>
      <c r="E780" s="62"/>
      <c r="F780" s="63"/>
      <c r="G780" s="64"/>
    </row>
    <row r="781" spans="4:7" ht="14.25" customHeight="1">
      <c r="D781" s="61"/>
      <c r="E781" s="62"/>
      <c r="F781" s="63"/>
      <c r="G781" s="64"/>
    </row>
    <row r="782" spans="4:7" ht="14.25" customHeight="1">
      <c r="D782" s="61"/>
      <c r="E782" s="62"/>
      <c r="F782" s="63"/>
      <c r="G782" s="64"/>
    </row>
    <row r="783" spans="4:7" ht="14.25" customHeight="1">
      <c r="D783" s="61"/>
      <c r="E783" s="62"/>
      <c r="F783" s="63"/>
      <c r="G783" s="64"/>
    </row>
    <row r="784" spans="4:7" ht="14.25" customHeight="1">
      <c r="D784" s="61"/>
      <c r="E784" s="62"/>
      <c r="F784" s="63"/>
      <c r="G784" s="64"/>
    </row>
    <row r="785" spans="4:7" ht="14.25" customHeight="1">
      <c r="D785" s="61"/>
      <c r="E785" s="62"/>
      <c r="F785" s="63"/>
      <c r="G785" s="64"/>
    </row>
    <row r="786" spans="4:7" ht="14.25" customHeight="1">
      <c r="D786" s="61"/>
      <c r="E786" s="62"/>
      <c r="F786" s="63"/>
      <c r="G786" s="64"/>
    </row>
    <row r="787" spans="4:7" ht="14.25" customHeight="1">
      <c r="D787" s="61"/>
      <c r="E787" s="62"/>
      <c r="F787" s="63"/>
      <c r="G787" s="64"/>
    </row>
    <row r="788" spans="4:7" ht="14.25" customHeight="1">
      <c r="D788" s="61"/>
      <c r="E788" s="62"/>
      <c r="F788" s="63"/>
      <c r="G788" s="64"/>
    </row>
    <row r="789" spans="4:7" ht="14.25" customHeight="1">
      <c r="D789" s="61"/>
      <c r="E789" s="62"/>
      <c r="F789" s="63"/>
      <c r="G789" s="64"/>
    </row>
    <row r="790" spans="4:7" ht="14.25" customHeight="1">
      <c r="D790" s="61"/>
      <c r="E790" s="62"/>
      <c r="F790" s="63"/>
      <c r="G790" s="64"/>
    </row>
    <row r="791" spans="4:7" ht="14.25" customHeight="1">
      <c r="D791" s="61"/>
      <c r="E791" s="62"/>
      <c r="F791" s="63"/>
      <c r="G791" s="64"/>
    </row>
    <row r="792" spans="4:7" ht="14.25" customHeight="1">
      <c r="D792" s="61"/>
      <c r="E792" s="62"/>
      <c r="F792" s="63"/>
      <c r="G792" s="64"/>
    </row>
    <row r="793" spans="4:7" ht="14.25" customHeight="1">
      <c r="D793" s="61"/>
      <c r="E793" s="62"/>
      <c r="F793" s="63"/>
      <c r="G793" s="64"/>
    </row>
    <row r="794" spans="4:7" ht="14.25" customHeight="1">
      <c r="D794" s="61"/>
      <c r="E794" s="62"/>
      <c r="F794" s="63"/>
      <c r="G794" s="64"/>
    </row>
    <row r="795" spans="4:7" ht="14.25" customHeight="1">
      <c r="D795" s="61"/>
      <c r="E795" s="62"/>
      <c r="F795" s="63"/>
      <c r="G795" s="64"/>
    </row>
    <row r="796" spans="4:7" ht="14.25" customHeight="1">
      <c r="D796" s="61"/>
      <c r="E796" s="62"/>
      <c r="F796" s="63"/>
      <c r="G796" s="64"/>
    </row>
    <row r="797" spans="4:7" ht="14.25" customHeight="1">
      <c r="D797" s="61"/>
      <c r="E797" s="62"/>
      <c r="F797" s="63"/>
      <c r="G797" s="64"/>
    </row>
    <row r="798" spans="4:7" ht="14.25" customHeight="1">
      <c r="D798" s="61"/>
      <c r="E798" s="62"/>
      <c r="F798" s="63"/>
      <c r="G798" s="64"/>
    </row>
    <row r="799" spans="4:7" ht="14.25" customHeight="1">
      <c r="D799" s="61"/>
      <c r="E799" s="62"/>
      <c r="F799" s="63"/>
      <c r="G799" s="64"/>
    </row>
    <row r="800" spans="4:7" ht="14.25" customHeight="1">
      <c r="D800" s="61"/>
      <c r="E800" s="62"/>
      <c r="F800" s="63"/>
      <c r="G800" s="64"/>
    </row>
    <row r="801" spans="4:7" ht="14.25" customHeight="1">
      <c r="D801" s="61"/>
      <c r="E801" s="62"/>
      <c r="F801" s="63"/>
      <c r="G801" s="64"/>
    </row>
    <row r="802" spans="4:7" ht="14.25" customHeight="1">
      <c r="D802" s="61"/>
      <c r="E802" s="62"/>
      <c r="F802" s="63"/>
      <c r="G802" s="64"/>
    </row>
    <row r="803" spans="4:7" ht="14.25" customHeight="1">
      <c r="D803" s="61"/>
      <c r="E803" s="62"/>
      <c r="F803" s="63"/>
      <c r="G803" s="64"/>
    </row>
    <row r="804" spans="4:7" ht="14.25" customHeight="1">
      <c r="D804" s="61"/>
      <c r="E804" s="62"/>
      <c r="F804" s="63"/>
      <c r="G804" s="64"/>
    </row>
    <row r="805" spans="4:7" ht="14.25" customHeight="1">
      <c r="D805" s="61"/>
      <c r="E805" s="62"/>
      <c r="F805" s="63"/>
      <c r="G805" s="64"/>
    </row>
    <row r="806" spans="4:7" ht="14.25" customHeight="1">
      <c r="D806" s="61"/>
      <c r="E806" s="62"/>
      <c r="F806" s="63"/>
      <c r="G806" s="64"/>
    </row>
    <row r="807" spans="4:7" ht="14.25" customHeight="1">
      <c r="D807" s="61"/>
      <c r="E807" s="62"/>
      <c r="F807" s="63"/>
      <c r="G807" s="64"/>
    </row>
    <row r="808" spans="4:7" ht="14.25" customHeight="1">
      <c r="D808" s="61"/>
      <c r="E808" s="62"/>
      <c r="F808" s="63"/>
      <c r="G808" s="64"/>
    </row>
    <row r="809" spans="4:7" ht="14.25" customHeight="1">
      <c r="D809" s="61"/>
      <c r="E809" s="62"/>
      <c r="F809" s="63"/>
      <c r="G809" s="64"/>
    </row>
    <row r="810" spans="4:7" ht="14.25" customHeight="1">
      <c r="D810" s="61"/>
      <c r="E810" s="62"/>
      <c r="F810" s="63"/>
      <c r="G810" s="64"/>
    </row>
    <row r="811" spans="4:7" ht="14.25" customHeight="1">
      <c r="D811" s="61"/>
      <c r="E811" s="62"/>
      <c r="F811" s="63"/>
      <c r="G811" s="64"/>
    </row>
    <row r="812" spans="4:7" ht="14.25" customHeight="1">
      <c r="D812" s="61"/>
      <c r="E812" s="62"/>
      <c r="F812" s="63"/>
      <c r="G812" s="64"/>
    </row>
    <row r="813" spans="4:7" ht="14.25" customHeight="1">
      <c r="D813" s="61"/>
      <c r="E813" s="62"/>
      <c r="F813" s="63"/>
      <c r="G813" s="64"/>
    </row>
    <row r="814" spans="4:7" ht="14.25" customHeight="1">
      <c r="D814" s="61"/>
      <c r="E814" s="62"/>
      <c r="F814" s="63"/>
      <c r="G814" s="64"/>
    </row>
    <row r="815" spans="4:7" ht="14.25" customHeight="1">
      <c r="D815" s="61"/>
      <c r="E815" s="62"/>
      <c r="F815" s="63"/>
      <c r="G815" s="64"/>
    </row>
    <row r="816" spans="4:7" ht="14.25" customHeight="1">
      <c r="D816" s="61"/>
      <c r="E816" s="62"/>
      <c r="F816" s="63"/>
      <c r="G816" s="64"/>
    </row>
    <row r="817" spans="4:7" ht="14.25" customHeight="1">
      <c r="D817" s="61"/>
      <c r="E817" s="62"/>
      <c r="F817" s="63"/>
      <c r="G817" s="64"/>
    </row>
    <row r="818" spans="4:7" ht="14.25" customHeight="1">
      <c r="D818" s="61"/>
      <c r="E818" s="62"/>
      <c r="F818" s="63"/>
      <c r="G818" s="64"/>
    </row>
    <row r="819" spans="4:7" ht="14.25" customHeight="1">
      <c r="D819" s="61"/>
      <c r="E819" s="62"/>
      <c r="F819" s="63"/>
      <c r="G819" s="64"/>
    </row>
    <row r="820" spans="4:7" ht="14.25" customHeight="1">
      <c r="D820" s="61"/>
      <c r="E820" s="62"/>
      <c r="F820" s="63"/>
      <c r="G820" s="64"/>
    </row>
    <row r="821" spans="4:7" ht="14.25" customHeight="1">
      <c r="D821" s="61"/>
      <c r="E821" s="62"/>
      <c r="F821" s="63"/>
      <c r="G821" s="64"/>
    </row>
    <row r="822" spans="4:7" ht="14.25" customHeight="1">
      <c r="D822" s="61"/>
      <c r="E822" s="62"/>
      <c r="F822" s="63"/>
      <c r="G822" s="64"/>
    </row>
    <row r="823" spans="4:7" ht="14.25" customHeight="1">
      <c r="D823" s="61"/>
      <c r="E823" s="62"/>
      <c r="F823" s="63"/>
      <c r="G823" s="64"/>
    </row>
    <row r="824" spans="4:7" ht="14.25" customHeight="1">
      <c r="D824" s="61"/>
      <c r="E824" s="62"/>
      <c r="F824" s="63"/>
      <c r="G824" s="64"/>
    </row>
    <row r="825" spans="4:7" ht="14.25" customHeight="1">
      <c r="D825" s="61"/>
      <c r="E825" s="62"/>
      <c r="F825" s="63"/>
      <c r="G825" s="64"/>
    </row>
    <row r="826" spans="4:7" ht="14.25" customHeight="1">
      <c r="D826" s="61"/>
      <c r="E826" s="62"/>
      <c r="F826" s="63"/>
      <c r="G826" s="64"/>
    </row>
    <row r="827" spans="4:7" ht="14.25" customHeight="1">
      <c r="D827" s="61"/>
      <c r="E827" s="62"/>
      <c r="F827" s="63"/>
      <c r="G827" s="64"/>
    </row>
    <row r="828" spans="4:7" ht="14.25" customHeight="1">
      <c r="D828" s="61"/>
      <c r="E828" s="62"/>
      <c r="F828" s="63"/>
      <c r="G828" s="64"/>
    </row>
    <row r="829" spans="4:7" ht="14.25" customHeight="1">
      <c r="D829" s="61"/>
      <c r="E829" s="62"/>
      <c r="F829" s="63"/>
      <c r="G829" s="64"/>
    </row>
    <row r="830" spans="4:7" ht="14.25" customHeight="1">
      <c r="D830" s="61"/>
      <c r="E830" s="62"/>
      <c r="F830" s="63"/>
      <c r="G830" s="64"/>
    </row>
    <row r="831" spans="4:7" ht="14.25" customHeight="1">
      <c r="D831" s="61"/>
      <c r="E831" s="62"/>
      <c r="F831" s="63"/>
      <c r="G831" s="64"/>
    </row>
    <row r="832" spans="4:7" ht="14.25" customHeight="1">
      <c r="D832" s="61"/>
      <c r="E832" s="62"/>
      <c r="F832" s="63"/>
      <c r="G832" s="64"/>
    </row>
    <row r="833" spans="4:7" ht="14.25" customHeight="1">
      <c r="D833" s="61"/>
      <c r="E833" s="62"/>
      <c r="F833" s="63"/>
      <c r="G833" s="64"/>
    </row>
    <row r="834" spans="4:7" ht="14.25" customHeight="1">
      <c r="D834" s="61"/>
      <c r="E834" s="62"/>
      <c r="F834" s="63"/>
      <c r="G834" s="64"/>
    </row>
    <row r="835" spans="4:7" ht="14.25" customHeight="1">
      <c r="D835" s="61"/>
      <c r="E835" s="62"/>
      <c r="F835" s="63"/>
      <c r="G835" s="64"/>
    </row>
    <row r="836" spans="4:7" ht="14.25" customHeight="1">
      <c r="D836" s="61"/>
      <c r="E836" s="62"/>
      <c r="F836" s="63"/>
      <c r="G836" s="64"/>
    </row>
    <row r="837" spans="4:7" ht="14.25" customHeight="1">
      <c r="D837" s="61"/>
      <c r="E837" s="62"/>
      <c r="F837" s="63"/>
      <c r="G837" s="64"/>
    </row>
    <row r="838" spans="4:7" ht="14.25" customHeight="1">
      <c r="D838" s="61"/>
      <c r="E838" s="62"/>
      <c r="F838" s="63"/>
      <c r="G838" s="64"/>
    </row>
    <row r="839" spans="4:7" ht="14.25" customHeight="1">
      <c r="D839" s="61"/>
      <c r="E839" s="62"/>
      <c r="F839" s="63"/>
      <c r="G839" s="64"/>
    </row>
    <row r="840" spans="4:7" ht="14.25" customHeight="1">
      <c r="D840" s="61"/>
      <c r="E840" s="62"/>
      <c r="F840" s="63"/>
      <c r="G840" s="64"/>
    </row>
    <row r="841" spans="4:7" ht="14.25" customHeight="1">
      <c r="D841" s="61"/>
      <c r="E841" s="62"/>
      <c r="F841" s="63"/>
      <c r="G841" s="64"/>
    </row>
    <row r="842" spans="4:7" ht="14.25" customHeight="1">
      <c r="D842" s="61"/>
      <c r="E842" s="62"/>
      <c r="F842" s="63"/>
      <c r="G842" s="64"/>
    </row>
    <row r="843" spans="4:7" ht="14.25" customHeight="1">
      <c r="D843" s="61"/>
      <c r="E843" s="62"/>
      <c r="F843" s="63"/>
      <c r="G843" s="64"/>
    </row>
    <row r="844" spans="4:7" ht="14.25" customHeight="1">
      <c r="D844" s="61"/>
      <c r="E844" s="62"/>
      <c r="F844" s="63"/>
      <c r="G844" s="64"/>
    </row>
    <row r="845" spans="4:7" ht="14.25" customHeight="1">
      <c r="D845" s="61"/>
      <c r="E845" s="62"/>
      <c r="F845" s="63"/>
      <c r="G845" s="64"/>
    </row>
    <row r="846" spans="4:7" ht="14.25" customHeight="1">
      <c r="D846" s="61"/>
      <c r="E846" s="62"/>
      <c r="F846" s="63"/>
      <c r="G846" s="64"/>
    </row>
    <row r="847" spans="4:7" ht="14.25" customHeight="1">
      <c r="D847" s="61"/>
      <c r="E847" s="62"/>
      <c r="F847" s="63"/>
      <c r="G847" s="64"/>
    </row>
    <row r="848" spans="4:7" ht="14.25" customHeight="1">
      <c r="D848" s="61"/>
      <c r="E848" s="62"/>
      <c r="F848" s="63"/>
      <c r="G848" s="64"/>
    </row>
    <row r="849" spans="4:7" ht="14.25" customHeight="1">
      <c r="D849" s="61"/>
      <c r="E849" s="62"/>
      <c r="F849" s="63"/>
      <c r="G849" s="64"/>
    </row>
    <row r="850" spans="4:7" ht="14.25" customHeight="1">
      <c r="D850" s="61"/>
      <c r="E850" s="62"/>
      <c r="F850" s="63"/>
      <c r="G850" s="64"/>
    </row>
    <row r="851" spans="4:7" ht="14.25" customHeight="1">
      <c r="D851" s="61"/>
      <c r="E851" s="62"/>
      <c r="F851" s="63"/>
      <c r="G851" s="64"/>
    </row>
    <row r="852" spans="4:7" ht="14.25" customHeight="1">
      <c r="D852" s="61"/>
      <c r="E852" s="62"/>
      <c r="F852" s="63"/>
      <c r="G852" s="64"/>
    </row>
    <row r="853" spans="4:7" ht="14.25" customHeight="1">
      <c r="D853" s="61"/>
      <c r="E853" s="62"/>
      <c r="F853" s="63"/>
      <c r="G853" s="64"/>
    </row>
    <row r="854" spans="4:7" ht="14.25" customHeight="1">
      <c r="D854" s="61"/>
      <c r="E854" s="62"/>
      <c r="F854" s="63"/>
      <c r="G854" s="64"/>
    </row>
    <row r="855" spans="4:7" ht="14.25" customHeight="1">
      <c r="D855" s="61"/>
      <c r="E855" s="62"/>
      <c r="F855" s="63"/>
      <c r="G855" s="64"/>
    </row>
    <row r="856" spans="4:7" ht="14.25" customHeight="1">
      <c r="D856" s="61"/>
      <c r="E856" s="62"/>
      <c r="F856" s="63"/>
      <c r="G856" s="64"/>
    </row>
    <row r="857" spans="4:7" ht="14.25" customHeight="1">
      <c r="D857" s="61"/>
      <c r="E857" s="62"/>
      <c r="F857" s="63"/>
      <c r="G857" s="64"/>
    </row>
    <row r="858" spans="4:7" ht="14.25" customHeight="1">
      <c r="D858" s="61"/>
      <c r="E858" s="62"/>
      <c r="F858" s="63"/>
      <c r="G858" s="64"/>
    </row>
    <row r="859" spans="4:7" ht="14.25" customHeight="1">
      <c r="D859" s="61"/>
      <c r="E859" s="62"/>
      <c r="F859" s="63"/>
      <c r="G859" s="64"/>
    </row>
    <row r="860" spans="4:7" ht="14.25" customHeight="1">
      <c r="D860" s="61"/>
      <c r="E860" s="62"/>
      <c r="F860" s="63"/>
      <c r="G860" s="64"/>
    </row>
    <row r="861" spans="4:7" ht="14.25" customHeight="1">
      <c r="D861" s="61"/>
      <c r="E861" s="62"/>
      <c r="F861" s="63"/>
      <c r="G861" s="64"/>
    </row>
    <row r="862" spans="4:7" ht="14.25" customHeight="1">
      <c r="D862" s="61"/>
      <c r="E862" s="62"/>
      <c r="F862" s="63"/>
      <c r="G862" s="64"/>
    </row>
    <row r="863" spans="4:7" ht="14.25" customHeight="1">
      <c r="D863" s="61"/>
      <c r="E863" s="62"/>
      <c r="F863" s="63"/>
      <c r="G863" s="64"/>
    </row>
    <row r="864" spans="4:7" ht="14.25" customHeight="1">
      <c r="D864" s="61"/>
      <c r="E864" s="62"/>
      <c r="F864" s="63"/>
      <c r="G864" s="64"/>
    </row>
    <row r="865" spans="4:7" ht="14.25" customHeight="1">
      <c r="D865" s="61"/>
      <c r="E865" s="62"/>
      <c r="F865" s="63"/>
      <c r="G865" s="64"/>
    </row>
    <row r="866" spans="4:7" ht="14.25" customHeight="1">
      <c r="D866" s="61"/>
      <c r="E866" s="62"/>
      <c r="F866" s="63"/>
      <c r="G866" s="64"/>
    </row>
    <row r="867" spans="4:7" ht="14.25" customHeight="1">
      <c r="D867" s="61"/>
      <c r="E867" s="62"/>
      <c r="F867" s="63"/>
      <c r="G867" s="64"/>
    </row>
    <row r="868" spans="4:7" ht="14.25" customHeight="1">
      <c r="D868" s="61"/>
      <c r="E868" s="62"/>
      <c r="F868" s="63"/>
      <c r="G868" s="64"/>
    </row>
    <row r="869" spans="4:7" ht="14.25" customHeight="1">
      <c r="D869" s="61"/>
      <c r="E869" s="62"/>
      <c r="F869" s="63"/>
      <c r="G869" s="64"/>
    </row>
    <row r="870" spans="4:7" ht="14.25" customHeight="1">
      <c r="D870" s="61"/>
      <c r="E870" s="62"/>
      <c r="F870" s="63"/>
      <c r="G870" s="64"/>
    </row>
    <row r="871" spans="4:7" ht="14.25" customHeight="1">
      <c r="D871" s="61"/>
      <c r="E871" s="62"/>
      <c r="F871" s="63"/>
      <c r="G871" s="64"/>
    </row>
    <row r="872" spans="4:7" ht="14.25" customHeight="1">
      <c r="D872" s="61"/>
      <c r="E872" s="62"/>
      <c r="F872" s="63"/>
      <c r="G872" s="64"/>
    </row>
    <row r="873" spans="4:7" ht="14.25" customHeight="1">
      <c r="D873" s="61"/>
      <c r="E873" s="62"/>
      <c r="F873" s="63"/>
      <c r="G873" s="64"/>
    </row>
    <row r="874" spans="4:7" ht="14.25" customHeight="1">
      <c r="D874" s="61"/>
      <c r="E874" s="62"/>
      <c r="F874" s="63"/>
      <c r="G874" s="64"/>
    </row>
    <row r="875" spans="4:7" ht="14.25" customHeight="1">
      <c r="D875" s="61"/>
      <c r="E875" s="62"/>
      <c r="F875" s="63"/>
      <c r="G875" s="64"/>
    </row>
    <row r="876" spans="4:7" ht="14.25" customHeight="1">
      <c r="D876" s="61"/>
      <c r="E876" s="62"/>
      <c r="F876" s="63"/>
      <c r="G876" s="64"/>
    </row>
    <row r="877" spans="4:7" ht="14.25" customHeight="1">
      <c r="D877" s="61"/>
      <c r="E877" s="62"/>
      <c r="F877" s="63"/>
      <c r="G877" s="64"/>
    </row>
    <row r="878" spans="4:7" ht="14.25" customHeight="1">
      <c r="D878" s="61"/>
      <c r="E878" s="62"/>
      <c r="F878" s="63"/>
      <c r="G878" s="64"/>
    </row>
    <row r="879" spans="4:7" ht="14.25" customHeight="1">
      <c r="D879" s="61"/>
      <c r="E879" s="62"/>
      <c r="F879" s="63"/>
      <c r="G879" s="64"/>
    </row>
    <row r="880" spans="4:7" ht="14.25" customHeight="1">
      <c r="D880" s="61"/>
      <c r="E880" s="62"/>
      <c r="F880" s="63"/>
      <c r="G880" s="64"/>
    </row>
    <row r="881" spans="4:7" ht="14.25" customHeight="1">
      <c r="D881" s="61"/>
      <c r="E881" s="62"/>
      <c r="F881" s="63"/>
      <c r="G881" s="64"/>
    </row>
    <row r="882" spans="4:7" ht="14.25" customHeight="1">
      <c r="D882" s="61"/>
      <c r="E882" s="62"/>
      <c r="F882" s="63"/>
      <c r="G882" s="64"/>
    </row>
    <row r="883" spans="4:7" ht="14.25" customHeight="1">
      <c r="D883" s="61"/>
      <c r="E883" s="62"/>
      <c r="F883" s="63"/>
      <c r="G883" s="64"/>
    </row>
    <row r="884" spans="4:7" ht="14.25" customHeight="1">
      <c r="D884" s="61"/>
      <c r="E884" s="62"/>
      <c r="F884" s="63"/>
      <c r="G884" s="64"/>
    </row>
    <row r="885" spans="4:7" ht="14.25" customHeight="1">
      <c r="D885" s="61"/>
      <c r="E885" s="62"/>
      <c r="F885" s="63"/>
      <c r="G885" s="64"/>
    </row>
    <row r="886" spans="4:7" ht="14.25" customHeight="1">
      <c r="D886" s="61"/>
      <c r="E886" s="62"/>
      <c r="F886" s="63"/>
      <c r="G886" s="64"/>
    </row>
    <row r="887" spans="4:7" ht="14.25" customHeight="1">
      <c r="D887" s="61"/>
      <c r="E887" s="62"/>
      <c r="F887" s="63"/>
      <c r="G887" s="64"/>
    </row>
    <row r="888" spans="4:7" ht="14.25" customHeight="1">
      <c r="D888" s="61"/>
      <c r="E888" s="62"/>
      <c r="F888" s="63"/>
      <c r="G888" s="64"/>
    </row>
    <row r="889" spans="4:7" ht="14.25" customHeight="1">
      <c r="D889" s="61"/>
      <c r="E889" s="62"/>
      <c r="F889" s="63"/>
      <c r="G889" s="64"/>
    </row>
    <row r="890" spans="4:7" ht="14.25" customHeight="1">
      <c r="D890" s="61"/>
      <c r="E890" s="62"/>
      <c r="F890" s="63"/>
      <c r="G890" s="64"/>
    </row>
    <row r="891" spans="4:7" ht="14.25" customHeight="1">
      <c r="D891" s="61"/>
      <c r="E891" s="62"/>
      <c r="F891" s="63"/>
      <c r="G891" s="64"/>
    </row>
    <row r="892" spans="4:7" ht="14.25" customHeight="1">
      <c r="D892" s="61"/>
      <c r="E892" s="62"/>
      <c r="F892" s="63"/>
      <c r="G892" s="64"/>
    </row>
    <row r="893" spans="4:7" ht="14.25" customHeight="1">
      <c r="D893" s="61"/>
      <c r="E893" s="62"/>
      <c r="F893" s="63"/>
      <c r="G893" s="64"/>
    </row>
    <row r="894" spans="4:7" ht="14.25" customHeight="1">
      <c r="D894" s="61"/>
      <c r="E894" s="62"/>
      <c r="F894" s="63"/>
      <c r="G894" s="64"/>
    </row>
    <row r="895" spans="4:7" ht="14.25" customHeight="1">
      <c r="D895" s="61"/>
      <c r="E895" s="62"/>
      <c r="F895" s="63"/>
      <c r="G895" s="64"/>
    </row>
    <row r="896" spans="4:7" ht="14.25" customHeight="1">
      <c r="D896" s="61"/>
      <c r="E896" s="62"/>
      <c r="F896" s="63"/>
      <c r="G896" s="64"/>
    </row>
    <row r="897" spans="4:7" ht="14.25" customHeight="1">
      <c r="D897" s="61"/>
      <c r="E897" s="62"/>
      <c r="F897" s="63"/>
      <c r="G897" s="64"/>
    </row>
    <row r="898" spans="4:7" ht="14.25" customHeight="1">
      <c r="D898" s="61"/>
      <c r="E898" s="62"/>
      <c r="F898" s="63"/>
      <c r="G898" s="64"/>
    </row>
    <row r="899" spans="4:7" ht="14.25" customHeight="1">
      <c r="D899" s="61"/>
      <c r="E899" s="62"/>
      <c r="F899" s="63"/>
      <c r="G899" s="64"/>
    </row>
    <row r="900" spans="4:7" ht="14.25" customHeight="1">
      <c r="D900" s="61"/>
      <c r="E900" s="62"/>
      <c r="F900" s="63"/>
      <c r="G900" s="64"/>
    </row>
    <row r="901" spans="4:7" ht="14.25" customHeight="1">
      <c r="D901" s="61"/>
      <c r="E901" s="62"/>
      <c r="F901" s="63"/>
      <c r="G901" s="64"/>
    </row>
    <row r="902" spans="4:7" ht="14.25" customHeight="1">
      <c r="D902" s="61"/>
      <c r="E902" s="62"/>
      <c r="F902" s="63"/>
      <c r="G902" s="64"/>
    </row>
    <row r="903" spans="4:7" ht="14.25" customHeight="1">
      <c r="D903" s="61"/>
      <c r="E903" s="62"/>
      <c r="F903" s="63"/>
      <c r="G903" s="64"/>
    </row>
    <row r="904" spans="4:7" ht="14.25" customHeight="1">
      <c r="D904" s="61"/>
      <c r="E904" s="62"/>
      <c r="F904" s="63"/>
      <c r="G904" s="64"/>
    </row>
    <row r="905" spans="4:7" ht="14.25" customHeight="1">
      <c r="D905" s="61"/>
      <c r="E905" s="62"/>
      <c r="F905" s="63"/>
      <c r="G905" s="64"/>
    </row>
    <row r="906" spans="4:7" ht="14.25" customHeight="1">
      <c r="D906" s="61"/>
      <c r="E906" s="62"/>
      <c r="F906" s="63"/>
      <c r="G906" s="64"/>
    </row>
    <row r="907" spans="4:7" ht="14.25" customHeight="1">
      <c r="D907" s="61"/>
      <c r="E907" s="62"/>
      <c r="F907" s="63"/>
      <c r="G907" s="64"/>
    </row>
    <row r="908" spans="4:7" ht="14.25" customHeight="1">
      <c r="D908" s="61"/>
      <c r="E908" s="62"/>
      <c r="F908" s="63"/>
      <c r="G908" s="64"/>
    </row>
    <row r="909" spans="4:7" ht="14.25" customHeight="1">
      <c r="D909" s="61"/>
      <c r="E909" s="62"/>
      <c r="F909" s="63"/>
      <c r="G909" s="64"/>
    </row>
    <row r="910" spans="4:7" ht="14.25" customHeight="1">
      <c r="D910" s="61"/>
      <c r="E910" s="62"/>
      <c r="F910" s="63"/>
      <c r="G910" s="64"/>
    </row>
    <row r="911" spans="4:7" ht="14.25" customHeight="1">
      <c r="D911" s="61"/>
      <c r="E911" s="62"/>
      <c r="F911" s="63"/>
      <c r="G911" s="64"/>
    </row>
    <row r="912" spans="4:7" ht="14.25" customHeight="1">
      <c r="D912" s="61"/>
      <c r="E912" s="62"/>
      <c r="F912" s="63"/>
      <c r="G912" s="64"/>
    </row>
    <row r="913" spans="4:7" ht="14.25" customHeight="1">
      <c r="D913" s="61"/>
      <c r="E913" s="62"/>
      <c r="F913" s="63"/>
      <c r="G913" s="64"/>
    </row>
    <row r="914" spans="4:7" ht="14.25" customHeight="1">
      <c r="D914" s="61"/>
      <c r="E914" s="62"/>
      <c r="F914" s="63"/>
      <c r="G914" s="64"/>
    </row>
    <row r="915" spans="4:7" ht="14.25" customHeight="1">
      <c r="D915" s="61"/>
      <c r="E915" s="62"/>
      <c r="F915" s="63"/>
      <c r="G915" s="64"/>
    </row>
    <row r="916" spans="4:7" ht="14.25" customHeight="1">
      <c r="D916" s="61"/>
      <c r="E916" s="62"/>
      <c r="F916" s="63"/>
      <c r="G916" s="64"/>
    </row>
    <row r="917" spans="4:7" ht="14.25" customHeight="1">
      <c r="D917" s="61"/>
      <c r="E917" s="62"/>
      <c r="F917" s="63"/>
      <c r="G917" s="64"/>
    </row>
    <row r="918" spans="4:7" ht="14.25" customHeight="1">
      <c r="D918" s="61"/>
      <c r="E918" s="62"/>
      <c r="F918" s="63"/>
      <c r="G918" s="64"/>
    </row>
    <row r="919" spans="4:7" ht="14.25" customHeight="1">
      <c r="D919" s="61"/>
      <c r="E919" s="62"/>
      <c r="F919" s="63"/>
      <c r="G919" s="64"/>
    </row>
    <row r="920" spans="4:7" ht="14.25" customHeight="1">
      <c r="D920" s="61"/>
      <c r="E920" s="62"/>
      <c r="F920" s="63"/>
      <c r="G920" s="64"/>
    </row>
    <row r="921" spans="4:7" ht="14.25" customHeight="1">
      <c r="D921" s="61"/>
      <c r="E921" s="62"/>
      <c r="F921" s="63"/>
      <c r="G921" s="64"/>
    </row>
    <row r="922" spans="4:7" ht="14.25" customHeight="1">
      <c r="D922" s="61"/>
      <c r="E922" s="62"/>
      <c r="F922" s="63"/>
      <c r="G922" s="64"/>
    </row>
    <row r="923" spans="4:7" ht="14.25" customHeight="1">
      <c r="D923" s="61"/>
      <c r="E923" s="62"/>
      <c r="F923" s="63"/>
      <c r="G923" s="64"/>
    </row>
    <row r="924" spans="4:7" ht="14.25" customHeight="1">
      <c r="D924" s="61"/>
      <c r="E924" s="62"/>
      <c r="F924" s="63"/>
      <c r="G924" s="64"/>
    </row>
    <row r="925" spans="4:7" ht="14.25" customHeight="1">
      <c r="D925" s="61"/>
      <c r="E925" s="62"/>
      <c r="F925" s="63"/>
      <c r="G925" s="64"/>
    </row>
    <row r="926" spans="4:7" ht="14.25" customHeight="1">
      <c r="D926" s="61"/>
      <c r="E926" s="62"/>
      <c r="F926" s="63"/>
      <c r="G926" s="64"/>
    </row>
    <row r="927" spans="4:7" ht="14.25" customHeight="1">
      <c r="D927" s="61"/>
      <c r="E927" s="62"/>
      <c r="F927" s="63"/>
      <c r="G927" s="64"/>
    </row>
    <row r="928" spans="4:7" ht="14.25" customHeight="1">
      <c r="D928" s="61"/>
      <c r="E928" s="62"/>
      <c r="F928" s="63"/>
      <c r="G928" s="64"/>
    </row>
    <row r="929" spans="4:7" ht="14.25" customHeight="1">
      <c r="D929" s="61"/>
      <c r="E929" s="62"/>
      <c r="F929" s="63"/>
      <c r="G929" s="64"/>
    </row>
    <row r="930" spans="4:7" ht="14.25" customHeight="1">
      <c r="D930" s="61"/>
      <c r="E930" s="62"/>
      <c r="F930" s="63"/>
      <c r="G930" s="64"/>
    </row>
    <row r="931" spans="4:7" ht="14.25" customHeight="1">
      <c r="D931" s="61"/>
      <c r="E931" s="62"/>
      <c r="F931" s="63"/>
      <c r="G931" s="64"/>
    </row>
    <row r="932" spans="4:7" ht="14.25" customHeight="1">
      <c r="D932" s="61"/>
      <c r="E932" s="62"/>
      <c r="F932" s="63"/>
      <c r="G932" s="64"/>
    </row>
    <row r="933" spans="4:7" ht="14.25" customHeight="1">
      <c r="D933" s="61"/>
      <c r="E933" s="62"/>
      <c r="F933" s="63"/>
      <c r="G933" s="64"/>
    </row>
    <row r="934" spans="4:7" ht="14.25" customHeight="1">
      <c r="D934" s="61"/>
      <c r="E934" s="62"/>
      <c r="F934" s="63"/>
      <c r="G934" s="64"/>
    </row>
    <row r="935" spans="4:7" ht="14.25" customHeight="1">
      <c r="D935" s="61"/>
      <c r="E935" s="62"/>
      <c r="F935" s="63"/>
      <c r="G935" s="64"/>
    </row>
    <row r="936" spans="4:7" ht="14.25" customHeight="1">
      <c r="D936" s="61"/>
      <c r="E936" s="62"/>
      <c r="F936" s="63"/>
      <c r="G936" s="64"/>
    </row>
    <row r="937" spans="4:7" ht="14.25" customHeight="1">
      <c r="D937" s="61"/>
      <c r="E937" s="62"/>
      <c r="F937" s="63"/>
      <c r="G937" s="64"/>
    </row>
    <row r="938" spans="4:7" ht="14.25" customHeight="1">
      <c r="D938" s="61"/>
      <c r="E938" s="62"/>
      <c r="F938" s="63"/>
      <c r="G938" s="64"/>
    </row>
    <row r="939" spans="4:7" ht="14.25" customHeight="1">
      <c r="D939" s="61"/>
      <c r="E939" s="62"/>
      <c r="F939" s="63"/>
      <c r="G939" s="64"/>
    </row>
    <row r="940" spans="4:7" ht="14.25" customHeight="1">
      <c r="D940" s="61"/>
      <c r="E940" s="62"/>
      <c r="F940" s="63"/>
      <c r="G940" s="64"/>
    </row>
    <row r="941" spans="4:7" ht="14.25" customHeight="1">
      <c r="D941" s="61"/>
      <c r="E941" s="62"/>
      <c r="F941" s="63"/>
      <c r="G941" s="64"/>
    </row>
    <row r="942" spans="4:7" ht="14.25" customHeight="1">
      <c r="D942" s="61"/>
      <c r="E942" s="62"/>
      <c r="F942" s="63"/>
      <c r="G942" s="64"/>
    </row>
    <row r="943" spans="4:7" ht="14.25" customHeight="1">
      <c r="D943" s="61"/>
      <c r="E943" s="62"/>
      <c r="F943" s="63"/>
      <c r="G943" s="64"/>
    </row>
    <row r="944" spans="4:7" ht="14.25" customHeight="1">
      <c r="D944" s="61"/>
      <c r="E944" s="62"/>
      <c r="F944" s="63"/>
      <c r="G944" s="64"/>
    </row>
    <row r="945" spans="4:7" ht="14.25" customHeight="1">
      <c r="D945" s="61"/>
      <c r="E945" s="62"/>
      <c r="F945" s="63"/>
      <c r="G945" s="64"/>
    </row>
    <row r="946" spans="4:7" ht="14.25" customHeight="1">
      <c r="D946" s="61"/>
      <c r="E946" s="62"/>
      <c r="F946" s="63"/>
      <c r="G946" s="64"/>
    </row>
    <row r="947" spans="4:7" ht="14.25" customHeight="1">
      <c r="D947" s="61"/>
      <c r="E947" s="62"/>
      <c r="F947" s="63"/>
      <c r="G947" s="64"/>
    </row>
    <row r="948" spans="4:7" ht="14.25" customHeight="1">
      <c r="D948" s="61"/>
      <c r="E948" s="62"/>
      <c r="F948" s="63"/>
      <c r="G948" s="64"/>
    </row>
    <row r="949" spans="4:7" ht="14.25" customHeight="1">
      <c r="D949" s="61"/>
      <c r="E949" s="62"/>
      <c r="F949" s="63"/>
      <c r="G949" s="64"/>
    </row>
    <row r="950" spans="4:7" ht="14.25" customHeight="1">
      <c r="D950" s="61"/>
      <c r="E950" s="62"/>
      <c r="F950" s="63"/>
      <c r="G950" s="64"/>
    </row>
    <row r="951" spans="4:7" ht="14.25" customHeight="1">
      <c r="D951" s="61"/>
      <c r="E951" s="62"/>
      <c r="F951" s="63"/>
      <c r="G951" s="64"/>
    </row>
    <row r="952" spans="4:7" ht="14.25" customHeight="1">
      <c r="D952" s="61"/>
      <c r="E952" s="62"/>
      <c r="F952" s="63"/>
      <c r="G952" s="64"/>
    </row>
    <row r="953" spans="4:7" ht="14.25" customHeight="1">
      <c r="D953" s="61"/>
      <c r="E953" s="62"/>
      <c r="F953" s="63"/>
      <c r="G953" s="64"/>
    </row>
    <row r="954" spans="4:7" ht="14.25" customHeight="1">
      <c r="D954" s="61"/>
      <c r="E954" s="62"/>
      <c r="F954" s="63"/>
      <c r="G954" s="64"/>
    </row>
    <row r="955" spans="4:7" ht="14.25" customHeight="1">
      <c r="D955" s="61"/>
      <c r="E955" s="62"/>
      <c r="F955" s="63"/>
      <c r="G955" s="64"/>
    </row>
    <row r="956" spans="4:7" ht="14.25" customHeight="1">
      <c r="D956" s="61"/>
      <c r="E956" s="62"/>
      <c r="F956" s="63"/>
      <c r="G956" s="64"/>
    </row>
    <row r="957" spans="4:7" ht="14.25" customHeight="1">
      <c r="D957" s="61"/>
      <c r="E957" s="62"/>
      <c r="F957" s="63"/>
      <c r="G957" s="64"/>
    </row>
    <row r="958" spans="4:7" ht="14.25" customHeight="1">
      <c r="D958" s="61"/>
      <c r="E958" s="62"/>
      <c r="F958" s="63"/>
      <c r="G958" s="64"/>
    </row>
    <row r="959" spans="4:7" ht="14.25" customHeight="1">
      <c r="D959" s="61"/>
      <c r="E959" s="62"/>
      <c r="F959" s="63"/>
      <c r="G959" s="64"/>
    </row>
    <row r="960" spans="4:7" ht="14.25" customHeight="1">
      <c r="D960" s="61"/>
      <c r="E960" s="62"/>
      <c r="F960" s="63"/>
      <c r="G960" s="64"/>
    </row>
    <row r="961" spans="4:7" ht="14.25" customHeight="1">
      <c r="D961" s="61"/>
      <c r="E961" s="62"/>
      <c r="F961" s="63"/>
      <c r="G961" s="64"/>
    </row>
    <row r="962" spans="4:7" ht="14.25" customHeight="1">
      <c r="D962" s="61"/>
      <c r="E962" s="62"/>
      <c r="F962" s="63"/>
      <c r="G962" s="64"/>
    </row>
    <row r="963" spans="4:7" ht="14.25" customHeight="1">
      <c r="D963" s="61"/>
      <c r="E963" s="62"/>
      <c r="F963" s="63"/>
      <c r="G963" s="64"/>
    </row>
    <row r="964" spans="4:7" ht="14.25" customHeight="1">
      <c r="D964" s="61"/>
      <c r="E964" s="62"/>
      <c r="F964" s="63"/>
      <c r="G964" s="64"/>
    </row>
    <row r="965" spans="4:7" ht="14.25" customHeight="1">
      <c r="D965" s="61"/>
      <c r="E965" s="62"/>
      <c r="F965" s="63"/>
      <c r="G965" s="64"/>
    </row>
    <row r="966" spans="4:7" ht="14.25" customHeight="1">
      <c r="D966" s="61"/>
      <c r="E966" s="62"/>
      <c r="F966" s="63"/>
      <c r="G966" s="64"/>
    </row>
    <row r="967" spans="4:7" ht="14.25" customHeight="1">
      <c r="D967" s="61"/>
      <c r="E967" s="62"/>
      <c r="F967" s="63"/>
      <c r="G967" s="64"/>
    </row>
    <row r="968" spans="4:7" ht="14.25" customHeight="1">
      <c r="D968" s="61"/>
      <c r="E968" s="62"/>
      <c r="F968" s="63"/>
      <c r="G968" s="64"/>
    </row>
    <row r="969" spans="4:7" ht="14.25" customHeight="1">
      <c r="D969" s="61"/>
      <c r="E969" s="62"/>
      <c r="F969" s="63"/>
      <c r="G969" s="64"/>
    </row>
    <row r="970" spans="4:7" ht="14.25" customHeight="1">
      <c r="D970" s="61"/>
      <c r="E970" s="62"/>
      <c r="F970" s="63"/>
      <c r="G970" s="64"/>
    </row>
    <row r="971" spans="4:7" ht="14.25" customHeight="1">
      <c r="D971" s="61"/>
      <c r="E971" s="62"/>
      <c r="F971" s="63"/>
      <c r="G971" s="64"/>
    </row>
    <row r="972" spans="4:7" ht="14.25" customHeight="1">
      <c r="D972" s="61"/>
      <c r="E972" s="62"/>
      <c r="F972" s="63"/>
      <c r="G972" s="64"/>
    </row>
    <row r="973" spans="4:7" ht="14.25" customHeight="1">
      <c r="D973" s="61"/>
      <c r="E973" s="62"/>
      <c r="F973" s="63"/>
      <c r="G973" s="64"/>
    </row>
    <row r="974" spans="4:7" ht="14.25" customHeight="1">
      <c r="D974" s="61"/>
      <c r="E974" s="62"/>
      <c r="F974" s="63"/>
      <c r="G974" s="64"/>
    </row>
    <row r="975" spans="4:7" ht="14.25" customHeight="1">
      <c r="D975" s="61"/>
      <c r="E975" s="62"/>
      <c r="F975" s="63"/>
      <c r="G975" s="64"/>
    </row>
    <row r="976" spans="4:7" ht="14.25" customHeight="1">
      <c r="D976" s="61"/>
      <c r="E976" s="62"/>
      <c r="F976" s="63"/>
      <c r="G976" s="64"/>
    </row>
    <row r="977" spans="4:7" ht="14.25" customHeight="1">
      <c r="D977" s="61"/>
      <c r="E977" s="62"/>
      <c r="F977" s="63"/>
      <c r="G977" s="64"/>
    </row>
    <row r="978" spans="4:7" ht="14.25" customHeight="1">
      <c r="D978" s="61"/>
      <c r="E978" s="62"/>
      <c r="F978" s="63"/>
      <c r="G978" s="64"/>
    </row>
    <row r="979" spans="4:7" ht="14.25" customHeight="1">
      <c r="D979" s="61"/>
      <c r="E979" s="62"/>
      <c r="F979" s="63"/>
      <c r="G979" s="64"/>
    </row>
    <row r="980" spans="4:7" ht="14.25" customHeight="1">
      <c r="D980" s="61"/>
      <c r="E980" s="62"/>
      <c r="F980" s="63"/>
      <c r="G980" s="64"/>
    </row>
    <row r="981" spans="4:7" ht="14.25" customHeight="1">
      <c r="D981" s="61"/>
      <c r="E981" s="62"/>
      <c r="F981" s="63"/>
      <c r="G981" s="64"/>
    </row>
    <row r="982" spans="4:7" ht="14.25" customHeight="1">
      <c r="D982" s="61"/>
      <c r="E982" s="62"/>
      <c r="F982" s="63"/>
      <c r="G982" s="64"/>
    </row>
    <row r="983" spans="4:7" ht="14.25" customHeight="1">
      <c r="D983" s="61"/>
      <c r="E983" s="62"/>
      <c r="F983" s="63"/>
      <c r="G983" s="64"/>
    </row>
    <row r="984" spans="4:7" ht="14.25" customHeight="1">
      <c r="D984" s="61"/>
      <c r="E984" s="62"/>
      <c r="F984" s="63"/>
      <c r="G984" s="64"/>
    </row>
    <row r="985" spans="4:7" ht="14.25" customHeight="1">
      <c r="D985" s="61"/>
      <c r="E985" s="62"/>
      <c r="F985" s="63"/>
      <c r="G985" s="64"/>
    </row>
    <row r="986" spans="4:7" ht="14.25" customHeight="1">
      <c r="D986" s="61"/>
      <c r="E986" s="62"/>
      <c r="F986" s="63"/>
      <c r="G986" s="64"/>
    </row>
    <row r="987" spans="4:7" ht="14.25" customHeight="1">
      <c r="D987" s="61"/>
      <c r="E987" s="62"/>
      <c r="F987" s="63"/>
      <c r="G987" s="64"/>
    </row>
    <row r="988" spans="4:7" ht="14.25" customHeight="1">
      <c r="D988" s="61"/>
      <c r="E988" s="62"/>
      <c r="F988" s="63"/>
      <c r="G988" s="64"/>
    </row>
    <row r="989" spans="4:7" ht="14.25" customHeight="1">
      <c r="D989" s="61"/>
      <c r="E989" s="62"/>
      <c r="F989" s="63"/>
      <c r="G989" s="64"/>
    </row>
    <row r="990" spans="4:7" ht="14.25" customHeight="1">
      <c r="D990" s="61"/>
      <c r="E990" s="62"/>
      <c r="F990" s="63"/>
      <c r="G990" s="64"/>
    </row>
    <row r="991" spans="4:7" ht="14.25" customHeight="1">
      <c r="D991" s="61"/>
      <c r="E991" s="62"/>
      <c r="F991" s="63"/>
      <c r="G991" s="64"/>
    </row>
    <row r="992" spans="4:7" ht="14.25" customHeight="1">
      <c r="D992" s="61"/>
      <c r="E992" s="62"/>
      <c r="F992" s="63"/>
      <c r="G992" s="64"/>
    </row>
    <row r="993" spans="4:7" ht="14.25" customHeight="1">
      <c r="D993" s="61"/>
      <c r="E993" s="62"/>
      <c r="F993" s="63"/>
      <c r="G993" s="64"/>
    </row>
    <row r="994" spans="4:7" ht="14.25" customHeight="1">
      <c r="D994" s="61"/>
      <c r="E994" s="62"/>
      <c r="F994" s="63"/>
      <c r="G994" s="64"/>
    </row>
    <row r="995" spans="4:7" ht="14.25" customHeight="1">
      <c r="D995" s="61"/>
      <c r="E995" s="62"/>
      <c r="F995" s="63"/>
      <c r="G995" s="64"/>
    </row>
    <row r="996" spans="4:7" ht="14.25" customHeight="1">
      <c r="D996" s="61"/>
      <c r="E996" s="62"/>
      <c r="F996" s="63"/>
      <c r="G996" s="64"/>
    </row>
    <row r="997" spans="4:7" ht="14.25" customHeight="1">
      <c r="D997" s="61"/>
      <c r="E997" s="62"/>
      <c r="F997" s="63"/>
      <c r="G997" s="64"/>
    </row>
    <row r="998" spans="4:7" ht="14.25" customHeight="1">
      <c r="D998" s="61"/>
      <c r="E998" s="62"/>
      <c r="F998" s="63"/>
      <c r="G998" s="64"/>
    </row>
    <row r="999" spans="4:7" ht="14.25" customHeight="1">
      <c r="D999" s="61"/>
      <c r="E999" s="62"/>
      <c r="F999" s="63"/>
      <c r="G999" s="64"/>
    </row>
    <row r="1000" spans="4:7" ht="14.25" customHeight="1">
      <c r="D1000" s="61"/>
      <c r="E1000" s="62"/>
      <c r="F1000" s="63"/>
      <c r="G1000" s="64"/>
    </row>
    <row r="1001" spans="4:7" ht="14.25" customHeight="1">
      <c r="D1001" s="61"/>
      <c r="E1001" s="62"/>
      <c r="F1001" s="63"/>
      <c r="G1001" s="64"/>
    </row>
    <row r="1002" spans="4:7" ht="14.25" customHeight="1">
      <c r="D1002" s="61"/>
      <c r="E1002" s="62"/>
      <c r="F1002" s="63"/>
      <c r="G1002" s="64"/>
    </row>
    <row r="1003" spans="4:7" ht="14.25" customHeight="1">
      <c r="D1003" s="61"/>
      <c r="E1003" s="62"/>
      <c r="F1003" s="63"/>
      <c r="G1003" s="64"/>
    </row>
    <row r="1004" spans="4:7" ht="14.25" customHeight="1">
      <c r="D1004" s="61"/>
      <c r="E1004" s="62"/>
      <c r="F1004" s="63"/>
      <c r="G1004" s="64"/>
    </row>
    <row r="1005" spans="4:7" ht="14.25" customHeight="1">
      <c r="D1005" s="61"/>
      <c r="E1005" s="62"/>
      <c r="F1005" s="63"/>
      <c r="G1005" s="64"/>
    </row>
    <row r="1006" spans="4:7" ht="14.25" customHeight="1">
      <c r="D1006" s="61"/>
      <c r="E1006" s="62"/>
      <c r="F1006" s="63"/>
      <c r="G1006" s="64"/>
    </row>
    <row r="1007" spans="4:7" ht="14.25" customHeight="1">
      <c r="D1007" s="61"/>
      <c r="E1007" s="62"/>
      <c r="F1007" s="63"/>
      <c r="G1007" s="64"/>
    </row>
    <row r="1008" spans="4:7" ht="14.25" customHeight="1">
      <c r="D1008" s="61"/>
      <c r="E1008" s="62"/>
      <c r="F1008" s="63"/>
      <c r="G1008" s="64"/>
    </row>
    <row r="1009" ht="14.25" customHeight="1"/>
    <row r="1010" ht="14.25" customHeight="1"/>
  </sheetData>
  <mergeCells count="14">
    <mergeCell ref="O42:R42"/>
    <mergeCell ref="A1:B3"/>
    <mergeCell ref="D1:F1"/>
    <mergeCell ref="G1:J1"/>
    <mergeCell ref="K1:N1"/>
    <mergeCell ref="O1:R1"/>
    <mergeCell ref="D4:R4"/>
    <mergeCell ref="D13:R13"/>
    <mergeCell ref="A22:R22"/>
    <mergeCell ref="A5:A12"/>
    <mergeCell ref="A14:A21"/>
    <mergeCell ref="A23:A31"/>
    <mergeCell ref="D42:G42"/>
    <mergeCell ref="H42:K42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FF"/>
    <outlinePr summaryBelow="0" summaryRight="0"/>
  </sheetPr>
  <dimension ref="A1:P62"/>
  <sheetViews>
    <sheetView workbookViewId="0"/>
  </sheetViews>
  <sheetFormatPr defaultColWidth="14.42578125" defaultRowHeight="15" customHeight="1"/>
  <cols>
    <col min="1" max="1" width="20.140625" customWidth="1"/>
    <col min="2" max="2" width="15.42578125" customWidth="1"/>
    <col min="6" max="6" width="15.28515625" customWidth="1"/>
    <col min="10" max="10" width="15.7109375" customWidth="1"/>
  </cols>
  <sheetData>
    <row r="1" spans="1:16">
      <c r="A1" s="247" t="s">
        <v>108</v>
      </c>
      <c r="B1" s="248">
        <v>2022</v>
      </c>
      <c r="C1" s="222"/>
      <c r="D1" s="222"/>
      <c r="E1" s="248">
        <v>2023</v>
      </c>
      <c r="F1" s="222"/>
      <c r="G1" s="222"/>
      <c r="H1" s="222"/>
      <c r="I1" s="248">
        <v>2024</v>
      </c>
      <c r="J1" s="222"/>
      <c r="K1" s="222"/>
      <c r="L1" s="222"/>
      <c r="M1" s="245">
        <v>2025</v>
      </c>
      <c r="N1" s="222"/>
      <c r="O1" s="222"/>
      <c r="P1" s="223"/>
    </row>
    <row r="2" spans="1:16" ht="25.5" customHeight="1">
      <c r="A2" s="220"/>
      <c r="B2" s="25" t="s">
        <v>109</v>
      </c>
      <c r="C2" s="26" t="s">
        <v>110</v>
      </c>
      <c r="D2" s="125" t="s">
        <v>111</v>
      </c>
      <c r="E2" s="126" t="s">
        <v>112</v>
      </c>
      <c r="F2" s="25" t="s">
        <v>113</v>
      </c>
      <c r="G2" s="26" t="s">
        <v>114</v>
      </c>
      <c r="H2" s="125" t="s">
        <v>115</v>
      </c>
      <c r="I2" s="126" t="s">
        <v>116</v>
      </c>
      <c r="J2" s="25" t="s">
        <v>117</v>
      </c>
      <c r="K2" s="26" t="s">
        <v>118</v>
      </c>
      <c r="L2" s="125" t="s">
        <v>119</v>
      </c>
      <c r="M2" s="126" t="s">
        <v>120</v>
      </c>
      <c r="N2" s="25" t="s">
        <v>121</v>
      </c>
      <c r="O2" s="26" t="s">
        <v>118</v>
      </c>
      <c r="P2" s="125" t="s">
        <v>122</v>
      </c>
    </row>
    <row r="3" spans="1:16">
      <c r="A3" s="195" t="s">
        <v>47</v>
      </c>
      <c r="B3" s="109">
        <v>3320</v>
      </c>
      <c r="C3" s="109">
        <v>10320</v>
      </c>
      <c r="D3" s="109">
        <v>28360</v>
      </c>
      <c r="E3" s="195">
        <v>34240</v>
      </c>
      <c r="F3" s="195">
        <v>26800</v>
      </c>
      <c r="G3" s="195">
        <v>41840</v>
      </c>
      <c r="H3" s="196">
        <v>169640</v>
      </c>
      <c r="I3" s="195">
        <v>131880</v>
      </c>
      <c r="J3" s="195">
        <v>125940</v>
      </c>
      <c r="K3" s="195">
        <v>90560</v>
      </c>
      <c r="L3" s="195">
        <v>32920</v>
      </c>
      <c r="M3" s="196"/>
      <c r="N3" s="197"/>
      <c r="O3" s="197"/>
      <c r="P3" s="197"/>
    </row>
    <row r="4" spans="1:16">
      <c r="A4" s="195" t="s">
        <v>45</v>
      </c>
      <c r="B4" s="109">
        <v>1240</v>
      </c>
      <c r="C4" s="109">
        <v>400</v>
      </c>
      <c r="D4" s="109">
        <v>0</v>
      </c>
      <c r="E4" s="198">
        <v>2880</v>
      </c>
      <c r="F4" s="195">
        <v>3080</v>
      </c>
      <c r="G4" s="195">
        <v>2560</v>
      </c>
      <c r="H4" s="195">
        <v>7040</v>
      </c>
      <c r="I4" s="195">
        <v>600</v>
      </c>
      <c r="J4" s="195">
        <v>720</v>
      </c>
      <c r="K4" s="195">
        <v>2240</v>
      </c>
      <c r="L4" s="195">
        <v>10000</v>
      </c>
      <c r="M4" s="196"/>
      <c r="N4" s="197"/>
      <c r="O4" s="197"/>
      <c r="P4" s="197"/>
    </row>
    <row r="5" spans="1:16">
      <c r="A5" s="195" t="s">
        <v>51</v>
      </c>
      <c r="B5" s="109">
        <v>40</v>
      </c>
      <c r="C5" s="109">
        <v>160</v>
      </c>
      <c r="D5" s="109">
        <v>480</v>
      </c>
      <c r="E5" s="195">
        <v>1000</v>
      </c>
      <c r="F5" s="195">
        <v>4680</v>
      </c>
      <c r="G5" s="195">
        <v>880</v>
      </c>
      <c r="H5" s="109">
        <v>19640</v>
      </c>
      <c r="I5" s="195">
        <v>4200</v>
      </c>
      <c r="J5" s="195">
        <v>880</v>
      </c>
      <c r="K5" s="195">
        <v>1520</v>
      </c>
      <c r="L5" s="195">
        <v>800</v>
      </c>
      <c r="M5" s="196"/>
      <c r="N5" s="197"/>
      <c r="O5" s="197"/>
      <c r="P5" s="197"/>
    </row>
    <row r="6" spans="1:16">
      <c r="A6" s="195" t="s">
        <v>123</v>
      </c>
      <c r="B6" s="109"/>
      <c r="C6" s="109"/>
      <c r="D6" s="109">
        <v>14160</v>
      </c>
      <c r="E6" s="195">
        <v>2720</v>
      </c>
      <c r="F6" s="195">
        <v>2160</v>
      </c>
      <c r="G6" s="195">
        <v>6840</v>
      </c>
      <c r="H6" s="196">
        <v>2960</v>
      </c>
      <c r="I6" s="195">
        <v>14560</v>
      </c>
      <c r="J6" s="195">
        <v>0</v>
      </c>
      <c r="K6" s="195">
        <v>21120</v>
      </c>
      <c r="L6" s="195">
        <v>11520</v>
      </c>
      <c r="M6" s="196"/>
      <c r="N6" s="197"/>
      <c r="O6" s="197"/>
      <c r="P6" s="197"/>
    </row>
    <row r="7" spans="1:16">
      <c r="A7" s="195" t="s">
        <v>48</v>
      </c>
      <c r="B7" s="109"/>
      <c r="C7" s="109"/>
      <c r="D7" s="109">
        <v>840</v>
      </c>
      <c r="E7" s="196">
        <v>1480</v>
      </c>
      <c r="F7" s="195">
        <v>1320</v>
      </c>
      <c r="G7" s="195">
        <v>1200</v>
      </c>
      <c r="H7" s="195">
        <v>1040</v>
      </c>
      <c r="I7" s="195">
        <v>360</v>
      </c>
      <c r="J7" s="195">
        <v>480</v>
      </c>
      <c r="K7" s="195">
        <v>2160</v>
      </c>
      <c r="L7" s="195">
        <v>400</v>
      </c>
      <c r="M7" s="196"/>
      <c r="N7" s="197"/>
      <c r="O7" s="197"/>
      <c r="P7" s="197"/>
    </row>
    <row r="8" spans="1:16">
      <c r="A8" s="195" t="s">
        <v>49</v>
      </c>
      <c r="B8" s="109"/>
      <c r="C8" s="109"/>
      <c r="D8" s="109">
        <v>8320</v>
      </c>
      <c r="E8" s="195">
        <v>6920</v>
      </c>
      <c r="F8" s="195">
        <v>1760</v>
      </c>
      <c r="G8" s="195">
        <v>7720</v>
      </c>
      <c r="H8" s="195">
        <v>2920</v>
      </c>
      <c r="I8" s="198">
        <v>2360</v>
      </c>
      <c r="J8" s="195">
        <v>3520</v>
      </c>
      <c r="K8" s="195">
        <v>840</v>
      </c>
      <c r="L8" s="195">
        <v>1200</v>
      </c>
      <c r="M8" s="195">
        <v>1320</v>
      </c>
      <c r="N8" s="197"/>
      <c r="O8" s="197"/>
      <c r="P8" s="197"/>
    </row>
    <row r="9" spans="1:16">
      <c r="A9" s="195" t="s">
        <v>124</v>
      </c>
      <c r="B9" s="109"/>
      <c r="C9" s="109"/>
      <c r="D9" s="109">
        <f>D8*40</f>
        <v>332800</v>
      </c>
      <c r="E9" s="195">
        <v>5280</v>
      </c>
      <c r="F9" s="195">
        <v>6520</v>
      </c>
      <c r="G9" s="195">
        <v>15200</v>
      </c>
      <c r="H9" s="195">
        <v>65080</v>
      </c>
      <c r="I9" s="195">
        <v>19200</v>
      </c>
      <c r="J9" s="195">
        <v>50400</v>
      </c>
      <c r="K9" s="195">
        <v>5920</v>
      </c>
      <c r="L9" s="195">
        <v>5200</v>
      </c>
      <c r="M9" s="195">
        <v>3280</v>
      </c>
      <c r="N9" s="197"/>
      <c r="O9" s="197"/>
      <c r="P9" s="197"/>
    </row>
    <row r="10" spans="1:16" ht="18">
      <c r="A10" s="199"/>
      <c r="B10" s="200"/>
      <c r="C10" s="200"/>
      <c r="D10" s="199"/>
      <c r="E10" s="200"/>
      <c r="F10" s="200"/>
      <c r="H10" s="200"/>
      <c r="I10" s="200"/>
      <c r="J10" s="200"/>
      <c r="K10" s="201"/>
      <c r="L10" s="200"/>
      <c r="M10" s="200"/>
    </row>
    <row r="14" spans="1:16">
      <c r="H14" s="202" t="s">
        <v>125</v>
      </c>
    </row>
    <row r="25" spans="11:11" ht="22.5">
      <c r="K25" s="203"/>
    </row>
    <row r="53" spans="1:3">
      <c r="A53" s="246" t="s">
        <v>126</v>
      </c>
      <c r="B53" s="204" t="s">
        <v>78</v>
      </c>
      <c r="C53" s="204" t="s">
        <v>127</v>
      </c>
    </row>
    <row r="54" spans="1:3">
      <c r="A54" s="220"/>
      <c r="B54" s="205"/>
      <c r="C54" s="205"/>
    </row>
    <row r="55" spans="1:3">
      <c r="A55" s="195" t="s">
        <v>47</v>
      </c>
      <c r="B55" s="198">
        <v>1560</v>
      </c>
      <c r="C55" s="205">
        <f t="shared" ref="C55:C61" si="0">B55*40</f>
        <v>62400</v>
      </c>
    </row>
    <row r="56" spans="1:3">
      <c r="A56" s="195" t="s">
        <v>45</v>
      </c>
      <c r="B56" s="204">
        <v>327</v>
      </c>
      <c r="C56" s="205">
        <f t="shared" si="0"/>
        <v>13080</v>
      </c>
    </row>
    <row r="57" spans="1:3">
      <c r="A57" s="195" t="s">
        <v>51</v>
      </c>
      <c r="B57" s="204">
        <v>177</v>
      </c>
      <c r="C57" s="205">
        <f t="shared" si="0"/>
        <v>7080</v>
      </c>
    </row>
    <row r="58" spans="1:3">
      <c r="A58" s="195" t="s">
        <v>123</v>
      </c>
      <c r="B58" s="204">
        <v>33</v>
      </c>
      <c r="C58" s="205">
        <f t="shared" si="0"/>
        <v>1320</v>
      </c>
    </row>
    <row r="59" spans="1:3">
      <c r="A59" s="195" t="s">
        <v>48</v>
      </c>
      <c r="B59" s="204">
        <v>13</v>
      </c>
      <c r="C59" s="205">
        <f t="shared" si="0"/>
        <v>520</v>
      </c>
    </row>
    <row r="60" spans="1:3">
      <c r="A60" s="195" t="s">
        <v>49</v>
      </c>
      <c r="B60" s="204">
        <v>56</v>
      </c>
      <c r="C60" s="205">
        <f t="shared" si="0"/>
        <v>2240</v>
      </c>
    </row>
    <row r="61" spans="1:3">
      <c r="A61" s="195" t="s">
        <v>124</v>
      </c>
      <c r="B61" s="204">
        <v>1448</v>
      </c>
      <c r="C61" s="205">
        <f t="shared" si="0"/>
        <v>57920</v>
      </c>
    </row>
    <row r="62" spans="1:3">
      <c r="A62" s="204"/>
      <c r="B62" s="204"/>
      <c r="C62" s="205"/>
    </row>
  </sheetData>
  <mergeCells count="6">
    <mergeCell ref="M1:P1"/>
    <mergeCell ref="A53:A54"/>
    <mergeCell ref="A1:A2"/>
    <mergeCell ref="B1:D1"/>
    <mergeCell ref="E1:H1"/>
    <mergeCell ref="I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Modèle</vt:lpstr>
      <vt:lpstr>DATA</vt:lpstr>
      <vt:lpstr>Ferringule</vt:lpstr>
      <vt:lpstr>Ostriconi</vt:lpstr>
      <vt:lpstr>Saleccia</vt:lpstr>
      <vt:lpstr>La Roya</vt:lpstr>
      <vt:lpstr>Petracurbara</vt:lpstr>
      <vt:lpstr>Macinaghju</vt:lpstr>
      <vt:lpstr>Lozari</vt:lpstr>
      <vt:lpstr>Barcaghju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Aubin Woehrel</cp:lastModifiedBy>
  <dcterms:modified xsi:type="dcterms:W3CDTF">2025-11-26T09:47:05Z</dcterms:modified>
</cp:coreProperties>
</file>