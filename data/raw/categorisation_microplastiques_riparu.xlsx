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80" activeTab="5"/>
  </bookViews>
  <sheets>
    <sheet name="Modèle" sheetId="1" r:id="rId1"/>
    <sheet name="Ferringule" sheetId="2" r:id="rId2"/>
    <sheet name="Barcaghju" sheetId="3" r:id="rId3"/>
    <sheet name="Saleccia" sheetId="4" r:id="rId4"/>
    <sheet name="La Roya" sheetId="5" r:id="rId5"/>
    <sheet name="Petracurbara" sheetId="6" r:id="rId6"/>
    <sheet name="Macinaghju" sheetId="7" r:id="rId7"/>
    <sheet name="Lozari" sheetId="8" r:id="rId8"/>
    <sheet name="Ostriconi" sheetId="9" r:id="rId9"/>
    <sheet name="TOTAL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<sst xmlns="http://schemas.openxmlformats.org/spreadsheetml/2006/main" count="1285" uniqueCount="100">
  <si>
    <t>ANNEE</t>
  </si>
  <si>
    <t>SAISON</t>
  </si>
  <si>
    <t>Printemps</t>
  </si>
  <si>
    <t>Eté</t>
  </si>
  <si>
    <t>Automne</t>
  </si>
  <si>
    <t>Hiver</t>
  </si>
  <si>
    <t>DATE</t>
  </si>
  <si>
    <t>Catégorie</t>
  </si>
  <si>
    <t>Type</t>
  </si>
  <si>
    <t>Description</t>
  </si>
  <si>
    <t>Méso (5mm)</t>
  </si>
  <si>
    <t>Biomédias</t>
  </si>
  <si>
    <t>Petits filtres circulaires aux motifs caractéristiques.</t>
  </si>
  <si>
    <t>Bioperles</t>
  </si>
  <si>
    <t>Billes d’environ 5mm, cylindriques et striées</t>
  </si>
  <si>
    <t>Fragment de fibre</t>
  </si>
  <si>
    <t>Fil de pêche, vêtements, dégradation de filets</t>
  </si>
  <si>
    <t xml:space="preserve">Films plastiques </t>
  </si>
  <si>
    <t>Emballages, films alimentaires</t>
  </si>
  <si>
    <t>Fragments jeunes</t>
  </si>
  <si>
    <t>Fragments anguleux qui gardent leur couleur d’origine</t>
  </si>
  <si>
    <t>Fragments vieillis</t>
  </si>
  <si>
    <t>Fragments aux coins arrondis et/ou blanchis par le sel et le soleil.</t>
  </si>
  <si>
    <t>Mousses</t>
  </si>
  <si>
    <t>Souples et alvéolées</t>
  </si>
  <si>
    <t xml:space="preserve">Polystirène expansé </t>
  </si>
  <si>
    <t>Très légers, non alvéolés, extrêmement volatiles</t>
  </si>
  <si>
    <t>Micro (1mm)</t>
  </si>
  <si>
    <t>GPI</t>
  </si>
  <si>
    <t>Billes sphériques ou légèrement ovales, aux couleurs variées et de diamètre 1 à 2mm.</t>
  </si>
  <si>
    <t>TOTAL</t>
  </si>
  <si>
    <t>Normalisation sur 100m</t>
  </si>
  <si>
    <t>Points GPS</t>
  </si>
  <si>
    <t>A</t>
  </si>
  <si>
    <t>B</t>
  </si>
  <si>
    <t>C</t>
  </si>
  <si>
    <t>D</t>
  </si>
  <si>
    <t>Remarque</t>
  </si>
  <si>
    <t>42.735017, 9.344733</t>
  </si>
  <si>
    <t>42.734141, 9.344303</t>
  </si>
  <si>
    <t>42.735083, 9.344461</t>
  </si>
  <si>
    <t>42.734197, 9.344085</t>
  </si>
  <si>
    <t>Printemps 2022</t>
  </si>
  <si>
    <t>Eté 2022</t>
  </si>
  <si>
    <t>Automne 2022</t>
  </si>
  <si>
    <t>Hiver 2022</t>
  </si>
  <si>
    <t>Printemps 2023</t>
  </si>
  <si>
    <t>Eté 2023</t>
  </si>
  <si>
    <t>Automne 2023</t>
  </si>
  <si>
    <t>Hiver 2023</t>
  </si>
  <si>
    <t>Printemps 2024</t>
  </si>
  <si>
    <t>Eté 2024</t>
  </si>
  <si>
    <t>Automne 2024</t>
  </si>
  <si>
    <t>Hiver 2024</t>
  </si>
  <si>
    <t>Grosse accumulation de microplastique dans la végétation de haut de plage (donc non integrée au protocole)</t>
  </si>
  <si>
    <t>43.007738223184795, 9.415922618834077</t>
  </si>
  <si>
    <t>43.00695836752127, 9.415320652993383</t>
  </si>
  <si>
    <t>43.00707521063687, 9.415138576901274</t>
  </si>
  <si>
    <t>43.007643119364936, 9.415721963554292</t>
  </si>
  <si>
    <t>X</t>
  </si>
  <si>
    <t>42.726592 , 9.205542</t>
  </si>
  <si>
    <t>42.726100 , 9.204469</t>
  </si>
  <si>
    <t>42.726776 , 9.205341</t>
  </si>
  <si>
    <t>42.726345 , 9.204383</t>
  </si>
  <si>
    <t xml:space="preserve"> </t>
  </si>
  <si>
    <t>Microplastiques retrouvés uniquement sur les bandes 1 et 2, voir pour décaler la zone de collecte plus à l'Est</t>
  </si>
  <si>
    <t>42.6753411385018, 9.285528844590937</t>
  </si>
  <si>
    <t>42.67596858388672, 9.284623374147579</t>
  </si>
  <si>
    <t>42.6754227577721, 9.285629452417975</t>
  </si>
  <si>
    <t>42.676037449457766, 9.284741328151695</t>
  </si>
  <si>
    <t>42.83850873120729, 9.47971942166235</t>
  </si>
  <si>
    <t>42.83941217634041, 9.479907015927447</t>
  </si>
  <si>
    <t>42.83850639971891, 9.479886348767273</t>
  </si>
  <si>
    <t>42.83937603878906, 9.480058045212852</t>
  </si>
  <si>
    <t>42.965595497392506, 9.452401468875316</t>
  </si>
  <si>
    <t>42.96627539751461, 9.45321987460689</t>
  </si>
  <si>
    <t>42.965486289936706, 9.452560335870269</t>
  </si>
  <si>
    <t>42.96616619126581, 9.453369113299118</t>
  </si>
  <si>
    <t>0, 0</t>
  </si>
  <si>
    <t>tempète la semaine précédente, tous les microplastiques localisés en haut de plage</t>
  </si>
  <si>
    <t>42.661521017362645, 9.060407565016588</t>
  </si>
  <si>
    <t>42.661386060995206, 9.061094071570006</t>
  </si>
  <si>
    <t>42.662245778028876, 9.061563071096595</t>
  </si>
  <si>
    <t>42.662388229993915, 9.060907151468827</t>
  </si>
  <si>
    <t>total de miscroplastiques sur 100</t>
  </si>
  <si>
    <t xml:space="preserve"> 2022 Printemps</t>
  </si>
  <si>
    <t>2022 Eté</t>
  </si>
  <si>
    <t>2022 Automne</t>
  </si>
  <si>
    <t>2022 Hiver</t>
  </si>
  <si>
    <t>2023 Printemps</t>
  </si>
  <si>
    <t>Ferringule</t>
  </si>
  <si>
    <t>Saleccia</t>
  </si>
  <si>
    <t>Barcaghju</t>
  </si>
  <si>
    <t>La Roya</t>
  </si>
  <si>
    <t>Petracurbara</t>
  </si>
  <si>
    <t>Macinaghju</t>
  </si>
  <si>
    <t>L'ostriconi</t>
  </si>
  <si>
    <t>Plages</t>
  </si>
  <si>
    <t>Total GPI</t>
  </si>
  <si>
    <t>normalisation sur 100m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</si>
</sst>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  <numFmt numFmtId="178" formatCode="d/m/yyyy"/>
    <numFmt numFmtId="179" formatCode="dd/mm/yy"/>
  </numFmts>
  <fonts count="37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sz val="11"/>
      <name val="Calibri"/>
      <charset val="134"/>
      <scheme val="minor"/>
    </font>
    <font>
      <sz val="14"/>
      <color theme="1"/>
      <name val="Arial"/>
      <charset val="134"/>
    </font>
    <font>
      <sz val="17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rgb="FF000000"/>
      <name val="Arial"/>
      <charset val="134"/>
    </font>
    <font>
      <sz val="10"/>
      <color theme="1"/>
      <name val="Arial"/>
      <charset val="134"/>
    </font>
    <font>
      <sz val="10"/>
      <color theme="1"/>
      <name val="Calibri"/>
      <charset val="134"/>
      <scheme val="minor"/>
    </font>
    <font>
      <b/>
      <sz val="10"/>
      <color rgb="FF000000"/>
      <name val="Arial"/>
      <charset val="134"/>
    </font>
    <font>
      <b/>
      <sz val="10"/>
      <color theme="1"/>
      <name val="Arial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2"/>
      <color rgb="FF000000"/>
      <name val="Calibri"/>
      <charset val="134"/>
      <scheme val="minor"/>
    </font>
    <font>
      <sz val="9"/>
      <color rgb="FF000000"/>
      <name val="&quot;Google Sans Mono&quot;"/>
      <charset val="134"/>
    </font>
    <font>
      <sz val="11"/>
      <color theme="1"/>
      <name val="Time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9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FFD966"/>
        <bgColor rgb="FFFFD966"/>
      </patternFill>
    </fill>
    <fill>
      <patternFill patternType="solid">
        <fgColor rgb="FFD9F1F3"/>
        <bgColor rgb="FFD9F1F3"/>
      </patternFill>
    </fill>
    <fill>
      <patternFill patternType="solid">
        <fgColor rgb="FFCCCCCC"/>
        <bgColor rgb="FFCCCCCC"/>
      </patternFill>
    </fill>
    <fill>
      <patternFill patternType="solid">
        <fgColor rgb="FFFFA766"/>
        <bgColor rgb="FFFFA766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  <fill>
      <patternFill patternType="solid">
        <fgColor rgb="FF6AA84F"/>
        <bgColor rgb="FF6AA84F"/>
      </patternFill>
    </fill>
    <fill>
      <patternFill patternType="solid">
        <fgColor rgb="FFF1C232"/>
        <bgColor rgb="FFF1C232"/>
      </patternFill>
    </fill>
    <fill>
      <patternFill patternType="solid">
        <fgColor rgb="FFE69138"/>
        <bgColor rgb="FFE69138"/>
      </patternFill>
    </fill>
    <fill>
      <patternFill patternType="solid">
        <fgColor rgb="FF3C78D8"/>
        <bgColor rgb="FF3C78D8"/>
      </patternFill>
    </fill>
    <fill>
      <patternFill patternType="solid">
        <fgColor rgb="FFC27BA0"/>
        <bgColor rgb="FFC27BA0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F6B26B"/>
        <bgColor rgb="FFF6B26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28" borderId="14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29" borderId="17" applyNumberFormat="0" applyAlignment="0" applyProtection="0">
      <alignment vertical="center"/>
    </xf>
    <xf numFmtId="0" fontId="27" fillId="30" borderId="18" applyNumberFormat="0" applyAlignment="0" applyProtection="0">
      <alignment vertical="center"/>
    </xf>
    <xf numFmtId="0" fontId="28" fillId="30" borderId="17" applyNumberFormat="0" applyAlignment="0" applyProtection="0">
      <alignment vertical="center"/>
    </xf>
    <xf numFmtId="0" fontId="29" fillId="31" borderId="19" applyNumberFormat="0" applyAlignment="0" applyProtection="0">
      <alignment vertical="center"/>
    </xf>
    <xf numFmtId="0" fontId="30" fillId="0" borderId="20" applyNumberFormat="0" applyFill="0" applyAlignment="0" applyProtection="0">
      <alignment vertical="center"/>
    </xf>
    <xf numFmtId="0" fontId="31" fillId="0" borderId="21" applyNumberFormat="0" applyFill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5" fillId="58" borderId="0" applyNumberFormat="0" applyBorder="0" applyAlignment="0" applyProtection="0">
      <alignment vertical="center"/>
    </xf>
  </cellStyleXfs>
  <cellXfs count="129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1" fillId="4" borderId="6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6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0" fillId="8" borderId="7" xfId="0" applyFont="1" applyFill="1" applyBorder="1"/>
    <xf numFmtId="0" fontId="3" fillId="0" borderId="8" xfId="0" applyFont="1" applyBorder="1"/>
    <xf numFmtId="0" fontId="6" fillId="3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 vertical="center"/>
    </xf>
    <xf numFmtId="0" fontId="3" fillId="0" borderId="9" xfId="0" applyFont="1" applyBorder="1"/>
    <xf numFmtId="0" fontId="3" fillId="0" borderId="10" xfId="0" applyFont="1" applyBorder="1"/>
    <xf numFmtId="0" fontId="0" fillId="4" borderId="6" xfId="0" applyFont="1" applyFill="1" applyBorder="1" applyAlignment="1">
      <alignment horizontal="center" vertical="center"/>
    </xf>
    <xf numFmtId="0" fontId="0" fillId="5" borderId="6" xfId="0" applyFont="1" applyFill="1" applyBorder="1" applyAlignment="1">
      <alignment horizontal="center" vertical="center"/>
    </xf>
    <xf numFmtId="0" fontId="0" fillId="6" borderId="6" xfId="0" applyFont="1" applyFill="1" applyBorder="1" applyAlignment="1">
      <alignment horizontal="center" vertical="center"/>
    </xf>
    <xf numFmtId="0" fontId="0" fillId="7" borderId="6" xfId="0" applyFont="1" applyFill="1" applyBorder="1" applyAlignment="1">
      <alignment horizontal="center" vertical="center"/>
    </xf>
    <xf numFmtId="0" fontId="3" fillId="0" borderId="11" xfId="0" applyFont="1" applyBorder="1"/>
    <xf numFmtId="0" fontId="3" fillId="0" borderId="12" xfId="0" applyFont="1" applyBorder="1"/>
    <xf numFmtId="0" fontId="8" fillId="3" borderId="2" xfId="0" applyFont="1" applyFill="1" applyBorder="1" applyAlignment="1">
      <alignment horizontal="center"/>
    </xf>
    <xf numFmtId="0" fontId="9" fillId="9" borderId="6" xfId="0" applyFont="1" applyFill="1" applyBorder="1" applyAlignment="1">
      <alignment horizontal="center"/>
    </xf>
    <xf numFmtId="0" fontId="9" fillId="10" borderId="6" xfId="0" applyFont="1" applyFill="1" applyBorder="1" applyAlignment="1">
      <alignment horizontal="center"/>
    </xf>
    <xf numFmtId="58" fontId="10" fillId="11" borderId="6" xfId="0" applyNumberFormat="1" applyFont="1" applyFill="1" applyBorder="1" applyAlignment="1">
      <alignment horizontal="center"/>
    </xf>
    <xf numFmtId="58" fontId="10" fillId="12" borderId="6" xfId="0" applyNumberFormat="1" applyFont="1" applyFill="1" applyBorder="1" applyAlignment="1">
      <alignment horizontal="center"/>
    </xf>
    <xf numFmtId="58" fontId="9" fillId="9" borderId="6" xfId="0" applyNumberFormat="1" applyFont="1" applyFill="1" applyBorder="1" applyAlignment="1">
      <alignment horizontal="center"/>
    </xf>
    <xf numFmtId="0" fontId="11" fillId="3" borderId="6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9" fillId="13" borderId="1" xfId="0" applyFont="1" applyFill="1" applyBorder="1" applyAlignment="1">
      <alignment horizontal="center" vertical="center" wrapText="1"/>
    </xf>
    <xf numFmtId="0" fontId="9" fillId="8" borderId="6" xfId="0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 vertical="center"/>
    </xf>
    <xf numFmtId="0" fontId="0" fillId="11" borderId="6" xfId="0" applyFont="1" applyFill="1" applyBorder="1" applyAlignment="1">
      <alignment horizontal="center" vertical="center"/>
    </xf>
    <xf numFmtId="0" fontId="0" fillId="12" borderId="6" xfId="0" applyFont="1" applyFill="1" applyBorder="1" applyAlignment="1">
      <alignment horizontal="center" vertical="center"/>
    </xf>
    <xf numFmtId="0" fontId="3" fillId="0" borderId="13" xfId="0" applyFont="1" applyBorder="1"/>
    <xf numFmtId="0" fontId="9" fillId="14" borderId="6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center" vertical="center" wrapText="1"/>
    </xf>
    <xf numFmtId="0" fontId="1" fillId="11" borderId="6" xfId="0" applyFont="1" applyFill="1" applyBorder="1" applyAlignment="1">
      <alignment horizontal="center" vertical="center"/>
    </xf>
    <xf numFmtId="0" fontId="1" fillId="12" borderId="6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9" fillId="17" borderId="1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" fillId="18" borderId="6" xfId="0" applyFont="1" applyFill="1" applyBorder="1" applyAlignment="1">
      <alignment horizontal="center" vertical="center"/>
    </xf>
    <xf numFmtId="0" fontId="1" fillId="13" borderId="6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9" fillId="0" borderId="0" xfId="0" applyFont="1"/>
    <xf numFmtId="0" fontId="1" fillId="20" borderId="6" xfId="0" applyFont="1" applyFill="1" applyBorder="1" applyAlignment="1">
      <alignment horizontal="center" vertical="center"/>
    </xf>
    <xf numFmtId="0" fontId="1" fillId="21" borderId="6" xfId="0" applyFont="1" applyFill="1" applyBorder="1" applyAlignment="1">
      <alignment horizontal="center" vertical="center"/>
    </xf>
    <xf numFmtId="0" fontId="1" fillId="22" borderId="6" xfId="0" applyFont="1" applyFill="1" applyBorder="1" applyAlignment="1">
      <alignment horizontal="center" vertical="center"/>
    </xf>
    <xf numFmtId="0" fontId="1" fillId="23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9" fillId="8" borderId="6" xfId="0" applyFont="1" applyFill="1" applyBorder="1"/>
    <xf numFmtId="0" fontId="0" fillId="8" borderId="6" xfId="0" applyFont="1" applyFill="1" applyBorder="1" applyAlignment="1">
      <alignment wrapText="1"/>
    </xf>
    <xf numFmtId="0" fontId="0" fillId="8" borderId="6" xfId="0" applyFont="1" applyFill="1" applyBorder="1"/>
    <xf numFmtId="0" fontId="9" fillId="8" borderId="0" xfId="0" applyFont="1" applyFill="1"/>
    <xf numFmtId="0" fontId="0" fillId="8" borderId="0" xfId="0" applyFont="1" applyFill="1"/>
    <xf numFmtId="0" fontId="9" fillId="24" borderId="6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9" fillId="25" borderId="6" xfId="0" applyFont="1" applyFill="1" applyBorder="1" applyAlignment="1">
      <alignment horizontal="center" vertical="center"/>
    </xf>
    <xf numFmtId="0" fontId="9" fillId="26" borderId="6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14" fillId="4" borderId="5" xfId="0" applyFont="1" applyFill="1" applyBorder="1" applyAlignment="1">
      <alignment horizontal="center"/>
    </xf>
    <xf numFmtId="0" fontId="14" fillId="5" borderId="12" xfId="0" applyFont="1" applyFill="1" applyBorder="1" applyAlignment="1">
      <alignment horizontal="center"/>
    </xf>
    <xf numFmtId="0" fontId="14" fillId="6" borderId="12" xfId="0" applyFont="1" applyFill="1" applyBorder="1" applyAlignment="1">
      <alignment horizontal="center"/>
    </xf>
    <xf numFmtId="0" fontId="14" fillId="7" borderId="12" xfId="0" applyFont="1" applyFill="1" applyBorder="1" applyAlignment="1">
      <alignment horizontal="center"/>
    </xf>
    <xf numFmtId="0" fontId="14" fillId="4" borderId="12" xfId="0" applyFont="1" applyFill="1" applyBorder="1" applyAlignment="1">
      <alignment horizontal="center"/>
    </xf>
    <xf numFmtId="0" fontId="7" fillId="8" borderId="0" xfId="0" applyFont="1" applyFill="1" applyAlignment="1">
      <alignment horizontal="center" vertical="center"/>
    </xf>
    <xf numFmtId="0" fontId="0" fillId="8" borderId="0" xfId="0" applyFont="1" applyFill="1" applyAlignment="1">
      <alignment horizontal="center" vertical="center"/>
    </xf>
    <xf numFmtId="58" fontId="9" fillId="10" borderId="6" xfId="0" applyNumberFormat="1" applyFont="1" applyFill="1" applyBorder="1" applyAlignment="1">
      <alignment horizontal="center"/>
    </xf>
    <xf numFmtId="178" fontId="10" fillId="11" borderId="6" xfId="0" applyNumberFormat="1" applyFont="1" applyFill="1" applyBorder="1" applyAlignment="1">
      <alignment horizontal="center"/>
    </xf>
    <xf numFmtId="0" fontId="10" fillId="11" borderId="6" xfId="0" applyFont="1" applyFill="1" applyBorder="1" applyAlignment="1">
      <alignment horizontal="center"/>
    </xf>
    <xf numFmtId="0" fontId="10" fillId="12" borderId="6" xfId="0" applyFont="1" applyFill="1" applyBorder="1" applyAlignment="1">
      <alignment horizontal="center"/>
    </xf>
    <xf numFmtId="0" fontId="10" fillId="8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9" fillId="8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/>
    </xf>
    <xf numFmtId="0" fontId="1" fillId="27" borderId="6" xfId="0" applyFont="1" applyFill="1" applyBorder="1" applyAlignment="1">
      <alignment horizontal="center" vertical="center"/>
    </xf>
    <xf numFmtId="0" fontId="13" fillId="8" borderId="0" xfId="0" applyFont="1" applyFill="1" applyAlignment="1">
      <alignment horizontal="center"/>
    </xf>
    <xf numFmtId="0" fontId="14" fillId="8" borderId="0" xfId="0" applyFont="1" applyFill="1" applyAlignment="1">
      <alignment horizontal="center"/>
    </xf>
    <xf numFmtId="0" fontId="0" fillId="9" borderId="0" xfId="0" applyFont="1" applyFill="1"/>
    <xf numFmtId="0" fontId="0" fillId="10" borderId="0" xfId="0" applyFont="1" applyFill="1"/>
    <xf numFmtId="0" fontId="0" fillId="11" borderId="0" xfId="0" applyFont="1" applyFill="1"/>
    <xf numFmtId="0" fontId="0" fillId="12" borderId="0" xfId="0" applyFont="1" applyFill="1"/>
    <xf numFmtId="0" fontId="13" fillId="26" borderId="6" xfId="0" applyFont="1" applyFill="1" applyBorder="1" applyAlignment="1">
      <alignment horizontal="center" wrapText="1"/>
    </xf>
    <xf numFmtId="0" fontId="15" fillId="8" borderId="6" xfId="0" applyFont="1" applyFill="1" applyBorder="1" applyAlignment="1">
      <alignment horizontal="left"/>
    </xf>
    <xf numFmtId="0" fontId="13" fillId="3" borderId="0" xfId="0" applyFont="1" applyFill="1" applyAlignment="1">
      <alignment horizontal="center"/>
    </xf>
    <xf numFmtId="0" fontId="14" fillId="7" borderId="0" xfId="0" applyFont="1" applyFill="1" applyAlignment="1">
      <alignment horizontal="center"/>
    </xf>
    <xf numFmtId="0" fontId="14" fillId="8" borderId="0" xfId="0" applyFont="1" applyFill="1"/>
    <xf numFmtId="0" fontId="0" fillId="8" borderId="7" xfId="0" applyFont="1" applyFill="1" applyBorder="1" applyAlignment="1"/>
    <xf numFmtId="58" fontId="10" fillId="9" borderId="6" xfId="0" applyNumberFormat="1" applyFont="1" applyFill="1" applyBorder="1" applyAlignment="1">
      <alignment horizontal="center"/>
    </xf>
    <xf numFmtId="0" fontId="16" fillId="8" borderId="0" xfId="0" applyFont="1" applyFill="1" applyAlignment="1">
      <alignment horizontal="left"/>
    </xf>
    <xf numFmtId="58" fontId="9" fillId="9" borderId="6" xfId="0" applyNumberFormat="1" applyFont="1" applyFill="1" applyBorder="1" applyAlignment="1"/>
    <xf numFmtId="58" fontId="9" fillId="10" borderId="6" xfId="0" applyNumberFormat="1" applyFont="1" applyFill="1" applyBorder="1" applyAlignment="1"/>
    <xf numFmtId="58" fontId="10" fillId="12" borderId="6" xfId="0" applyNumberFormat="1" applyFont="1" applyFill="1" applyBorder="1" applyAlignment="1"/>
    <xf numFmtId="0" fontId="1" fillId="3" borderId="2" xfId="0" applyFont="1" applyFill="1" applyBorder="1"/>
    <xf numFmtId="0" fontId="14" fillId="10" borderId="6" xfId="0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/>
    </xf>
    <xf numFmtId="0" fontId="17" fillId="10" borderId="6" xfId="0" applyFont="1" applyFill="1" applyBorder="1" applyAlignment="1">
      <alignment horizontal="center" vertical="center" wrapText="1"/>
    </xf>
    <xf numFmtId="0" fontId="17" fillId="5" borderId="6" xfId="0" applyFont="1" applyFill="1" applyBorder="1" applyAlignment="1">
      <alignment horizontal="center" vertical="center" wrapText="1"/>
    </xf>
    <xf numFmtId="0" fontId="1" fillId="18" borderId="6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78" fontId="10" fillId="11" borderId="6" xfId="0" applyNumberFormat="1" applyFont="1" applyFill="1" applyBorder="1" applyAlignment="1"/>
    <xf numFmtId="0" fontId="9" fillId="9" borderId="6" xfId="0" applyFont="1" applyFill="1" applyBorder="1"/>
    <xf numFmtId="0" fontId="9" fillId="10" borderId="6" xfId="0" applyFont="1" applyFill="1" applyBorder="1"/>
    <xf numFmtId="0" fontId="10" fillId="11" borderId="6" xfId="0" applyFont="1" applyFill="1" applyBorder="1"/>
    <xf numFmtId="0" fontId="10" fillId="12" borderId="6" xfId="0" applyFont="1" applyFill="1" applyBorder="1"/>
    <xf numFmtId="0" fontId="10" fillId="8" borderId="0" xfId="0" applyFont="1" applyFill="1"/>
    <xf numFmtId="0" fontId="1" fillId="8" borderId="0" xfId="0" applyFont="1" applyFill="1"/>
    <xf numFmtId="58" fontId="10" fillId="11" borderId="6" xfId="0" applyNumberFormat="1" applyFont="1" applyFill="1" applyBorder="1" applyAlignment="1"/>
    <xf numFmtId="0" fontId="7" fillId="3" borderId="0" xfId="0" applyFont="1" applyFill="1" applyAlignment="1">
      <alignment horizontal="center" vertical="center"/>
    </xf>
    <xf numFmtId="0" fontId="10" fillId="8" borderId="0" xfId="0" applyFont="1" applyFill="1" applyAlignment="1"/>
    <xf numFmtId="179" fontId="10" fillId="11" borderId="6" xfId="0" applyNumberFormat="1" applyFont="1" applyFill="1" applyBorder="1" applyAlignment="1"/>
    <xf numFmtId="0" fontId="0" fillId="8" borderId="6" xfId="0" applyFont="1" applyFill="1" applyBorder="1" applyAlignment="1">
      <alignment horizontal="center" vertical="center"/>
    </xf>
    <xf numFmtId="0" fontId="14" fillId="8" borderId="6" xfId="0" applyFont="1" applyFill="1" applyBorder="1"/>
    <xf numFmtId="0" fontId="14" fillId="8" borderId="4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1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Catégories de microplastiques retrouvés sur la plage de Ferringule à chaque saison</a:t>
            </a:r>
            <a:endParaRPr b="1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Ferringule!$D$43</c:f>
              <c:strCache>
                <c:ptCount val="1"/>
                <c:pt idx="0">
                  <c:v>Printemps 2022</c:v>
                </c:pt>
              </c:strCache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Ferringule!$C$44:$C$54</c:f>
              <c:strCache>
                <c:ptCount val="11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Ferringule!$D$44:$D$54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440</c:v>
                </c:pt>
                <c:pt idx="3">
                  <c:v>40</c:v>
                </c:pt>
                <c:pt idx="4">
                  <c:v>200</c:v>
                </c:pt>
                <c:pt idx="5">
                  <c:v>640</c:v>
                </c:pt>
                <c:pt idx="6">
                  <c:v>200</c:v>
                </c:pt>
                <c:pt idx="7">
                  <c:v>0</c:v>
                </c:pt>
                <c:pt idx="8">
                  <c:v>140</c:v>
                </c:pt>
              </c:numCache>
            </c:numRef>
          </c:val>
        </c:ser>
        <c:ser>
          <c:idx val="1"/>
          <c:order val="1"/>
          <c:tx>
            <c:strRef>
              <c:f>Ferringule!$E$43</c:f>
              <c:strCache>
                <c:ptCount val="1"/>
                <c:pt idx="0">
                  <c:v>Eté 2022</c:v>
                </c:pt>
              </c:strCache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Ferringule!$C$44:$C$54</c:f>
              <c:strCache>
                <c:ptCount val="11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Ferringule!$E$44:$E$54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1440</c:v>
                </c:pt>
                <c:pt idx="3">
                  <c:v>60</c:v>
                </c:pt>
                <c:pt idx="4">
                  <c:v>120</c:v>
                </c:pt>
                <c:pt idx="5">
                  <c:v>420</c:v>
                </c:pt>
                <c:pt idx="6">
                  <c:v>2960</c:v>
                </c:pt>
                <c:pt idx="7">
                  <c:v>120</c:v>
                </c:pt>
                <c:pt idx="8">
                  <c:v>40</c:v>
                </c:pt>
              </c:numCache>
            </c:numRef>
          </c:val>
        </c:ser>
        <c:ser>
          <c:idx val="2"/>
          <c:order val="2"/>
          <c:tx>
            <c:strRef>
              <c:f>Ferringule!$F$43</c:f>
              <c:strCache>
                <c:ptCount val="1"/>
                <c:pt idx="0">
                  <c:v>Automne 2022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Ferringule!$C$44:$C$54</c:f>
              <c:strCache>
                <c:ptCount val="11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Ferringule!$F$44:$F$54</c:f>
              <c:numCache>
                <c:formatCode>General</c:formatCode>
                <c:ptCount val="11"/>
                <c:pt idx="0">
                  <c:v>60</c:v>
                </c:pt>
                <c:pt idx="1">
                  <c:v>0</c:v>
                </c:pt>
                <c:pt idx="2">
                  <c:v>780</c:v>
                </c:pt>
                <c:pt idx="3">
                  <c:v>220</c:v>
                </c:pt>
                <c:pt idx="4">
                  <c:v>620</c:v>
                </c:pt>
                <c:pt idx="5">
                  <c:v>1760</c:v>
                </c:pt>
                <c:pt idx="6">
                  <c:v>10220</c:v>
                </c:pt>
                <c:pt idx="7">
                  <c:v>60</c:v>
                </c:pt>
                <c:pt idx="8">
                  <c:v>460</c:v>
                </c:pt>
              </c:numCache>
            </c:numRef>
          </c:val>
        </c:ser>
        <c:ser>
          <c:idx val="3"/>
          <c:order val="3"/>
          <c:tx>
            <c:strRef>
              <c:f>Ferringule!$G$43</c:f>
              <c:strCache>
                <c:ptCount val="1"/>
                <c:pt idx="0">
                  <c:v>Hiver 2022</c:v>
                </c:pt>
              </c:strCache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Ferringule!$C$44:$C$54</c:f>
              <c:strCache>
                <c:ptCount val="11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Ferringule!$G$44:$G$54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2760</c:v>
                </c:pt>
                <c:pt idx="3">
                  <c:v>100</c:v>
                </c:pt>
                <c:pt idx="4">
                  <c:v>60</c:v>
                </c:pt>
                <c:pt idx="5">
                  <c:v>520</c:v>
                </c:pt>
                <c:pt idx="6">
                  <c:v>12920</c:v>
                </c:pt>
                <c:pt idx="7">
                  <c:v>40</c:v>
                </c:pt>
                <c:pt idx="8">
                  <c:v>720</c:v>
                </c:pt>
              </c:numCache>
            </c:numRef>
          </c:val>
        </c:ser>
        <c:ser>
          <c:idx val="4"/>
          <c:order val="4"/>
          <c:tx>
            <c:strRef>
              <c:f>Ferringule!$H$43</c:f>
              <c:strCache>
                <c:ptCount val="1"/>
                <c:pt idx="0">
                  <c:v>Printemps 2023</c:v>
                </c:pt>
              </c:strCache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invertIfNegative val="0"/>
          <c:dPt>
            <c:idx val="6"/>
            <c:invertIfNegative val="0"/>
            <c:bubble3D val="0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Lbls>
            <c:delete val="1"/>
          </c:dLbls>
          <c:cat>
            <c:strRef>
              <c:f>Ferringule!$C$44:$C$54</c:f>
              <c:strCache>
                <c:ptCount val="11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Ferringule!$H$44:$H$54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3240</c:v>
                </c:pt>
                <c:pt idx="3">
                  <c:v>220</c:v>
                </c:pt>
                <c:pt idx="4">
                  <c:v>40</c:v>
                </c:pt>
                <c:pt idx="5">
                  <c:v>1200</c:v>
                </c:pt>
                <c:pt idx="6">
                  <c:v>7740</c:v>
                </c:pt>
                <c:pt idx="7">
                  <c:v>120</c:v>
                </c:pt>
                <c:pt idx="8">
                  <c:v>840</c:v>
                </c:pt>
              </c:numCache>
            </c:numRef>
          </c:val>
        </c:ser>
        <c:ser>
          <c:idx val="5"/>
          <c:order val="5"/>
          <c:tx>
            <c:strRef>
              <c:f>Ferringule!$I$43</c:f>
              <c:strCache>
                <c:ptCount val="1"/>
                <c:pt idx="0">
                  <c:v>Eté 2023</c:v>
                </c:pt>
              </c:strCache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Ferringule!$C$44:$C$54</c:f>
              <c:strCache>
                <c:ptCount val="11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Ferringule!$I$44:$I$54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4980</c:v>
                </c:pt>
                <c:pt idx="3">
                  <c:v>300</c:v>
                </c:pt>
                <c:pt idx="4">
                  <c:v>220</c:v>
                </c:pt>
                <c:pt idx="5">
                  <c:v>980</c:v>
                </c:pt>
                <c:pt idx="6">
                  <c:v>13700</c:v>
                </c:pt>
                <c:pt idx="7">
                  <c:v>100</c:v>
                </c:pt>
                <c:pt idx="8">
                  <c:v>640</c:v>
                </c:pt>
              </c:numCache>
            </c:numRef>
          </c:val>
        </c:ser>
        <c:ser>
          <c:idx val="6"/>
          <c:order val="6"/>
          <c:tx>
            <c:strRef>
              <c:f>Ferringule!$J$43</c:f>
              <c:strCache>
                <c:ptCount val="1"/>
                <c:pt idx="0">
                  <c:v>Automne 2023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Ferringule!$C$44:$C$54</c:f>
              <c:strCache>
                <c:ptCount val="11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Ferringule!$J$44:$J$54</c:f>
              <c:numCache>
                <c:formatCode>General</c:formatCode>
                <c:ptCount val="11"/>
                <c:pt idx="0">
                  <c:v>160</c:v>
                </c:pt>
                <c:pt idx="1">
                  <c:v>60</c:v>
                </c:pt>
                <c:pt idx="2">
                  <c:v>17560</c:v>
                </c:pt>
                <c:pt idx="3">
                  <c:v>0</c:v>
                </c:pt>
                <c:pt idx="4">
                  <c:v>0</c:v>
                </c:pt>
                <c:pt idx="5">
                  <c:v>3860</c:v>
                </c:pt>
                <c:pt idx="6">
                  <c:v>58600</c:v>
                </c:pt>
                <c:pt idx="7">
                  <c:v>380</c:v>
                </c:pt>
                <c:pt idx="8">
                  <c:v>4200</c:v>
                </c:pt>
              </c:numCache>
            </c:numRef>
          </c:val>
        </c:ser>
        <c:ser>
          <c:idx val="7"/>
          <c:order val="7"/>
          <c:tx>
            <c:strRef>
              <c:f>Ferringule!$K$43</c:f>
              <c:strCache>
                <c:ptCount val="1"/>
                <c:pt idx="0">
                  <c:v>Hiver 2023</c:v>
                </c:pt>
              </c:strCache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Ferringule!$C$44:$C$54</c:f>
              <c:strCache>
                <c:ptCount val="11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Ferringule!$K$44:$K$54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14140</c:v>
                </c:pt>
                <c:pt idx="3">
                  <c:v>0</c:v>
                </c:pt>
                <c:pt idx="4">
                  <c:v>100</c:v>
                </c:pt>
                <c:pt idx="5">
                  <c:v>5520</c:v>
                </c:pt>
                <c:pt idx="6">
                  <c:v>36720</c:v>
                </c:pt>
                <c:pt idx="7">
                  <c:v>80</c:v>
                </c:pt>
                <c:pt idx="8">
                  <c:v>9380</c:v>
                </c:pt>
              </c:numCache>
            </c:numRef>
          </c:val>
        </c:ser>
        <c:ser>
          <c:idx val="8"/>
          <c:order val="8"/>
          <c:tx>
            <c:strRef>
              <c:f>Ferringule!$L$43</c:f>
              <c:strCache>
                <c:ptCount val="1"/>
                <c:pt idx="0">
                  <c:v>Printemps 2024</c:v>
                </c:pt>
              </c:strCache>
            </c:strRef>
          </c:tx>
          <c:invertIfNegative val="0"/>
          <c:dLbls>
            <c:delete val="1"/>
          </c:dLbls>
          <c:cat>
            <c:strRef>
              <c:f>Ferringule!$C$44:$C$54</c:f>
              <c:strCache>
                <c:ptCount val="11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Ferringule!$L$44:$L$54</c:f>
              <c:numCache>
                <c:formatCode>General</c:formatCode>
                <c:ptCount val="11"/>
              </c:numCache>
            </c:numRef>
          </c:val>
        </c:ser>
        <c:ser>
          <c:idx val="9"/>
          <c:order val="9"/>
          <c:tx>
            <c:strRef>
              <c:f>Ferringule!$M$43</c:f>
              <c:strCache>
                <c:ptCount val="1"/>
                <c:pt idx="0">
                  <c:v>Eté 2024</c:v>
                </c:pt>
              </c:strCache>
            </c:strRef>
          </c:tx>
          <c:invertIfNegative val="0"/>
          <c:dLbls>
            <c:delete val="1"/>
          </c:dLbls>
          <c:cat>
            <c:strRef>
              <c:f>Ferringule!$C$44:$C$54</c:f>
              <c:strCache>
                <c:ptCount val="11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Ferringule!$M$44:$M$54</c:f>
              <c:numCache>
                <c:formatCode>General</c:formatCode>
                <c:ptCount val="11"/>
              </c:numCache>
            </c:numRef>
          </c:val>
        </c:ser>
        <c:ser>
          <c:idx val="10"/>
          <c:order val="10"/>
          <c:tx>
            <c:strRef>
              <c:f>Ferringule!$N$43</c:f>
              <c:strCache>
                <c:ptCount val="1"/>
                <c:pt idx="0">
                  <c:v>Automne 2024</c:v>
                </c:pt>
              </c:strCache>
            </c:strRef>
          </c:tx>
          <c:invertIfNegative val="0"/>
          <c:dLbls>
            <c:delete val="1"/>
          </c:dLbls>
          <c:cat>
            <c:strRef>
              <c:f>Ferringule!$C$44:$C$54</c:f>
              <c:strCache>
                <c:ptCount val="11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Ferringule!$N$44:$N$54</c:f>
              <c:numCache>
                <c:formatCode>General</c:formatCode>
                <c:ptCount val="11"/>
              </c:numCache>
            </c:numRef>
          </c:val>
        </c:ser>
        <c:ser>
          <c:idx val="11"/>
          <c:order val="11"/>
          <c:tx>
            <c:strRef>
              <c:f>Ferringule!$O$43</c:f>
              <c:strCache>
                <c:ptCount val="1"/>
                <c:pt idx="0">
                  <c:v>Hiver 2024</c:v>
                </c:pt>
              </c:strCache>
            </c:strRef>
          </c:tx>
          <c:invertIfNegative val="0"/>
          <c:dLbls>
            <c:delete val="1"/>
          </c:dLbls>
          <c:cat>
            <c:strRef>
              <c:f>Ferringule!$C$44:$C$54</c:f>
              <c:strCache>
                <c:ptCount val="11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Ferringule!$O$44:$O$54</c:f>
              <c:numCache>
                <c:formatCode>General</c:formatCode>
                <c:ptCount val="11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6945400"/>
        <c:axId val="1243184151"/>
      </c:barChart>
      <c:catAx>
        <c:axId val="89694540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Catégories de plastiques</a:t>
                </a:r>
                <a:endParaRPr b="1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243184151"/>
        <c:crosses val="autoZero"/>
        <c:auto val="1"/>
        <c:lblAlgn val="ctr"/>
        <c:lblOffset val="100"/>
        <c:noMultiLvlLbl val="0"/>
      </c:catAx>
      <c:valAx>
        <c:axId val="1243184151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Quantité sur 100m (en nombre)</a:t>
                </a:r>
                <a:endParaRPr b="1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89694540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1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Catégories de microplastiques retrouvés sur la plage de Barcaghju à chaque saison</a:t>
            </a:r>
            <a:endParaRPr b="1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Barcaghju!$D$43</c:f>
              <c:strCache>
                <c:ptCount val="1"/>
                <c:pt idx="0">
                  <c:v>Printemps 2022</c:v>
                </c:pt>
              </c:strCache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Barcaghju!$C$44:$C$52</c:f>
              <c:strCache>
                <c:ptCount val="9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Barcaghju!$D$44:$D$52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strRef>
              <c:f>Barcaghju!$E$43</c:f>
              <c:strCache>
                <c:ptCount val="1"/>
                <c:pt idx="0">
                  <c:v>Eté 2022</c:v>
                </c:pt>
              </c:strCache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Barcaghju!$C$44:$C$52</c:f>
              <c:strCache>
                <c:ptCount val="9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Barcaghju!$E$44:$E$52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60</c:v>
                </c:pt>
                <c:pt idx="6">
                  <c:v>20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2"/>
          <c:order val="2"/>
          <c:tx>
            <c:strRef>
              <c:f>Barcaghju!$F$43</c:f>
              <c:strCache>
                <c:ptCount val="1"/>
                <c:pt idx="0">
                  <c:v>Automne 2022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Barcaghju!$C$44:$C$52</c:f>
              <c:strCache>
                <c:ptCount val="9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Barcaghju!$F$44:$F$52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40</c:v>
                </c:pt>
                <c:pt idx="3">
                  <c:v>0</c:v>
                </c:pt>
                <c:pt idx="4">
                  <c:v>0</c:v>
                </c:pt>
                <c:pt idx="5">
                  <c:v>60</c:v>
                </c:pt>
                <c:pt idx="6">
                  <c:v>140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3"/>
          <c:order val="3"/>
          <c:tx>
            <c:strRef>
              <c:f>Barcaghju!$G$43</c:f>
              <c:strCache>
                <c:ptCount val="1"/>
                <c:pt idx="0">
                  <c:v>Hiver 2022</c:v>
                </c:pt>
              </c:strCache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Barcaghju!$C$44:$C$52</c:f>
              <c:strCache>
                <c:ptCount val="9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Barcaghju!$G$44:$G$52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160</c:v>
                </c:pt>
                <c:pt idx="3">
                  <c:v>0</c:v>
                </c:pt>
                <c:pt idx="4">
                  <c:v>0</c:v>
                </c:pt>
                <c:pt idx="5">
                  <c:v>40</c:v>
                </c:pt>
                <c:pt idx="6">
                  <c:v>260</c:v>
                </c:pt>
                <c:pt idx="7">
                  <c:v>20</c:v>
                </c:pt>
                <c:pt idx="8">
                  <c:v>20</c:v>
                </c:pt>
              </c:numCache>
            </c:numRef>
          </c:val>
        </c:ser>
        <c:ser>
          <c:idx val="4"/>
          <c:order val="4"/>
          <c:tx>
            <c:strRef>
              <c:f>Barcaghju!$H$43</c:f>
              <c:strCache>
                <c:ptCount val="1"/>
                <c:pt idx="0">
                  <c:v>Printemps 2023</c:v>
                </c:pt>
              </c:strCache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Barcaghju!$C$44:$C$52</c:f>
              <c:strCache>
                <c:ptCount val="9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Barcaghju!$H$44:$H$52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640</c:v>
                </c:pt>
                <c:pt idx="3">
                  <c:v>0</c:v>
                </c:pt>
                <c:pt idx="4">
                  <c:v>0</c:v>
                </c:pt>
                <c:pt idx="5">
                  <c:v>220</c:v>
                </c:pt>
                <c:pt idx="6">
                  <c:v>1340</c:v>
                </c:pt>
                <c:pt idx="7">
                  <c:v>60</c:v>
                </c:pt>
                <c:pt idx="8">
                  <c:v>80</c:v>
                </c:pt>
              </c:numCache>
            </c:numRef>
          </c:val>
        </c:ser>
        <c:ser>
          <c:idx val="5"/>
          <c:order val="5"/>
          <c:tx>
            <c:strRef>
              <c:f>Barcaghju!$I$43</c:f>
              <c:strCache>
                <c:ptCount val="1"/>
                <c:pt idx="0">
                  <c:v>Eté 2023</c:v>
                </c:pt>
              </c:strCache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Barcaghju!$C$44:$C$52</c:f>
              <c:strCache>
                <c:ptCount val="9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Barcaghju!$I$44:$I$52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80</c:v>
                </c:pt>
                <c:pt idx="3">
                  <c:v>60</c:v>
                </c:pt>
                <c:pt idx="4">
                  <c:v>0</c:v>
                </c:pt>
                <c:pt idx="5">
                  <c:v>100</c:v>
                </c:pt>
                <c:pt idx="6">
                  <c:v>140</c:v>
                </c:pt>
                <c:pt idx="7">
                  <c:v>0</c:v>
                </c:pt>
                <c:pt idx="8">
                  <c:v>60</c:v>
                </c:pt>
              </c:numCache>
            </c:numRef>
          </c:val>
        </c:ser>
        <c:ser>
          <c:idx val="6"/>
          <c:order val="6"/>
          <c:tx>
            <c:strRef>
              <c:f>Barcaghju!$J$43</c:f>
              <c:strCache>
                <c:ptCount val="1"/>
                <c:pt idx="0">
                  <c:v>Automne 2023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0"/>
          <c:dPt>
            <c:idx val="2"/>
            <c:invertIfNegative val="0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Lbls>
            <c:delete val="1"/>
          </c:dLbls>
          <c:cat>
            <c:strRef>
              <c:f>Barcaghju!$C$44:$C$52</c:f>
              <c:strCache>
                <c:ptCount val="9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Barcaghju!$J$44:$J$52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5620</c:v>
                </c:pt>
                <c:pt idx="3">
                  <c:v>40</c:v>
                </c:pt>
                <c:pt idx="4">
                  <c:v>0</c:v>
                </c:pt>
                <c:pt idx="5">
                  <c:v>180</c:v>
                </c:pt>
                <c:pt idx="6">
                  <c:v>3680</c:v>
                </c:pt>
                <c:pt idx="7">
                  <c:v>0</c:v>
                </c:pt>
                <c:pt idx="8">
                  <c:v>300</c:v>
                </c:pt>
              </c:numCache>
            </c:numRef>
          </c:val>
        </c:ser>
        <c:ser>
          <c:idx val="7"/>
          <c:order val="7"/>
          <c:tx>
            <c:strRef>
              <c:f>Barcaghju!$K$43</c:f>
              <c:strCache>
                <c:ptCount val="1"/>
                <c:pt idx="0">
                  <c:v>Hiver 2023</c:v>
                </c:pt>
              </c:strCache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Barcaghju!$C$44:$C$52</c:f>
              <c:strCache>
                <c:ptCount val="9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Barcaghju!$K$44:$K$52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760</c:v>
                </c:pt>
                <c:pt idx="3">
                  <c:v>0</c:v>
                </c:pt>
                <c:pt idx="4">
                  <c:v>0</c:v>
                </c:pt>
                <c:pt idx="5">
                  <c:v>120</c:v>
                </c:pt>
                <c:pt idx="6">
                  <c:v>1220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8"/>
          <c:order val="8"/>
          <c:tx>
            <c:strRef>
              <c:f>Barcaghju!$L$43</c:f>
              <c:strCache>
                <c:ptCount val="1"/>
                <c:pt idx="0">
                  <c:v>Printemps 2024</c:v>
                </c:pt>
              </c:strCache>
            </c:strRef>
          </c:tx>
          <c:invertIfNegative val="0"/>
          <c:dLbls>
            <c:delete val="1"/>
          </c:dLbls>
          <c:cat>
            <c:strRef>
              <c:f>Barcaghju!$C$44:$C$52</c:f>
              <c:strCache>
                <c:ptCount val="9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Barcaghju!$L$44:$L$52</c:f>
              <c:numCache>
                <c:formatCode>General</c:formatCode>
                <c:ptCount val="9"/>
              </c:numCache>
            </c:numRef>
          </c:val>
        </c:ser>
        <c:ser>
          <c:idx val="9"/>
          <c:order val="9"/>
          <c:tx>
            <c:strRef>
              <c:f>Barcaghju!$M$43</c:f>
              <c:strCache>
                <c:ptCount val="1"/>
                <c:pt idx="0">
                  <c:v>Eté 2024</c:v>
                </c:pt>
              </c:strCache>
            </c:strRef>
          </c:tx>
          <c:invertIfNegative val="0"/>
          <c:dLbls>
            <c:delete val="1"/>
          </c:dLbls>
          <c:cat>
            <c:strRef>
              <c:f>Barcaghju!$C$44:$C$52</c:f>
              <c:strCache>
                <c:ptCount val="9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Barcaghju!$M$44:$M$52</c:f>
              <c:numCache>
                <c:formatCode>General</c:formatCode>
                <c:ptCount val="9"/>
              </c:numCache>
            </c:numRef>
          </c:val>
        </c:ser>
        <c:ser>
          <c:idx val="10"/>
          <c:order val="10"/>
          <c:tx>
            <c:strRef>
              <c:f>Barcaghju!$N$43</c:f>
              <c:strCache>
                <c:ptCount val="1"/>
                <c:pt idx="0">
                  <c:v>Automne 2024</c:v>
                </c:pt>
              </c:strCache>
            </c:strRef>
          </c:tx>
          <c:invertIfNegative val="0"/>
          <c:dLbls>
            <c:delete val="1"/>
          </c:dLbls>
          <c:cat>
            <c:strRef>
              <c:f>Barcaghju!$C$44:$C$52</c:f>
              <c:strCache>
                <c:ptCount val="9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Barcaghju!$N$44:$N$52</c:f>
              <c:numCache>
                <c:formatCode>General</c:formatCode>
                <c:ptCount val="9"/>
              </c:numCache>
            </c:numRef>
          </c:val>
        </c:ser>
        <c:ser>
          <c:idx val="11"/>
          <c:order val="11"/>
          <c:tx>
            <c:strRef>
              <c:f>Barcaghju!$O$43</c:f>
              <c:strCache>
                <c:ptCount val="1"/>
                <c:pt idx="0">
                  <c:v>Hiver 2024</c:v>
                </c:pt>
              </c:strCache>
            </c:strRef>
          </c:tx>
          <c:invertIfNegative val="0"/>
          <c:dLbls>
            <c:delete val="1"/>
          </c:dLbls>
          <c:cat>
            <c:strRef>
              <c:f>Barcaghju!$C$44:$C$52</c:f>
              <c:strCache>
                <c:ptCount val="9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Barcaghju!$O$44:$O$52</c:f>
              <c:numCache>
                <c:formatCode>General</c:formatCode>
                <c:ptCount val="9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382435"/>
        <c:axId val="1120707601"/>
      </c:barChart>
      <c:catAx>
        <c:axId val="4338243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Catégories de microplastiques</a:t>
                </a:r>
                <a:endParaRPr b="1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120707601"/>
        <c:crosses val="autoZero"/>
        <c:auto val="1"/>
        <c:lblAlgn val="ctr"/>
        <c:lblOffset val="100"/>
        <c:noMultiLvlLbl val="0"/>
      </c:catAx>
      <c:valAx>
        <c:axId val="1120707601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Quantité de microplastiques normalisés sur 100m</a:t>
                </a:r>
                <a:endParaRPr b="1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43382435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1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Catégories de microplastiques collectés sur la plage de Saleccia à chaque saison </a:t>
            </a:r>
            <a:endParaRPr b="1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Saleccia!$D$43</c:f>
              <c:strCache>
                <c:ptCount val="1"/>
                <c:pt idx="0">
                  <c:v>Printemps 2022</c:v>
                </c:pt>
              </c:strCache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Saleccia!$C$44:$C$52</c:f>
              <c:strCache>
                <c:ptCount val="9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Saleccia!$D$44:$D$52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20</c:v>
                </c:pt>
                <c:pt idx="3">
                  <c:v>20</c:v>
                </c:pt>
                <c:pt idx="4">
                  <c:v>0</c:v>
                </c:pt>
                <c:pt idx="5">
                  <c:v>540</c:v>
                </c:pt>
                <c:pt idx="6">
                  <c:v>40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strRef>
              <c:f>Saleccia!$E$43</c:f>
              <c:strCache>
                <c:ptCount val="1"/>
                <c:pt idx="0">
                  <c:v>Eté 2022</c:v>
                </c:pt>
              </c:strCache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Saleccia!$C$44:$C$52</c:f>
              <c:strCache>
                <c:ptCount val="9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Saleccia!$E$44:$E$52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20</c:v>
                </c:pt>
                <c:pt idx="4">
                  <c:v>0</c:v>
                </c:pt>
                <c:pt idx="5">
                  <c:v>0</c:v>
                </c:pt>
                <c:pt idx="6">
                  <c:v>140</c:v>
                </c:pt>
                <c:pt idx="7">
                  <c:v>40</c:v>
                </c:pt>
                <c:pt idx="8">
                  <c:v>0</c:v>
                </c:pt>
              </c:numCache>
            </c:numRef>
          </c:val>
        </c:ser>
        <c:ser>
          <c:idx val="2"/>
          <c:order val="2"/>
          <c:tx>
            <c:strRef>
              <c:f>Saleccia!$F$43</c:f>
              <c:strCache>
                <c:ptCount val="1"/>
                <c:pt idx="0">
                  <c:v>Automne 2022</c:v>
                </c:pt>
              </c:strCache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Saleccia!$C$44:$C$52</c:f>
              <c:strCache>
                <c:ptCount val="9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Saleccia!$F$44:$F$52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3"/>
          <c:order val="3"/>
          <c:tx>
            <c:strRef>
              <c:f>Saleccia!$G$43</c:f>
              <c:strCache>
                <c:ptCount val="1"/>
                <c:pt idx="0">
                  <c:v>Hiver 2022</c:v>
                </c:pt>
              </c:strCache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Saleccia!$C$44:$C$52</c:f>
              <c:strCache>
                <c:ptCount val="9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Saleccia!$G$44:$G$52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860</c:v>
                </c:pt>
                <c:pt idx="3">
                  <c:v>0</c:v>
                </c:pt>
                <c:pt idx="4">
                  <c:v>0</c:v>
                </c:pt>
                <c:pt idx="5">
                  <c:v>20</c:v>
                </c:pt>
                <c:pt idx="6">
                  <c:v>520</c:v>
                </c:pt>
                <c:pt idx="7">
                  <c:v>40</c:v>
                </c:pt>
                <c:pt idx="8">
                  <c:v>0</c:v>
                </c:pt>
              </c:numCache>
            </c:numRef>
          </c:val>
        </c:ser>
        <c:ser>
          <c:idx val="4"/>
          <c:order val="4"/>
          <c:tx>
            <c:strRef>
              <c:f>Saleccia!$H$43</c:f>
              <c:strCache>
                <c:ptCount val="1"/>
                <c:pt idx="0">
                  <c:v>Printemps 2023</c:v>
                </c:pt>
              </c:strCache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Saleccia!$C$44:$C$52</c:f>
              <c:strCache>
                <c:ptCount val="9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Saleccia!$H$44:$H$52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380</c:v>
                </c:pt>
                <c:pt idx="3">
                  <c:v>40</c:v>
                </c:pt>
                <c:pt idx="4">
                  <c:v>0</c:v>
                </c:pt>
                <c:pt idx="5">
                  <c:v>100</c:v>
                </c:pt>
                <c:pt idx="6">
                  <c:v>980</c:v>
                </c:pt>
                <c:pt idx="7">
                  <c:v>0</c:v>
                </c:pt>
                <c:pt idx="8">
                  <c:v>40</c:v>
                </c:pt>
              </c:numCache>
            </c:numRef>
          </c:val>
        </c:ser>
        <c:ser>
          <c:idx val="5"/>
          <c:order val="5"/>
          <c:tx>
            <c:strRef>
              <c:f>Saleccia!$I$43</c:f>
              <c:strCache>
                <c:ptCount val="1"/>
                <c:pt idx="0">
                  <c:v>Eté 2023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Saleccia!$C$44:$C$52</c:f>
              <c:strCache>
                <c:ptCount val="9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Saleccia!$I$44:$I$52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360</c:v>
                </c:pt>
                <c:pt idx="3">
                  <c:v>20</c:v>
                </c:pt>
                <c:pt idx="4">
                  <c:v>0</c:v>
                </c:pt>
                <c:pt idx="5">
                  <c:v>320</c:v>
                </c:pt>
                <c:pt idx="6">
                  <c:v>580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6"/>
          <c:order val="6"/>
          <c:tx>
            <c:strRef>
              <c:f>Saleccia!$J$43</c:f>
              <c:strCache>
                <c:ptCount val="1"/>
                <c:pt idx="0">
                  <c:v>Automne 2023</c:v>
                </c:pt>
              </c:strCache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invertIfNegative val="0"/>
          <c:dPt>
            <c:idx val="6"/>
            <c:invertIfNegative val="0"/>
            <c:bubble3D val="0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Lbls>
            <c:delete val="1"/>
          </c:dLbls>
          <c:cat>
            <c:strRef>
              <c:f>Saleccia!$C$44:$C$52</c:f>
              <c:strCache>
                <c:ptCount val="9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Saleccia!$J$44:$J$52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1920</c:v>
                </c:pt>
                <c:pt idx="3">
                  <c:v>0</c:v>
                </c:pt>
                <c:pt idx="4">
                  <c:v>0</c:v>
                </c:pt>
                <c:pt idx="5">
                  <c:v>500</c:v>
                </c:pt>
                <c:pt idx="6">
                  <c:v>820</c:v>
                </c:pt>
                <c:pt idx="7">
                  <c:v>60</c:v>
                </c:pt>
                <c:pt idx="8">
                  <c:v>220</c:v>
                </c:pt>
              </c:numCache>
            </c:numRef>
          </c:val>
        </c:ser>
        <c:ser>
          <c:idx val="7"/>
          <c:order val="7"/>
          <c:tx>
            <c:strRef>
              <c:f>Saleccia!$K$43</c:f>
              <c:strCache>
                <c:ptCount val="1"/>
                <c:pt idx="0">
                  <c:v>Hiver 2023</c:v>
                </c:pt>
              </c:strCache>
            </c:strRef>
          </c:tx>
          <c:invertIfNegative val="0"/>
          <c:dLbls>
            <c:delete val="1"/>
          </c:dLbls>
          <c:cat>
            <c:strRef>
              <c:f>Saleccia!$C$44:$C$52</c:f>
              <c:strCache>
                <c:ptCount val="9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Saleccia!$K$44:$K$52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0</c:v>
                </c:pt>
                <c:pt idx="6">
                  <c:v>260</c:v>
                </c:pt>
                <c:pt idx="7">
                  <c:v>0</c:v>
                </c:pt>
                <c:pt idx="8">
                  <c:v>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713491"/>
        <c:axId val="1372217110"/>
      </c:barChart>
      <c:catAx>
        <c:axId val="105671349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Catégories de microplastiques</a:t>
                </a:r>
                <a:endParaRPr b="1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372217110"/>
        <c:crosses val="autoZero"/>
        <c:auto val="1"/>
        <c:lblAlgn val="ctr"/>
        <c:lblOffset val="100"/>
        <c:noMultiLvlLbl val="0"/>
      </c:catAx>
      <c:valAx>
        <c:axId val="137221711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Quantité sur 100m de plage (en nombre)</a:t>
                </a:r>
                <a:endParaRPr b="1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056713491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1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Catégories de microplastiques collectés sur la plage de la Roya à chaque saison </a:t>
            </a:r>
            <a:endParaRPr b="1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'La Roya'!$D$42:$D$43</c:f>
              <c:strCache>
                <c:ptCount val="1"/>
                <c:pt idx="0">
                  <c:v>2022 Printemps 2022</c:v>
                </c:pt>
              </c:strCache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'La Roya'!$C$44:$C$52</c:f>
              <c:strCache>
                <c:ptCount val="9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'La Roya'!$D$44:$D$52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strRef>
              <c:f>'La Roya'!$E$42:$E$43</c:f>
              <c:strCache>
                <c:ptCount val="1"/>
                <c:pt idx="0">
                  <c:v>2022 Eté 2022</c:v>
                </c:pt>
              </c:strCache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'La Roya'!$C$44:$C$52</c:f>
              <c:strCache>
                <c:ptCount val="9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'La Roya'!$E$44:$E$52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2"/>
          <c:order val="2"/>
          <c:tx>
            <c:strRef>
              <c:f>'La Roya'!$F$42:$F$43</c:f>
              <c:strCache>
                <c:ptCount val="1"/>
                <c:pt idx="0">
                  <c:v>2022 Automne 2022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'La Roya'!$C$44:$C$52</c:f>
              <c:strCache>
                <c:ptCount val="9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'La Roya'!$F$44:$F$52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140</c:v>
                </c:pt>
                <c:pt idx="3">
                  <c:v>140</c:v>
                </c:pt>
                <c:pt idx="4">
                  <c:v>200</c:v>
                </c:pt>
                <c:pt idx="5">
                  <c:v>280</c:v>
                </c:pt>
                <c:pt idx="6">
                  <c:v>6200</c:v>
                </c:pt>
                <c:pt idx="7">
                  <c:v>0</c:v>
                </c:pt>
                <c:pt idx="8">
                  <c:v>120</c:v>
                </c:pt>
              </c:numCache>
            </c:numRef>
          </c:val>
        </c:ser>
        <c:ser>
          <c:idx val="3"/>
          <c:order val="3"/>
          <c:tx>
            <c:strRef>
              <c:f>'La Roya'!$G$42:$G$43</c:f>
              <c:strCache>
                <c:ptCount val="1"/>
                <c:pt idx="0">
                  <c:v>2022 Hiver 2022</c:v>
                </c:pt>
              </c:strCache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'La Roya'!$C$44:$C$52</c:f>
              <c:strCache>
                <c:ptCount val="9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'La Roya'!$G$44:$G$52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160</c:v>
                </c:pt>
                <c:pt idx="3">
                  <c:v>160</c:v>
                </c:pt>
                <c:pt idx="4">
                  <c:v>0</c:v>
                </c:pt>
                <c:pt idx="5">
                  <c:v>180</c:v>
                </c:pt>
                <c:pt idx="6">
                  <c:v>840</c:v>
                </c:pt>
                <c:pt idx="7">
                  <c:v>0</c:v>
                </c:pt>
                <c:pt idx="8">
                  <c:v>20</c:v>
                </c:pt>
              </c:numCache>
            </c:numRef>
          </c:val>
        </c:ser>
        <c:ser>
          <c:idx val="4"/>
          <c:order val="4"/>
          <c:tx>
            <c:strRef>
              <c:f>'La Roya'!$H$42:$H$43</c:f>
              <c:strCache>
                <c:ptCount val="1"/>
                <c:pt idx="0">
                  <c:v>2023 Printemps 2023</c:v>
                </c:pt>
              </c:strCache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'La Roya'!$C$44:$C$52</c:f>
              <c:strCache>
                <c:ptCount val="9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'La Roya'!$H$44:$H$52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160</c:v>
                </c:pt>
                <c:pt idx="3">
                  <c:v>160</c:v>
                </c:pt>
                <c:pt idx="4">
                  <c:v>120</c:v>
                </c:pt>
                <c:pt idx="5">
                  <c:v>260</c:v>
                </c:pt>
                <c:pt idx="6">
                  <c:v>380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5"/>
          <c:order val="5"/>
          <c:tx>
            <c:strRef>
              <c:f>'La Roya'!$I$42:$I$43</c:f>
              <c:strCache>
                <c:ptCount val="1"/>
                <c:pt idx="0">
                  <c:v>2023 Eté 2023</c:v>
                </c:pt>
              </c:strCache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'La Roya'!$C$44:$C$52</c:f>
              <c:strCache>
                <c:ptCount val="9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'La Roya'!$I$44:$I$52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200</c:v>
                </c:pt>
                <c:pt idx="3">
                  <c:v>360</c:v>
                </c:pt>
                <c:pt idx="4">
                  <c:v>180</c:v>
                </c:pt>
                <c:pt idx="5">
                  <c:v>220</c:v>
                </c:pt>
                <c:pt idx="6">
                  <c:v>1700</c:v>
                </c:pt>
                <c:pt idx="7">
                  <c:v>580</c:v>
                </c:pt>
                <c:pt idx="8">
                  <c:v>180</c:v>
                </c:pt>
              </c:numCache>
            </c:numRef>
          </c:val>
        </c:ser>
        <c:ser>
          <c:idx val="6"/>
          <c:order val="6"/>
          <c:tx>
            <c:strRef>
              <c:f>'La Roya'!$J$42:$J$43</c:f>
              <c:strCache>
                <c:ptCount val="1"/>
                <c:pt idx="0">
                  <c:v>2023 Automne 2023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'La Roya'!$C$44:$C$52</c:f>
              <c:strCache>
                <c:ptCount val="9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'La Roya'!$J$44:$J$52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40</c:v>
                </c:pt>
                <c:pt idx="5">
                  <c:v>160</c:v>
                </c:pt>
                <c:pt idx="6">
                  <c:v>1080</c:v>
                </c:pt>
                <c:pt idx="7">
                  <c:v>60</c:v>
                </c:pt>
                <c:pt idx="8">
                  <c:v>140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324630"/>
        <c:axId val="1572043808"/>
      </c:barChart>
      <c:catAx>
        <c:axId val="24232463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catégories de micropalstiques</a:t>
                </a:r>
                <a:endParaRPr b="1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572043808"/>
        <c:crosses val="autoZero"/>
        <c:auto val="1"/>
        <c:lblAlgn val="ctr"/>
        <c:lblOffset val="100"/>
        <c:noMultiLvlLbl val="0"/>
      </c:catAx>
      <c:valAx>
        <c:axId val="1572043808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Quantité sur 100m de plage (en nombre)</a:t>
                </a:r>
                <a:endParaRPr b="1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24232463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1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Catégories de microplastiques collectés sur la plage de Macinaghju à chaque saison </a:t>
            </a:r>
            <a:endParaRPr b="1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Petracurbara!$D$43</c:f>
              <c:strCache>
                <c:ptCount val="1"/>
                <c:pt idx="0">
                  <c:v>Printemps 2022</c:v>
                </c:pt>
              </c:strCache>
            </c:strRef>
          </c:tx>
          <c:spPr>
            <a:solidFill>
              <a:srgbClr val="FFA766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Petracurbara!$C$44:$C$52</c:f>
              <c:strCache>
                <c:ptCount val="9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Petracurbara!$D$44:$D$52</c:f>
              <c:numCache>
                <c:formatCode>General</c:formatCode>
                <c:ptCount val="9"/>
              </c:numCache>
            </c:numRef>
          </c:val>
        </c:ser>
        <c:ser>
          <c:idx val="1"/>
          <c:order val="1"/>
          <c:tx>
            <c:strRef>
              <c:f>Petracurbara!$E$43</c:f>
              <c:strCache>
                <c:ptCount val="1"/>
                <c:pt idx="0">
                  <c:v>Eté 2022</c:v>
                </c:pt>
              </c:strCache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Petracurbara!$C$44:$C$52</c:f>
              <c:strCache>
                <c:ptCount val="9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Petracurbara!$E$44:$E$52</c:f>
              <c:numCache>
                <c:formatCode>General</c:formatCode>
                <c:ptCount val="9"/>
              </c:numCache>
            </c:numRef>
          </c:val>
        </c:ser>
        <c:ser>
          <c:idx val="2"/>
          <c:order val="2"/>
          <c:tx>
            <c:strRef>
              <c:f>Petracurbara!$F$43</c:f>
              <c:strCache>
                <c:ptCount val="1"/>
                <c:pt idx="0">
                  <c:v>Automne 2022</c:v>
                </c:pt>
              </c:strCache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Petracurbara!$C$44:$C$52</c:f>
              <c:strCache>
                <c:ptCount val="9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Petracurbara!$F$44:$F$52</c:f>
              <c:numCache>
                <c:formatCode>General</c:formatCode>
                <c:ptCount val="9"/>
                <c:pt idx="0">
                  <c:v>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100</c:v>
                </c:pt>
                <c:pt idx="5">
                  <c:v>140</c:v>
                </c:pt>
                <c:pt idx="6">
                  <c:v>0</c:v>
                </c:pt>
                <c:pt idx="7">
                  <c:v>0</c:v>
                </c:pt>
                <c:pt idx="8">
                  <c:v>420</c:v>
                </c:pt>
              </c:numCache>
            </c:numRef>
          </c:val>
        </c:ser>
        <c:ser>
          <c:idx val="3"/>
          <c:order val="3"/>
          <c:tx>
            <c:strRef>
              <c:f>Petracurbara!$G$43</c:f>
              <c:strCache>
                <c:ptCount val="1"/>
                <c:pt idx="0">
                  <c:v>Hiver 2022</c:v>
                </c:pt>
              </c:strCache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Petracurbara!$C$44:$C$52</c:f>
              <c:strCache>
                <c:ptCount val="9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Petracurbara!$G$44:$G$52</c:f>
              <c:numCache>
                <c:formatCode>General</c:formatCode>
                <c:ptCount val="9"/>
                <c:pt idx="0">
                  <c:v>0</c:v>
                </c:pt>
                <c:pt idx="1">
                  <c:v>40</c:v>
                </c:pt>
                <c:pt idx="2">
                  <c:v>40</c:v>
                </c:pt>
                <c:pt idx="3">
                  <c:v>60</c:v>
                </c:pt>
                <c:pt idx="4">
                  <c:v>140</c:v>
                </c:pt>
                <c:pt idx="5">
                  <c:v>440</c:v>
                </c:pt>
                <c:pt idx="6">
                  <c:v>20</c:v>
                </c:pt>
                <c:pt idx="7">
                  <c:v>0</c:v>
                </c:pt>
                <c:pt idx="8">
                  <c:v>740</c:v>
                </c:pt>
              </c:numCache>
            </c:numRef>
          </c:val>
        </c:ser>
        <c:ser>
          <c:idx val="4"/>
          <c:order val="4"/>
          <c:tx>
            <c:strRef>
              <c:f>Petracurbara!$H$43</c:f>
              <c:strCache>
                <c:ptCount val="1"/>
                <c:pt idx="0">
                  <c:v>Printemps 2023</c:v>
                </c:pt>
              </c:strCache>
            </c:strRef>
          </c:tx>
          <c:spPr>
            <a:solidFill>
              <a:srgbClr val="FFA766"/>
            </a:solidFill>
            <a:ln cmpd="sng">
              <a:solidFill>
                <a:srgbClr val="000000"/>
              </a:solidFill>
            </a:ln>
          </c:spPr>
          <c:invertIfNegative val="0"/>
          <c:dPt>
            <c:idx val="8"/>
            <c:invertIfNegative val="0"/>
            <c:bubble3D val="0"/>
            <c:spPr>
              <a:solidFill>
                <a:srgbClr val="FFA766"/>
              </a:solidFill>
              <a:ln cmpd="sng">
                <a:solidFill>
                  <a:srgbClr val="000000"/>
                </a:solidFill>
              </a:ln>
            </c:spPr>
          </c:dPt>
          <c:dLbls>
            <c:delete val="1"/>
          </c:dLbls>
          <c:cat>
            <c:strRef>
              <c:f>Petracurbara!$C$44:$C$52</c:f>
              <c:strCache>
                <c:ptCount val="9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Petracurbara!$H$44:$H$52</c:f>
              <c:numCache>
                <c:formatCode>General</c:formatCode>
                <c:ptCount val="9"/>
                <c:pt idx="0">
                  <c:v>60</c:v>
                </c:pt>
                <c:pt idx="1">
                  <c:v>100</c:v>
                </c:pt>
                <c:pt idx="2">
                  <c:v>100</c:v>
                </c:pt>
                <c:pt idx="3">
                  <c:v>20</c:v>
                </c:pt>
                <c:pt idx="4">
                  <c:v>60</c:v>
                </c:pt>
                <c:pt idx="5">
                  <c:v>260</c:v>
                </c:pt>
                <c:pt idx="6">
                  <c:v>0</c:v>
                </c:pt>
                <c:pt idx="7">
                  <c:v>0</c:v>
                </c:pt>
                <c:pt idx="8">
                  <c:v>660</c:v>
                </c:pt>
              </c:numCache>
            </c:numRef>
          </c:val>
        </c:ser>
        <c:ser>
          <c:idx val="5"/>
          <c:order val="5"/>
          <c:tx>
            <c:strRef>
              <c:f>Petracurbara!$I$43</c:f>
              <c:strCache>
                <c:ptCount val="1"/>
                <c:pt idx="0">
                  <c:v>Eté 2023</c:v>
                </c:pt>
              </c:strCache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invertIfNegative val="0"/>
          <c:dPt>
            <c:idx val="8"/>
            <c:invertIfNegative val="0"/>
            <c:bubble3D val="0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Lbls>
            <c:delete val="1"/>
          </c:dLbls>
          <c:cat>
            <c:strRef>
              <c:f>Petracurbara!$C$44:$C$52</c:f>
              <c:strCache>
                <c:ptCount val="9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Petracurbara!$I$44:$I$52</c:f>
              <c:numCache>
                <c:formatCode>General</c:formatCode>
                <c:ptCount val="9"/>
                <c:pt idx="0">
                  <c:v>0</c:v>
                </c:pt>
                <c:pt idx="1">
                  <c:v>60</c:v>
                </c:pt>
                <c:pt idx="2">
                  <c:v>20</c:v>
                </c:pt>
                <c:pt idx="3">
                  <c:v>60</c:v>
                </c:pt>
                <c:pt idx="4">
                  <c:v>140</c:v>
                </c:pt>
                <c:pt idx="5">
                  <c:v>300</c:v>
                </c:pt>
                <c:pt idx="6">
                  <c:v>0</c:v>
                </c:pt>
                <c:pt idx="7">
                  <c:v>20</c:v>
                </c:pt>
                <c:pt idx="8">
                  <c:v>600</c:v>
                </c:pt>
              </c:numCache>
            </c:numRef>
          </c:val>
        </c:ser>
        <c:ser>
          <c:idx val="6"/>
          <c:order val="6"/>
          <c:tx>
            <c:strRef>
              <c:f>Petracurbara!$J$43</c:f>
              <c:strCache>
                <c:ptCount val="1"/>
                <c:pt idx="0">
                  <c:v>Automne 2023</c:v>
                </c:pt>
              </c:strCache>
            </c:strRef>
          </c:tx>
          <c:invertIfNegative val="0"/>
          <c:dLbls>
            <c:delete val="1"/>
          </c:dLbls>
          <c:cat>
            <c:strRef>
              <c:f>Petracurbara!$C$44:$C$52</c:f>
              <c:strCache>
                <c:ptCount val="9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Petracurbara!$J$44:$J$52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120</c:v>
                </c:pt>
                <c:pt idx="5">
                  <c:v>320</c:v>
                </c:pt>
                <c:pt idx="6">
                  <c:v>0</c:v>
                </c:pt>
                <c:pt idx="7">
                  <c:v>80</c:v>
                </c:pt>
                <c:pt idx="8">
                  <c:v>520</c:v>
                </c:pt>
              </c:numCache>
            </c:numRef>
          </c:val>
        </c:ser>
        <c:ser>
          <c:idx val="7"/>
          <c:order val="7"/>
          <c:tx>
            <c:strRef>
              <c:f>Petracurbara!$K$43</c:f>
              <c:strCache>
                <c:ptCount val="1"/>
                <c:pt idx="0">
                  <c:v>Hiver 2023</c:v>
                </c:pt>
              </c:strCache>
            </c:strRef>
          </c:tx>
          <c:invertIfNegative val="0"/>
          <c:dLbls>
            <c:delete val="1"/>
          </c:dLbls>
          <c:cat>
            <c:strRef>
              <c:f>Petracurbara!$C$44:$C$52</c:f>
              <c:strCache>
                <c:ptCount val="9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Petracurbara!$K$44:$K$52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140</c:v>
                </c:pt>
                <c:pt idx="6">
                  <c:v>20</c:v>
                </c:pt>
                <c:pt idx="7">
                  <c:v>0</c:v>
                </c:pt>
                <c:pt idx="8">
                  <c:v>180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8783571"/>
        <c:axId val="981334116"/>
      </c:barChart>
      <c:catAx>
        <c:axId val="40878357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Catégories de microplastiques</a:t>
                </a:r>
                <a:endParaRPr b="1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981334116"/>
        <c:crosses val="autoZero"/>
        <c:auto val="1"/>
        <c:lblAlgn val="ctr"/>
        <c:lblOffset val="100"/>
        <c:noMultiLvlLbl val="0"/>
      </c:catAx>
      <c:valAx>
        <c:axId val="981334116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Quantité sur 100m de plage (en nombre)</a:t>
                </a:r>
                <a:endParaRPr b="1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408783571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1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Catégories de microplastiques collectés sur la plage de Macinaghju à chaque saison </a:t>
            </a:r>
            <a:endParaRPr b="1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Macinaghju!$F$42:$F$43</c:f>
              <c:strCache>
                <c:ptCount val="1"/>
                <c:pt idx="0">
                  <c:v>2022 Automne 2022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Macinaghju!$C$44:$C$52</c:f>
              <c:strCache>
                <c:ptCount val="9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Macinaghju!$F$44:$F$52</c:f>
              <c:numCache>
                <c:formatCode>General</c:formatCode>
                <c:ptCount val="9"/>
                <c:pt idx="0">
                  <c:v>60</c:v>
                </c:pt>
                <c:pt idx="1">
                  <c:v>0</c:v>
                </c:pt>
                <c:pt idx="2">
                  <c:v>80</c:v>
                </c:pt>
                <c:pt idx="3">
                  <c:v>80</c:v>
                </c:pt>
                <c:pt idx="4">
                  <c:v>40</c:v>
                </c:pt>
                <c:pt idx="5">
                  <c:v>320</c:v>
                </c:pt>
                <c:pt idx="6">
                  <c:v>3300</c:v>
                </c:pt>
                <c:pt idx="7">
                  <c:v>40</c:v>
                </c:pt>
                <c:pt idx="8">
                  <c:v>240</c:v>
                </c:pt>
              </c:numCache>
            </c:numRef>
          </c:val>
        </c:ser>
        <c:ser>
          <c:idx val="1"/>
          <c:order val="1"/>
          <c:tx>
            <c:strRef>
              <c:f>Macinaghju!$G$42:$G$43</c:f>
              <c:strCache>
                <c:ptCount val="1"/>
                <c:pt idx="0">
                  <c:v>2022 Hiver 2022</c:v>
                </c:pt>
              </c:strCache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Macinaghju!$C$44:$C$52</c:f>
              <c:strCache>
                <c:ptCount val="9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Macinaghju!$G$44:$G$52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120</c:v>
                </c:pt>
                <c:pt idx="3">
                  <c:v>120</c:v>
                </c:pt>
                <c:pt idx="4">
                  <c:v>80</c:v>
                </c:pt>
                <c:pt idx="5">
                  <c:v>520</c:v>
                </c:pt>
                <c:pt idx="6">
                  <c:v>2500</c:v>
                </c:pt>
                <c:pt idx="7">
                  <c:v>60</c:v>
                </c:pt>
                <c:pt idx="8">
                  <c:v>60</c:v>
                </c:pt>
              </c:numCache>
            </c:numRef>
          </c:val>
        </c:ser>
        <c:ser>
          <c:idx val="2"/>
          <c:order val="2"/>
          <c:tx>
            <c:strRef>
              <c:f>Macinaghju!$H$42:$H$43</c:f>
              <c:strCache>
                <c:ptCount val="1"/>
                <c:pt idx="0">
                  <c:v>2023 Printemps 2023</c:v>
                </c:pt>
              </c:strCache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Macinaghju!$C$44:$C$52</c:f>
              <c:strCache>
                <c:ptCount val="9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Macinaghju!$H$44:$H$52</c:f>
              <c:numCache>
                <c:formatCode>General</c:formatCode>
                <c:ptCount val="9"/>
                <c:pt idx="0">
                  <c:v>60</c:v>
                </c:pt>
                <c:pt idx="1">
                  <c:v>60</c:v>
                </c:pt>
                <c:pt idx="2">
                  <c:v>20</c:v>
                </c:pt>
                <c:pt idx="3">
                  <c:v>20</c:v>
                </c:pt>
                <c:pt idx="4">
                  <c:v>0</c:v>
                </c:pt>
                <c:pt idx="5">
                  <c:v>120</c:v>
                </c:pt>
                <c:pt idx="6">
                  <c:v>600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3"/>
          <c:order val="3"/>
          <c:tx>
            <c:strRef>
              <c:f>Macinaghju!$I$42:$I$43</c:f>
              <c:strCache>
                <c:ptCount val="1"/>
                <c:pt idx="0">
                  <c:v>2023 Eté 2023</c:v>
                </c:pt>
              </c:strCache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Macinaghju!$C$44:$C$52</c:f>
              <c:strCache>
                <c:ptCount val="9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Macinaghju!$I$44:$I$52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600</c:v>
                </c:pt>
                <c:pt idx="3">
                  <c:v>0</c:v>
                </c:pt>
                <c:pt idx="4">
                  <c:v>0</c:v>
                </c:pt>
                <c:pt idx="5">
                  <c:v>360</c:v>
                </c:pt>
                <c:pt idx="6">
                  <c:v>2600</c:v>
                </c:pt>
                <c:pt idx="7">
                  <c:v>240</c:v>
                </c:pt>
                <c:pt idx="8">
                  <c:v>60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1572696"/>
        <c:axId val="491279680"/>
      </c:barChart>
      <c:catAx>
        <c:axId val="48157269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Catégories de microplastiques</a:t>
                </a:r>
                <a:endParaRPr b="1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491279680"/>
        <c:crosses val="autoZero"/>
        <c:auto val="1"/>
        <c:lblAlgn val="ctr"/>
        <c:lblOffset val="100"/>
        <c:noMultiLvlLbl val="0"/>
      </c:catAx>
      <c:valAx>
        <c:axId val="49127968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Quantité sur 100m de plage (en nombre)</a:t>
                </a:r>
                <a:endParaRPr b="1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481572696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1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Catégories de microplastiques collectés sur la plage de Lozari à chaque saison </a:t>
            </a:r>
            <a:endParaRPr b="1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Lozari!$F$44</c:f>
              <c:strCache>
                <c:ptCount val="1"/>
                <c:pt idx="0">
                  <c:v>Automne 2022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Lozari!$C$46:$C$53</c:f>
              <c:strCache>
                <c:ptCount val="8"/>
                <c:pt idx="0">
                  <c:v>Bioperles</c:v>
                </c:pt>
                <c:pt idx="1">
                  <c:v>GPI</c:v>
                </c:pt>
                <c:pt idx="2">
                  <c:v>Fragment de fibre</c:v>
                </c:pt>
                <c:pt idx="3">
                  <c:v>Films plastiques </c:v>
                </c:pt>
                <c:pt idx="4">
                  <c:v>Fragments jeunes</c:v>
                </c:pt>
                <c:pt idx="5">
                  <c:v>Fragments vieillis</c:v>
                </c:pt>
                <c:pt idx="6">
                  <c:v>Mousses</c:v>
                </c:pt>
                <c:pt idx="7">
                  <c:v>Polystirène expansé </c:v>
                </c:pt>
              </c:strCache>
            </c:strRef>
          </c:cat>
          <c:val>
            <c:numRef>
              <c:f>Lozari!$F$45:$F$53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200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</c:numCache>
            </c:numRef>
          </c:val>
        </c:ser>
        <c:ser>
          <c:idx val="1"/>
          <c:order val="1"/>
          <c:tx>
            <c:strRef>
              <c:f>Lozari!$G$44</c:f>
              <c:strCache>
                <c:ptCount val="1"/>
                <c:pt idx="0">
                  <c:v>Hiver 2022</c:v>
                </c:pt>
              </c:strCache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Lozari!$C$46:$C$53</c:f>
              <c:strCache>
                <c:ptCount val="8"/>
                <c:pt idx="0">
                  <c:v>Bioperles</c:v>
                </c:pt>
                <c:pt idx="1">
                  <c:v>GPI</c:v>
                </c:pt>
                <c:pt idx="2">
                  <c:v>Fragment de fibre</c:v>
                </c:pt>
                <c:pt idx="3">
                  <c:v>Films plastiques </c:v>
                </c:pt>
                <c:pt idx="4">
                  <c:v>Fragments jeunes</c:v>
                </c:pt>
                <c:pt idx="5">
                  <c:v>Fragments vieillis</c:v>
                </c:pt>
                <c:pt idx="6">
                  <c:v>Mousses</c:v>
                </c:pt>
                <c:pt idx="7">
                  <c:v>Polystirène expansé </c:v>
                </c:pt>
              </c:strCache>
            </c:strRef>
          </c:cat>
          <c:val>
            <c:numRef>
              <c:f>Lozari!$G$45:$G$53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2"/>
          <c:order val="2"/>
          <c:tx>
            <c:strRef>
              <c:f>Lozari!$H$44</c:f>
              <c:strCache>
                <c:ptCount val="1"/>
                <c:pt idx="0">
                  <c:v>Printemps 2023</c:v>
                </c:pt>
              </c:strCache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Lozari!$C$46:$C$53</c:f>
              <c:strCache>
                <c:ptCount val="8"/>
                <c:pt idx="0">
                  <c:v>Bioperles</c:v>
                </c:pt>
                <c:pt idx="1">
                  <c:v>GPI</c:v>
                </c:pt>
                <c:pt idx="2">
                  <c:v>Fragment de fibre</c:v>
                </c:pt>
                <c:pt idx="3">
                  <c:v>Films plastiques </c:v>
                </c:pt>
                <c:pt idx="4">
                  <c:v>Fragments jeunes</c:v>
                </c:pt>
                <c:pt idx="5">
                  <c:v>Fragments vieillis</c:v>
                </c:pt>
                <c:pt idx="6">
                  <c:v>Mousses</c:v>
                </c:pt>
                <c:pt idx="7">
                  <c:v>Polystirène expansé </c:v>
                </c:pt>
              </c:strCache>
            </c:strRef>
          </c:cat>
          <c:val>
            <c:numRef>
              <c:f>Lozari!$H$45:$H$53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3"/>
          <c:order val="3"/>
          <c:tx>
            <c:strRef>
              <c:f>Lozari!$I$44</c:f>
              <c:strCache>
                <c:ptCount val="1"/>
                <c:pt idx="0">
                  <c:v>Eté 2023</c:v>
                </c:pt>
              </c:strCache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Lozari!$C$46:$C$53</c:f>
              <c:strCache>
                <c:ptCount val="8"/>
                <c:pt idx="0">
                  <c:v>Bioperles</c:v>
                </c:pt>
                <c:pt idx="1">
                  <c:v>GPI</c:v>
                </c:pt>
                <c:pt idx="2">
                  <c:v>Fragment de fibre</c:v>
                </c:pt>
                <c:pt idx="3">
                  <c:v>Films plastiques </c:v>
                </c:pt>
                <c:pt idx="4">
                  <c:v>Fragments jeunes</c:v>
                </c:pt>
                <c:pt idx="5">
                  <c:v>Fragments vieillis</c:v>
                </c:pt>
                <c:pt idx="6">
                  <c:v>Mousses</c:v>
                </c:pt>
                <c:pt idx="7">
                  <c:v>Polystirène expansé </c:v>
                </c:pt>
              </c:strCache>
            </c:strRef>
          </c:cat>
          <c:val>
            <c:numRef>
              <c:f>Lozari!$I$45:$I$53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4"/>
          <c:order val="4"/>
          <c:tx>
            <c:strRef>
              <c:f>Lozari!$J$44</c:f>
              <c:strCache>
                <c:ptCount val="1"/>
                <c:pt idx="0">
                  <c:v>Automne 2023</c:v>
                </c:pt>
              </c:strCache>
            </c:strRef>
          </c:tx>
          <c:invertIfNegative val="0"/>
          <c:dLbls>
            <c:delete val="1"/>
          </c:dLbls>
          <c:cat>
            <c:strRef>
              <c:f>Lozari!$C$46:$C$53</c:f>
              <c:strCache>
                <c:ptCount val="8"/>
                <c:pt idx="0">
                  <c:v>Bioperles</c:v>
                </c:pt>
                <c:pt idx="1">
                  <c:v>GPI</c:v>
                </c:pt>
                <c:pt idx="2">
                  <c:v>Fragment de fibre</c:v>
                </c:pt>
                <c:pt idx="3">
                  <c:v>Films plastiques </c:v>
                </c:pt>
                <c:pt idx="4">
                  <c:v>Fragments jeunes</c:v>
                </c:pt>
                <c:pt idx="5">
                  <c:v>Fragments vieillis</c:v>
                </c:pt>
                <c:pt idx="6">
                  <c:v>Mousses</c:v>
                </c:pt>
                <c:pt idx="7">
                  <c:v>Polystirène expansé </c:v>
                </c:pt>
              </c:strCache>
            </c:strRef>
          </c:cat>
          <c:val>
            <c:numRef>
              <c:f>Lozari!$J$45:$J$53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40</c:v>
                </c:pt>
                <c:pt idx="3">
                  <c:v>0</c:v>
                </c:pt>
                <c:pt idx="4">
                  <c:v>20</c:v>
                </c:pt>
                <c:pt idx="5">
                  <c:v>280</c:v>
                </c:pt>
                <c:pt idx="6">
                  <c:v>60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5"/>
          <c:order val="5"/>
          <c:tx>
            <c:strRef>
              <c:f>Lozari!$K$44</c:f>
              <c:strCache>
                <c:ptCount val="1"/>
                <c:pt idx="0">
                  <c:v>Hiver 2023</c:v>
                </c:pt>
              </c:strCache>
            </c:strRef>
          </c:tx>
          <c:invertIfNegative val="0"/>
          <c:dLbls>
            <c:delete val="1"/>
          </c:dLbls>
          <c:cat>
            <c:strRef>
              <c:f>Lozari!$C$46:$C$53</c:f>
              <c:strCache>
                <c:ptCount val="8"/>
                <c:pt idx="0">
                  <c:v>Bioperles</c:v>
                </c:pt>
                <c:pt idx="1">
                  <c:v>GPI</c:v>
                </c:pt>
                <c:pt idx="2">
                  <c:v>Fragment de fibre</c:v>
                </c:pt>
                <c:pt idx="3">
                  <c:v>Films plastiques </c:v>
                </c:pt>
                <c:pt idx="4">
                  <c:v>Fragments jeunes</c:v>
                </c:pt>
                <c:pt idx="5">
                  <c:v>Fragments vieillis</c:v>
                </c:pt>
                <c:pt idx="6">
                  <c:v>Mousses</c:v>
                </c:pt>
                <c:pt idx="7">
                  <c:v>Polystirène expansé </c:v>
                </c:pt>
              </c:strCache>
            </c:strRef>
          </c:cat>
          <c:val>
            <c:numRef>
              <c:f>Lozari!$K$45:$K$53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6"/>
          <c:order val="6"/>
          <c:tx>
            <c:strRef>
              <c:f>Lozari!$L$44</c:f>
              <c:strCache>
                <c:ptCount val="1"/>
                <c:pt idx="0">
                  <c:v>Printemps 2024</c:v>
                </c:pt>
              </c:strCache>
            </c:strRef>
          </c:tx>
          <c:invertIfNegative val="0"/>
          <c:dLbls>
            <c:delete val="1"/>
          </c:dLbls>
          <c:cat>
            <c:strRef>
              <c:f>Lozari!$C$46:$C$53</c:f>
              <c:strCache>
                <c:ptCount val="8"/>
                <c:pt idx="0">
                  <c:v>Bioperles</c:v>
                </c:pt>
                <c:pt idx="1">
                  <c:v>GPI</c:v>
                </c:pt>
                <c:pt idx="2">
                  <c:v>Fragment de fibre</c:v>
                </c:pt>
                <c:pt idx="3">
                  <c:v>Films plastiques </c:v>
                </c:pt>
                <c:pt idx="4">
                  <c:v>Fragments jeunes</c:v>
                </c:pt>
                <c:pt idx="5">
                  <c:v>Fragments vieillis</c:v>
                </c:pt>
                <c:pt idx="6">
                  <c:v>Mousses</c:v>
                </c:pt>
                <c:pt idx="7">
                  <c:v>Polystirène expansé </c:v>
                </c:pt>
              </c:strCache>
            </c:strRef>
          </c:cat>
          <c:val>
            <c:numRef>
              <c:f>Lozari!$L$45:$L$53</c:f>
              <c:numCache>
                <c:formatCode>General</c:formatCode>
                <c:ptCount val="9"/>
              </c:numCache>
            </c:numRef>
          </c:val>
        </c:ser>
        <c:ser>
          <c:idx val="7"/>
          <c:order val="7"/>
          <c:tx>
            <c:strRef>
              <c:f>Lozari!$M$44</c:f>
              <c:strCache>
                <c:ptCount val="1"/>
                <c:pt idx="0">
                  <c:v>Eté 2024</c:v>
                </c:pt>
              </c:strCache>
            </c:strRef>
          </c:tx>
          <c:invertIfNegative val="0"/>
          <c:dLbls>
            <c:delete val="1"/>
          </c:dLbls>
          <c:cat>
            <c:strRef>
              <c:f>Lozari!$C$46:$C$53</c:f>
              <c:strCache>
                <c:ptCount val="8"/>
                <c:pt idx="0">
                  <c:v>Bioperles</c:v>
                </c:pt>
                <c:pt idx="1">
                  <c:v>GPI</c:v>
                </c:pt>
                <c:pt idx="2">
                  <c:v>Fragment de fibre</c:v>
                </c:pt>
                <c:pt idx="3">
                  <c:v>Films plastiques </c:v>
                </c:pt>
                <c:pt idx="4">
                  <c:v>Fragments jeunes</c:v>
                </c:pt>
                <c:pt idx="5">
                  <c:v>Fragments vieillis</c:v>
                </c:pt>
                <c:pt idx="6">
                  <c:v>Mousses</c:v>
                </c:pt>
                <c:pt idx="7">
                  <c:v>Polystirène expansé </c:v>
                </c:pt>
              </c:strCache>
            </c:strRef>
          </c:cat>
          <c:val>
            <c:numRef>
              <c:f>Lozari!$M$45:$M$53</c:f>
              <c:numCache>
                <c:formatCode>General</c:formatCode>
                <c:ptCount val="9"/>
              </c:numCache>
            </c:numRef>
          </c:val>
        </c:ser>
        <c:ser>
          <c:idx val="8"/>
          <c:order val="8"/>
          <c:tx>
            <c:strRef>
              <c:f>Lozari!$N$44</c:f>
              <c:strCache>
                <c:ptCount val="1"/>
                <c:pt idx="0">
                  <c:v>Automne 2024</c:v>
                </c:pt>
              </c:strCache>
            </c:strRef>
          </c:tx>
          <c:invertIfNegative val="0"/>
          <c:dLbls>
            <c:delete val="1"/>
          </c:dLbls>
          <c:cat>
            <c:strRef>
              <c:f>Lozari!$C$46:$C$53</c:f>
              <c:strCache>
                <c:ptCount val="8"/>
                <c:pt idx="0">
                  <c:v>Bioperles</c:v>
                </c:pt>
                <c:pt idx="1">
                  <c:v>GPI</c:v>
                </c:pt>
                <c:pt idx="2">
                  <c:v>Fragment de fibre</c:v>
                </c:pt>
                <c:pt idx="3">
                  <c:v>Films plastiques </c:v>
                </c:pt>
                <c:pt idx="4">
                  <c:v>Fragments jeunes</c:v>
                </c:pt>
                <c:pt idx="5">
                  <c:v>Fragments vieillis</c:v>
                </c:pt>
                <c:pt idx="6">
                  <c:v>Mousses</c:v>
                </c:pt>
                <c:pt idx="7">
                  <c:v>Polystirène expansé </c:v>
                </c:pt>
              </c:strCache>
            </c:strRef>
          </c:cat>
          <c:val>
            <c:numRef>
              <c:f>Lozari!$N$45:$N$53</c:f>
              <c:numCache>
                <c:formatCode>General</c:formatCode>
                <c:ptCount val="9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5758017"/>
        <c:axId val="163131585"/>
      </c:barChart>
      <c:catAx>
        <c:axId val="170575801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catégories de microplastiques</a:t>
                </a:r>
                <a:endParaRPr b="1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63131585"/>
        <c:crosses val="autoZero"/>
        <c:auto val="1"/>
        <c:lblAlgn val="ctr"/>
        <c:lblOffset val="100"/>
        <c:noMultiLvlLbl val="0"/>
      </c:catAx>
      <c:valAx>
        <c:axId val="163131585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Quantité sur 100m de plage (en nombre)</a:t>
                </a:r>
                <a:endParaRPr b="1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705758017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1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Catégories de microplastiques collectés sur la plage de l'Ostriconi à chaque saison </a:t>
            </a:r>
            <a:endParaRPr b="1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"Automne 2022"</c:f>
              <c:strCache>
                <c:ptCount val="1"/>
                <c:pt idx="0">
                  <c:v>Automne 2022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Ostriconi!$C$44:$C$53</c:f>
              <c:strCache>
                <c:ptCount val="10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Ostriconi!$F$44:$F$53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12400</c:v>
                </c:pt>
                <c:pt idx="3">
                  <c:v>320</c:v>
                </c:pt>
                <c:pt idx="4">
                  <c:v>340</c:v>
                </c:pt>
                <c:pt idx="5">
                  <c:v>10760</c:v>
                </c:pt>
                <c:pt idx="6">
                  <c:v>2620</c:v>
                </c:pt>
                <c:pt idx="7">
                  <c:v>360</c:v>
                </c:pt>
                <c:pt idx="8">
                  <c:v>400</c:v>
                </c:pt>
              </c:numCache>
            </c:numRef>
          </c:val>
        </c:ser>
        <c:ser>
          <c:idx val="1"/>
          <c:order val="1"/>
          <c:tx>
            <c:strRef>
              <c:f>"Hiver 2022"</c:f>
              <c:strCache>
                <c:ptCount val="1"/>
                <c:pt idx="0">
                  <c:v>Hiver 2022</c:v>
                </c:pt>
              </c:strCache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Ostriconi!$C$44:$C$53</c:f>
              <c:strCache>
                <c:ptCount val="10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Ostriconi!$G$44:$G$53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100</c:v>
                </c:pt>
                <c:pt idx="3">
                  <c:v>100</c:v>
                </c:pt>
                <c:pt idx="4">
                  <c:v>40</c:v>
                </c:pt>
                <c:pt idx="5">
                  <c:v>320</c:v>
                </c:pt>
                <c:pt idx="6">
                  <c:v>1960</c:v>
                </c:pt>
                <c:pt idx="7">
                  <c:v>40</c:v>
                </c:pt>
                <c:pt idx="8">
                  <c:v>80</c:v>
                </c:pt>
              </c:numCache>
            </c:numRef>
          </c:val>
        </c:ser>
        <c:ser>
          <c:idx val="2"/>
          <c:order val="2"/>
          <c:tx>
            <c:strRef>
              <c:f>"Printemps 2023"</c:f>
              <c:strCache>
                <c:ptCount val="1"/>
                <c:pt idx="0">
                  <c:v>Printemps 2023</c:v>
                </c:pt>
              </c:strCache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Ostriconi!$C$44:$C$53</c:f>
              <c:strCache>
                <c:ptCount val="10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Ostriconi!$H$44:$H$53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60</c:v>
                </c:pt>
                <c:pt idx="3">
                  <c:v>60</c:v>
                </c:pt>
                <c:pt idx="4">
                  <c:v>80</c:v>
                </c:pt>
                <c:pt idx="5">
                  <c:v>500</c:v>
                </c:pt>
                <c:pt idx="6">
                  <c:v>2500</c:v>
                </c:pt>
                <c:pt idx="7">
                  <c:v>20</c:v>
                </c:pt>
                <c:pt idx="8">
                  <c:v>40</c:v>
                </c:pt>
              </c:numCache>
            </c:numRef>
          </c:val>
        </c:ser>
        <c:ser>
          <c:idx val="3"/>
          <c:order val="3"/>
          <c:tx>
            <c:strRef>
              <c:f>"Eté 2023"</c:f>
              <c:strCache>
                <c:ptCount val="1"/>
                <c:pt idx="0">
                  <c:v>Eté 2023</c:v>
                </c:pt>
              </c:strCache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Ostriconi!$C$44:$C$53</c:f>
              <c:strCache>
                <c:ptCount val="10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Ostriconi!$I$44:$I$52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2360</c:v>
                </c:pt>
                <c:pt idx="3">
                  <c:v>140</c:v>
                </c:pt>
                <c:pt idx="4">
                  <c:v>20</c:v>
                </c:pt>
                <c:pt idx="5">
                  <c:v>660</c:v>
                </c:pt>
                <c:pt idx="6">
                  <c:v>4200</c:v>
                </c:pt>
                <c:pt idx="7">
                  <c:v>100</c:v>
                </c:pt>
                <c:pt idx="8">
                  <c:v>120</c:v>
                </c:pt>
              </c:numCache>
            </c:numRef>
          </c:val>
        </c:ser>
        <c:ser>
          <c:idx val="4"/>
          <c:order val="4"/>
          <c:tx>
            <c:strRef>
              <c:f>Ostriconi!$J$43</c:f>
              <c:strCache>
                <c:ptCount val="1"/>
                <c:pt idx="0">
                  <c:v>Automne 2023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Ostriconi!$C$44:$C$53</c:f>
              <c:strCache>
                <c:ptCount val="10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Ostriconi!$J$44:$J$52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14040</c:v>
                </c:pt>
                <c:pt idx="3">
                  <c:v>1</c:v>
                </c:pt>
                <c:pt idx="4">
                  <c:v>2</c:v>
                </c:pt>
                <c:pt idx="5">
                  <c:v>161</c:v>
                </c:pt>
                <c:pt idx="6">
                  <c:v>755</c:v>
                </c:pt>
                <c:pt idx="7">
                  <c:v>0</c:v>
                </c:pt>
                <c:pt idx="8">
                  <c:v>6</c:v>
                </c:pt>
              </c:numCache>
            </c:numRef>
          </c:val>
        </c:ser>
        <c:ser>
          <c:idx val="5"/>
          <c:order val="5"/>
          <c:tx>
            <c:strRef>
              <c:f>Ostriconi!$K$43</c:f>
              <c:strCache>
                <c:ptCount val="1"/>
                <c:pt idx="0">
                  <c:v>Hiver 2023</c:v>
                </c:pt>
              </c:strCache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Ostriconi!$C$44:$C$53</c:f>
              <c:strCache>
                <c:ptCount val="10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Ostriconi!$K$44:$K$52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</c:v>
                </c:pt>
                <c:pt idx="6">
                  <c:v>238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1263165"/>
        <c:axId val="1425393206"/>
      </c:barChart>
      <c:catAx>
        <c:axId val="54126316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Catégories de microplastiques</a:t>
                </a:r>
                <a:endParaRPr b="1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425393206"/>
        <c:crosses val="autoZero"/>
        <c:auto val="1"/>
        <c:lblAlgn val="ctr"/>
        <c:lblOffset val="100"/>
        <c:noMultiLvlLbl val="0"/>
      </c:catAx>
      <c:valAx>
        <c:axId val="1425393206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Quantité sur 100m de plage (en nombre)</a:t>
                </a:r>
                <a:endParaRPr b="1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541263165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2400" b="1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sz="2400" b="1">
                <a:solidFill>
                  <a:srgbClr val="757575"/>
                </a:solidFill>
                <a:latin typeface="+mn-lt"/>
              </a:rPr>
              <a:t>Quantité de microplastiques collectés par saison et par plage</a:t>
            </a:r>
            <a:endParaRPr sz="2400" b="1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lineChart>
        <c:grouping val="none"/>
        <c:varyColors val="0"/>
        <c:ser>
          <c:idx val="0"/>
          <c:order val="0"/>
          <c:tx>
            <c:strRef>
              <c:f>TOTAL!$A$2</c:f>
              <c:strCache>
                <c:ptCount val="1"/>
                <c:pt idx="0">
                  <c:v/>
                </c:pt>
              </c:strCache>
            </c:strRef>
          </c:tx>
          <c:spPr>
            <a:ln w="38100" cap="rnd" cmpd="sng" algn="ctr">
              <a:solidFill>
                <a:srgbClr val="38761D">
                  <a:alpha val="100000"/>
                </a:srgb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TOTAL!$B$1:$J$1</c:f>
              <c:numCache>
                <c:formatCode>General</c:formatCode>
                <c:ptCount val="9"/>
                <c:pt idx="0">
                  <c:v>2022</c:v>
                </c:pt>
                <c:pt idx="4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TOTAL!$B$2:$J$2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TOTAL!$A$3</c:f>
              <c:strCache>
                <c:ptCount val="1"/>
                <c:pt idx="0">
                  <c:v>Ferringule</c:v>
                </c:pt>
              </c:strCache>
            </c:strRef>
          </c:tx>
          <c:spPr>
            <a:ln w="38100" cap="rnd" cmpd="sng" algn="ctr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TOTAL!$B$1:$J$1</c:f>
              <c:numCache>
                <c:formatCode>General</c:formatCode>
                <c:ptCount val="9"/>
                <c:pt idx="0">
                  <c:v>2022</c:v>
                </c:pt>
                <c:pt idx="4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TOTAL!$B$3:$J$3</c:f>
              <c:numCache>
                <c:formatCode>General</c:formatCode>
                <c:ptCount val="9"/>
                <c:pt idx="0">
                  <c:v>3320</c:v>
                </c:pt>
                <c:pt idx="1">
                  <c:v>10320</c:v>
                </c:pt>
                <c:pt idx="2">
                  <c:v>28360</c:v>
                </c:pt>
                <c:pt idx="3">
                  <c:v>34240</c:v>
                </c:pt>
                <c:pt idx="4">
                  <c:v>26800</c:v>
                </c:pt>
                <c:pt idx="5">
                  <c:v>41840</c:v>
                </c:pt>
                <c:pt idx="6">
                  <c:v>169640</c:v>
                </c:pt>
                <c:pt idx="7">
                  <c:v>131880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TOTAL!$A$4</c:f>
              <c:strCache>
                <c:ptCount val="1"/>
                <c:pt idx="0">
                  <c:v>Saleccia</c:v>
                </c:pt>
              </c:strCache>
            </c:strRef>
          </c:tx>
          <c:spPr>
            <a:ln w="38100" cap="rnd" cmpd="sng" algn="ctr">
              <a:solidFill>
                <a:srgbClr val="E69138">
                  <a:alpha val="100000"/>
                </a:srgb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TOTAL!$B$1:$J$1</c:f>
              <c:numCache>
                <c:formatCode>General</c:formatCode>
                <c:ptCount val="9"/>
                <c:pt idx="0">
                  <c:v>2022</c:v>
                </c:pt>
                <c:pt idx="4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TOTAL!$B$4:$J$4</c:f>
              <c:numCache>
                <c:formatCode>General</c:formatCode>
                <c:ptCount val="9"/>
                <c:pt idx="0">
                  <c:v>1240</c:v>
                </c:pt>
                <c:pt idx="1">
                  <c:v>400</c:v>
                </c:pt>
                <c:pt idx="2">
                  <c:v>0</c:v>
                </c:pt>
                <c:pt idx="3">
                  <c:v>2880</c:v>
                </c:pt>
                <c:pt idx="4">
                  <c:v>3080</c:v>
                </c:pt>
                <c:pt idx="5">
                  <c:v>2560</c:v>
                </c:pt>
                <c:pt idx="6">
                  <c:v>7040</c:v>
                </c:pt>
                <c:pt idx="7">
                  <c:v>600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TOTAL!$A$5</c:f>
              <c:strCache>
                <c:ptCount val="1"/>
                <c:pt idx="0">
                  <c:v>Barcaghju</c:v>
                </c:pt>
              </c:strCache>
            </c:strRef>
          </c:tx>
          <c:spPr>
            <a:ln w="38100" cap="rnd" cmpd="sng" algn="ctr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TOTAL!$B$1:$J$1</c:f>
              <c:numCache>
                <c:formatCode>General</c:formatCode>
                <c:ptCount val="9"/>
                <c:pt idx="0">
                  <c:v>2022</c:v>
                </c:pt>
                <c:pt idx="4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TOTAL!$B$5:$J$5</c:f>
              <c:numCache>
                <c:formatCode>General</c:formatCode>
                <c:ptCount val="9"/>
                <c:pt idx="0">
                  <c:v>40</c:v>
                </c:pt>
                <c:pt idx="1">
                  <c:v>160</c:v>
                </c:pt>
                <c:pt idx="2">
                  <c:v>480</c:v>
                </c:pt>
                <c:pt idx="3">
                  <c:v>1000</c:v>
                </c:pt>
                <c:pt idx="4">
                  <c:v>4680</c:v>
                </c:pt>
                <c:pt idx="5">
                  <c:v>880</c:v>
                </c:pt>
                <c:pt idx="6">
                  <c:v>19640</c:v>
                </c:pt>
                <c:pt idx="7">
                  <c:v>4200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TOTAL!$A$6</c:f>
              <c:strCache>
                <c:ptCount val="1"/>
                <c:pt idx="0">
                  <c:v>La Roya</c:v>
                </c:pt>
              </c:strCache>
            </c:strRef>
          </c:tx>
          <c:spPr>
            <a:ln w="38100" cap="rnd" cmpd="sng" algn="ctr">
              <a:solidFill>
                <a:srgbClr val="9900FF">
                  <a:alpha val="100000"/>
                </a:srgb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TOTAL!$B$1:$J$1</c:f>
              <c:numCache>
                <c:formatCode>General</c:formatCode>
                <c:ptCount val="9"/>
                <c:pt idx="0">
                  <c:v>2022</c:v>
                </c:pt>
                <c:pt idx="4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TOTAL!$B$6:$J$6</c:f>
              <c:numCache>
                <c:formatCode>General</c:formatCode>
                <c:ptCount val="9"/>
                <c:pt idx="2">
                  <c:v>14160</c:v>
                </c:pt>
                <c:pt idx="3">
                  <c:v>2720</c:v>
                </c:pt>
                <c:pt idx="4">
                  <c:v>2160</c:v>
                </c:pt>
                <c:pt idx="5">
                  <c:v>6840</c:v>
                </c:pt>
                <c:pt idx="6">
                  <c:v>2960</c:v>
                </c:pt>
                <c:pt idx="7">
                  <c:v>14560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TOTAL!$A$7</c:f>
              <c:strCache>
                <c:ptCount val="1"/>
                <c:pt idx="0">
                  <c:v>Petracurbara</c:v>
                </c:pt>
              </c:strCache>
            </c:strRef>
          </c:tx>
          <c:spPr>
            <a:ln w="38100" cap="rnd" cmpd="sng" algn="ctr">
              <a:solidFill>
                <a:srgbClr val="A64D79">
                  <a:alpha val="100000"/>
                </a:srgb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TOTAL!$B$1:$J$1</c:f>
              <c:numCache>
                <c:formatCode>General</c:formatCode>
                <c:ptCount val="9"/>
                <c:pt idx="0">
                  <c:v>2022</c:v>
                </c:pt>
                <c:pt idx="4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TOTAL!$B$7:$J$7</c:f>
              <c:numCache>
                <c:formatCode>General</c:formatCode>
                <c:ptCount val="9"/>
                <c:pt idx="2">
                  <c:v>840</c:v>
                </c:pt>
                <c:pt idx="3">
                  <c:v>1480</c:v>
                </c:pt>
                <c:pt idx="4">
                  <c:v>1320</c:v>
                </c:pt>
                <c:pt idx="5">
                  <c:v>1200</c:v>
                </c:pt>
                <c:pt idx="6">
                  <c:v>1040</c:v>
                </c:pt>
                <c:pt idx="7">
                  <c:v>360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TOTAL!$A$8</c:f>
              <c:strCache>
                <c:ptCount val="1"/>
                <c:pt idx="0">
                  <c:v>Macinaghju</c:v>
                </c:pt>
              </c:strCache>
            </c:strRef>
          </c:tx>
          <c:spPr>
            <a:ln w="38100" cap="rnd" cmpd="sng" algn="ctr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TOTAL!$B$1:$J$1</c:f>
              <c:numCache>
                <c:formatCode>General</c:formatCode>
                <c:ptCount val="9"/>
                <c:pt idx="0">
                  <c:v>2022</c:v>
                </c:pt>
                <c:pt idx="4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TOTAL!$B$8:$J$8</c:f>
              <c:numCache>
                <c:formatCode>General</c:formatCode>
                <c:ptCount val="9"/>
                <c:pt idx="2">
                  <c:v>8320</c:v>
                </c:pt>
                <c:pt idx="3">
                  <c:v>6920</c:v>
                </c:pt>
                <c:pt idx="4">
                  <c:v>1760</c:v>
                </c:pt>
                <c:pt idx="5">
                  <c:v>7720</c:v>
                </c:pt>
                <c:pt idx="6">
                  <c:v>2920</c:v>
                </c:pt>
                <c:pt idx="7">
                  <c:v>2360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508387706"/>
        <c:axId val="1482782726"/>
      </c:lineChart>
      <c:catAx>
        <c:axId val="150838770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8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800" b="0">
                    <a:solidFill>
                      <a:srgbClr val="000000"/>
                    </a:solidFill>
                    <a:latin typeface="+mn-lt"/>
                  </a:rPr>
                  <a:t>Années</a:t>
                </a:r>
                <a:endParaRPr sz="1800"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482782726"/>
        <c:crosses val="autoZero"/>
        <c:auto val="1"/>
        <c:lblAlgn val="ctr"/>
        <c:lblOffset val="100"/>
        <c:noMultiLvlLbl val="0"/>
      </c:catAx>
      <c:valAx>
        <c:axId val="1482782726"/>
        <c:scaling>
          <c:orientation val="minMax"/>
          <c:max val="190000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2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2000" b="0">
                    <a:solidFill>
                      <a:srgbClr val="000000"/>
                    </a:solidFill>
                    <a:latin typeface="+mn-lt"/>
                  </a:rPr>
                  <a:t>Quantité de micro plastiques sur 100m</a:t>
                </a:r>
                <a:endParaRPr sz="2000"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508387706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des GPI collectés sur les plages lors du suivi RIPARU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TOTAL!$B$53</c:f>
              <c:strCache>
                <c:ptCount val="1"/>
                <c:pt idx="0">
                  <c:v>Total GPI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TOTAL!$A$54:$A$62</c:f>
              <c:strCache>
                <c:ptCount val="9"/>
                <c:pt idx="1">
                  <c:v>Ferringule</c:v>
                </c:pt>
                <c:pt idx="2">
                  <c:v>Saleccia</c:v>
                </c:pt>
                <c:pt idx="3">
                  <c:v>Barcaghju</c:v>
                </c:pt>
                <c:pt idx="4">
                  <c:v>La Roya</c:v>
                </c:pt>
                <c:pt idx="5">
                  <c:v>Petracurbara</c:v>
                </c:pt>
                <c:pt idx="6">
                  <c:v>Macinaghju</c:v>
                </c:pt>
                <c:pt idx="7">
                  <c:v>L'ostriconi</c:v>
                </c:pt>
              </c:strCache>
            </c:strRef>
          </c:cat>
          <c:val>
            <c:numRef>
              <c:f>TOTAL!$B$54:$B$62</c:f>
              <c:numCache>
                <c:formatCode>General</c:formatCode>
                <c:ptCount val="9"/>
                <c:pt idx="1">
                  <c:v>1560</c:v>
                </c:pt>
                <c:pt idx="2">
                  <c:v>327</c:v>
                </c:pt>
                <c:pt idx="3">
                  <c:v>177</c:v>
                </c:pt>
                <c:pt idx="4">
                  <c:v>33</c:v>
                </c:pt>
                <c:pt idx="5">
                  <c:v>13</c:v>
                </c:pt>
                <c:pt idx="6">
                  <c:v>56</c:v>
                </c:pt>
                <c:pt idx="7">
                  <c:v>1448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1724535"/>
        <c:axId val="965104683"/>
      </c:barChart>
      <c:catAx>
        <c:axId val="60172453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Plages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965104683"/>
        <c:crosses val="autoZero"/>
        <c:auto val="1"/>
        <c:lblAlgn val="ctr"/>
        <c:lblOffset val="100"/>
        <c:noMultiLvlLbl val="0"/>
      </c:catAx>
      <c:valAx>
        <c:axId val="965104683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GPI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601724535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Quantité de GPI présents sur 100m de plage entre automne 2022 et automne 2023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TOTAL!$C$53:$C$54</c:f>
              <c:strCache>
                <c:ptCount val="1"/>
                <c:pt idx="0">
                  <c:v>normalisation sur 100m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TOTAL!$A$55:$A$62</c:f>
              <c:strCache>
                <c:ptCount val="8"/>
                <c:pt idx="0">
                  <c:v>Ferringule</c:v>
                </c:pt>
                <c:pt idx="1">
                  <c:v>Saleccia</c:v>
                </c:pt>
                <c:pt idx="2">
                  <c:v>Barcaghju</c:v>
                </c:pt>
                <c:pt idx="3">
                  <c:v>La Roya</c:v>
                </c:pt>
                <c:pt idx="4">
                  <c:v>Petracurbara</c:v>
                </c:pt>
                <c:pt idx="5">
                  <c:v>Macinaghju</c:v>
                </c:pt>
                <c:pt idx="6">
                  <c:v>L'ostriconi</c:v>
                </c:pt>
              </c:strCache>
            </c:strRef>
          </c:cat>
          <c:val>
            <c:numRef>
              <c:f>TOTAL!$C$55:$C$61</c:f>
              <c:numCache>
                <c:formatCode>General</c:formatCode>
                <c:ptCount val="7"/>
                <c:pt idx="0">
                  <c:v>62400</c:v>
                </c:pt>
                <c:pt idx="1">
                  <c:v>13080</c:v>
                </c:pt>
                <c:pt idx="2">
                  <c:v>7080</c:v>
                </c:pt>
                <c:pt idx="3">
                  <c:v>1320</c:v>
                </c:pt>
                <c:pt idx="4">
                  <c:v>520</c:v>
                </c:pt>
                <c:pt idx="5">
                  <c:v>2240</c:v>
                </c:pt>
                <c:pt idx="6">
                  <c:v>57920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856066794"/>
        <c:axId val="1407435154"/>
      </c:barChart>
      <c:catAx>
        <c:axId val="85606679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Plages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407435154"/>
        <c:crosses val="autoZero"/>
        <c:auto val="1"/>
        <c:lblAlgn val="ctr"/>
        <c:lblOffset val="100"/>
        <c:noMultiLvlLbl val="0"/>
      </c:catAx>
      <c:valAx>
        <c:axId val="140743515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GPI normalisé sur 100m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>
            <c:manualLayout>
              <c:xMode val="edge"/>
              <c:yMode val="edge"/>
              <c:x val="0.0325833333333333"/>
              <c:y val="0.1911500449236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856066794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15</xdr:col>
      <xdr:colOff>95250</xdr:colOff>
      <xdr:row>0</xdr:row>
      <xdr:rowOff>0</xdr:rowOff>
    </xdr:from>
    <xdr:ext cx="8924925" cy="5524500"/>
    <xdr:graphicFrame>
      <xdr:nvGraphicFramePr>
        <xdr:cNvPr id="2" name="Chart 1" title="Graphique"/>
        <xdr:cNvGraphicFramePr/>
      </xdr:nvGraphicFramePr>
      <xdr:xfrm>
        <a:off x="11315700" y="0"/>
        <a:ext cx="8924925" cy="552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15</xdr:col>
      <xdr:colOff>114300</xdr:colOff>
      <xdr:row>1</xdr:row>
      <xdr:rowOff>28575</xdr:rowOff>
    </xdr:from>
    <xdr:ext cx="7848600" cy="4857750"/>
    <xdr:graphicFrame>
      <xdr:nvGraphicFramePr>
        <xdr:cNvPr id="2" name="Chart 2" title="Graphique"/>
        <xdr:cNvGraphicFramePr/>
      </xdr:nvGraphicFramePr>
      <xdr:xfrm>
        <a:off x="11287125" y="209550"/>
        <a:ext cx="7848600" cy="48577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15</xdr:col>
      <xdr:colOff>123825</xdr:colOff>
      <xdr:row>0</xdr:row>
      <xdr:rowOff>0</xdr:rowOff>
    </xdr:from>
    <xdr:ext cx="7877175" cy="4867275"/>
    <xdr:graphicFrame>
      <xdr:nvGraphicFramePr>
        <xdr:cNvPr id="3" name="Chart 3" title="Graphique"/>
        <xdr:cNvGraphicFramePr/>
      </xdr:nvGraphicFramePr>
      <xdr:xfrm>
        <a:off x="11296650" y="0"/>
        <a:ext cx="7877175" cy="48672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15</xdr:col>
      <xdr:colOff>266700</xdr:colOff>
      <xdr:row>0</xdr:row>
      <xdr:rowOff>76200</xdr:rowOff>
    </xdr:from>
    <xdr:ext cx="7858125" cy="4857750"/>
    <xdr:graphicFrame>
      <xdr:nvGraphicFramePr>
        <xdr:cNvPr id="4" name="Chart 4" title="Graphique"/>
        <xdr:cNvGraphicFramePr/>
      </xdr:nvGraphicFramePr>
      <xdr:xfrm>
        <a:off x="12925425" y="76200"/>
        <a:ext cx="7858125" cy="48577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15</xdr:col>
      <xdr:colOff>95250</xdr:colOff>
      <xdr:row>0</xdr:row>
      <xdr:rowOff>0</xdr:rowOff>
    </xdr:from>
    <xdr:ext cx="6686550" cy="4133850"/>
    <xdr:graphicFrame>
      <xdr:nvGraphicFramePr>
        <xdr:cNvPr id="5" name="Chart 5" title="Graphique"/>
        <xdr:cNvGraphicFramePr/>
      </xdr:nvGraphicFramePr>
      <xdr:xfrm>
        <a:off x="12753975" y="0"/>
        <a:ext cx="6686550" cy="4133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15</xdr:col>
      <xdr:colOff>219075</xdr:colOff>
      <xdr:row>0</xdr:row>
      <xdr:rowOff>0</xdr:rowOff>
    </xdr:from>
    <xdr:ext cx="7791450" cy="4819650"/>
    <xdr:graphicFrame>
      <xdr:nvGraphicFramePr>
        <xdr:cNvPr id="6" name="Chart 6" title="Graphique"/>
        <xdr:cNvGraphicFramePr/>
      </xdr:nvGraphicFramePr>
      <xdr:xfrm>
        <a:off x="12877800" y="0"/>
        <a:ext cx="7791450" cy="4819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15</xdr:col>
      <xdr:colOff>142875</xdr:colOff>
      <xdr:row>0</xdr:row>
      <xdr:rowOff>85725</xdr:rowOff>
    </xdr:from>
    <xdr:ext cx="8020050" cy="4962525"/>
    <xdr:graphicFrame>
      <xdr:nvGraphicFramePr>
        <xdr:cNvPr id="7" name="Chart 7" title="Graphique"/>
        <xdr:cNvGraphicFramePr/>
      </xdr:nvGraphicFramePr>
      <xdr:xfrm>
        <a:off x="12801600" y="85725"/>
        <a:ext cx="8020050" cy="49625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15</xdr:col>
      <xdr:colOff>419100</xdr:colOff>
      <xdr:row>0</xdr:row>
      <xdr:rowOff>0</xdr:rowOff>
    </xdr:from>
    <xdr:ext cx="6353175" cy="3933825"/>
    <xdr:graphicFrame>
      <xdr:nvGraphicFramePr>
        <xdr:cNvPr id="8" name="Chart 8" title="Graphique"/>
        <xdr:cNvGraphicFramePr/>
      </xdr:nvGraphicFramePr>
      <xdr:xfrm>
        <a:off x="13077825" y="0"/>
        <a:ext cx="6353175" cy="3933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485775</xdr:colOff>
      <xdr:row>11</xdr:row>
      <xdr:rowOff>19050</xdr:rowOff>
    </xdr:from>
    <xdr:ext cx="11991975" cy="7505700"/>
    <xdr:graphicFrame>
      <xdr:nvGraphicFramePr>
        <xdr:cNvPr id="9" name="Chart 9" title="Graphique"/>
        <xdr:cNvGraphicFramePr/>
      </xdr:nvGraphicFramePr>
      <xdr:xfrm>
        <a:off x="485775" y="2286000"/>
        <a:ext cx="11991975" cy="7505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942975</xdr:colOff>
      <xdr:row>53</xdr:row>
      <xdr:rowOff>76200</xdr:rowOff>
    </xdr:from>
    <xdr:ext cx="5715000" cy="3533775"/>
    <xdr:graphicFrame>
      <xdr:nvGraphicFramePr>
        <xdr:cNvPr id="10" name="Chart 10" title="Graphique"/>
        <xdr:cNvGraphicFramePr/>
      </xdr:nvGraphicFramePr>
      <xdr:xfrm>
        <a:off x="10106025" y="10439400"/>
        <a:ext cx="5715000" cy="3533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3</xdr:col>
      <xdr:colOff>285750</xdr:colOff>
      <xdr:row>53</xdr:row>
      <xdr:rowOff>76200</xdr:rowOff>
    </xdr:from>
    <xdr:ext cx="5715000" cy="3533775"/>
    <xdr:graphicFrame>
      <xdr:nvGraphicFramePr>
        <xdr:cNvPr id="11" name="Chart 11" title="Graphique"/>
        <xdr:cNvGraphicFramePr/>
      </xdr:nvGraphicFramePr>
      <xdr:xfrm>
        <a:off x="3619500" y="10439400"/>
        <a:ext cx="5715000" cy="3533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10"/>
  <sheetViews>
    <sheetView topLeftCell="A25" workbookViewId="0">
      <selection activeCell="F41" sqref="F41"/>
    </sheetView>
  </sheetViews>
  <sheetFormatPr defaultColWidth="14.4285714285714" defaultRowHeight="15" customHeight="1"/>
  <cols>
    <col min="1" max="2" width="10.7142857142857" customWidth="1"/>
    <col min="3" max="3" width="55.2857142857143" customWidth="1"/>
    <col min="4" max="15" width="9.42857142857143" customWidth="1"/>
  </cols>
  <sheetData>
    <row r="1" ht="14.25" customHeight="1" spans="1:15">
      <c r="A1" s="17"/>
      <c r="B1" s="18"/>
      <c r="C1" s="19" t="s">
        <v>0</v>
      </c>
      <c r="D1" s="20">
        <v>2022</v>
      </c>
      <c r="E1" s="3"/>
      <c r="F1" s="3"/>
      <c r="G1" s="4"/>
      <c r="H1" s="20">
        <v>2023</v>
      </c>
      <c r="I1" s="3"/>
      <c r="J1" s="3"/>
      <c r="K1" s="4"/>
      <c r="L1" s="20">
        <v>2024</v>
      </c>
      <c r="M1" s="3"/>
      <c r="N1" s="3"/>
      <c r="O1" s="4"/>
    </row>
    <row r="2" ht="14.25" customHeight="1" spans="1:15">
      <c r="A2" s="21"/>
      <c r="B2" s="22"/>
      <c r="C2" s="19" t="s">
        <v>1</v>
      </c>
      <c r="D2" s="23" t="s">
        <v>2</v>
      </c>
      <c r="E2" s="24" t="s">
        <v>3</v>
      </c>
      <c r="F2" s="25" t="s">
        <v>4</v>
      </c>
      <c r="G2" s="26" t="s">
        <v>5</v>
      </c>
      <c r="H2" s="23" t="s">
        <v>2</v>
      </c>
      <c r="I2" s="24" t="s">
        <v>3</v>
      </c>
      <c r="J2" s="25" t="s">
        <v>4</v>
      </c>
      <c r="K2" s="26" t="s">
        <v>5</v>
      </c>
      <c r="L2" s="23" t="s">
        <v>2</v>
      </c>
      <c r="M2" s="24" t="s">
        <v>3</v>
      </c>
      <c r="N2" s="25" t="s">
        <v>4</v>
      </c>
      <c r="O2" s="26" t="s">
        <v>5</v>
      </c>
    </row>
    <row r="3" ht="14.25" customHeight="1" spans="1:15">
      <c r="A3" s="27"/>
      <c r="B3" s="28"/>
      <c r="C3" s="29" t="s">
        <v>6</v>
      </c>
      <c r="D3" s="105"/>
      <c r="E3" s="106"/>
      <c r="F3" s="122"/>
      <c r="G3" s="119"/>
      <c r="H3" s="116"/>
      <c r="I3" s="117"/>
      <c r="J3" s="118"/>
      <c r="K3" s="119"/>
      <c r="L3" s="116"/>
      <c r="M3" s="117"/>
      <c r="N3" s="118"/>
      <c r="O3" s="119"/>
    </row>
    <row r="4" ht="14.25" customHeight="1" spans="1:15">
      <c r="A4" s="35" t="s">
        <v>7</v>
      </c>
      <c r="B4" s="35" t="s">
        <v>8</v>
      </c>
      <c r="C4" s="35" t="s">
        <v>9</v>
      </c>
      <c r="D4" s="108"/>
      <c r="E4" s="3"/>
      <c r="F4" s="3"/>
      <c r="G4" s="3"/>
      <c r="H4" s="3"/>
      <c r="I4" s="3"/>
      <c r="J4" s="3"/>
      <c r="K4" s="3"/>
      <c r="L4" s="3"/>
      <c r="M4" s="3"/>
      <c r="N4" s="3"/>
      <c r="O4" s="4"/>
    </row>
    <row r="5" ht="23.25" customHeight="1" spans="1:15">
      <c r="A5" s="37" t="s">
        <v>10</v>
      </c>
      <c r="B5" s="38" t="s">
        <v>11</v>
      </c>
      <c r="C5" s="38" t="s">
        <v>12</v>
      </c>
      <c r="D5" s="39"/>
      <c r="E5" s="40"/>
      <c r="F5" s="41"/>
      <c r="G5" s="42"/>
      <c r="H5" s="39"/>
      <c r="I5" s="40"/>
      <c r="J5" s="41"/>
      <c r="K5" s="42"/>
      <c r="L5" s="39"/>
      <c r="M5" s="40"/>
      <c r="N5" s="41"/>
      <c r="O5" s="42"/>
    </row>
    <row r="6" ht="22.5" customHeight="1" spans="1:15">
      <c r="A6" s="43"/>
      <c r="B6" s="44" t="s">
        <v>13</v>
      </c>
      <c r="C6" s="44" t="s">
        <v>14</v>
      </c>
      <c r="D6" s="6"/>
      <c r="E6" s="7"/>
      <c r="F6" s="25"/>
      <c r="G6" s="26"/>
      <c r="H6" s="6"/>
      <c r="I6" s="7"/>
      <c r="J6" s="25"/>
      <c r="K6" s="26"/>
      <c r="L6" s="6"/>
      <c r="M6" s="7"/>
      <c r="N6" s="25"/>
      <c r="O6" s="26"/>
    </row>
    <row r="7" ht="22.5" customHeight="1" spans="1:15">
      <c r="A7" s="43"/>
      <c r="B7" s="38" t="s">
        <v>15</v>
      </c>
      <c r="C7" s="38" t="s">
        <v>16</v>
      </c>
      <c r="D7" s="39"/>
      <c r="E7" s="40"/>
      <c r="F7" s="41"/>
      <c r="G7" s="42"/>
      <c r="H7" s="39"/>
      <c r="I7" s="40"/>
      <c r="J7" s="41"/>
      <c r="K7" s="42"/>
      <c r="L7" s="39"/>
      <c r="M7" s="40"/>
      <c r="N7" s="41"/>
      <c r="O7" s="42"/>
    </row>
    <row r="8" ht="22.5" customHeight="1" spans="1:15">
      <c r="A8" s="43"/>
      <c r="B8" s="44" t="s">
        <v>17</v>
      </c>
      <c r="C8" s="44" t="s">
        <v>18</v>
      </c>
      <c r="D8" s="6"/>
      <c r="E8" s="7"/>
      <c r="F8" s="25"/>
      <c r="G8" s="26"/>
      <c r="H8" s="6"/>
      <c r="I8" s="7"/>
      <c r="J8" s="25"/>
      <c r="K8" s="26"/>
      <c r="L8" s="6"/>
      <c r="M8" s="7"/>
      <c r="N8" s="25"/>
      <c r="O8" s="26"/>
    </row>
    <row r="9" ht="22.5" customHeight="1" spans="1:15">
      <c r="A9" s="43"/>
      <c r="B9" s="38" t="s">
        <v>19</v>
      </c>
      <c r="C9" s="38" t="s">
        <v>20</v>
      </c>
      <c r="D9" s="39"/>
      <c r="E9" s="40"/>
      <c r="F9" s="41"/>
      <c r="G9" s="42"/>
      <c r="H9" s="39"/>
      <c r="I9" s="40"/>
      <c r="J9" s="41"/>
      <c r="K9" s="42"/>
      <c r="L9" s="39"/>
      <c r="M9" s="40"/>
      <c r="N9" s="41"/>
      <c r="O9" s="42"/>
    </row>
    <row r="10" ht="23.25" customHeight="1" spans="1:15">
      <c r="A10" s="43"/>
      <c r="B10" s="44" t="s">
        <v>21</v>
      </c>
      <c r="C10" s="44" t="s">
        <v>22</v>
      </c>
      <c r="D10" s="6"/>
      <c r="E10" s="7"/>
      <c r="F10" s="25"/>
      <c r="G10" s="26"/>
      <c r="H10" s="6"/>
      <c r="I10" s="7"/>
      <c r="J10" s="25"/>
      <c r="K10" s="26"/>
      <c r="L10" s="6"/>
      <c r="M10" s="7"/>
      <c r="N10" s="25"/>
      <c r="O10" s="26"/>
    </row>
    <row r="11" ht="24" customHeight="1" spans="1:15">
      <c r="A11" s="43"/>
      <c r="B11" s="38" t="s">
        <v>23</v>
      </c>
      <c r="C11" s="38" t="s">
        <v>24</v>
      </c>
      <c r="D11" s="39"/>
      <c r="E11" s="40"/>
      <c r="F11" s="41"/>
      <c r="G11" s="42"/>
      <c r="H11" s="39"/>
      <c r="I11" s="40"/>
      <c r="J11" s="41"/>
      <c r="K11" s="42"/>
      <c r="L11" s="39"/>
      <c r="M11" s="40"/>
      <c r="N11" s="41"/>
      <c r="O11" s="42"/>
    </row>
    <row r="12" ht="24.75" customHeight="1" spans="1:15">
      <c r="A12" s="5"/>
      <c r="B12" s="44" t="s">
        <v>25</v>
      </c>
      <c r="C12" s="44" t="s">
        <v>26</v>
      </c>
      <c r="D12" s="6"/>
      <c r="E12" s="7"/>
      <c r="F12" s="25"/>
      <c r="G12" s="26"/>
      <c r="H12" s="6"/>
      <c r="I12" s="7"/>
      <c r="J12" s="25"/>
      <c r="K12" s="26"/>
      <c r="L12" s="6"/>
      <c r="M12" s="7"/>
      <c r="N12" s="25"/>
      <c r="O12" s="26"/>
    </row>
    <row r="13" ht="6" customHeight="1" spans="1:15">
      <c r="A13" s="45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4"/>
    </row>
    <row r="14" ht="24.75" customHeight="1" spans="1:15">
      <c r="A14" s="46" t="s">
        <v>27</v>
      </c>
      <c r="B14" s="38" t="s">
        <v>11</v>
      </c>
      <c r="C14" s="38" t="s">
        <v>12</v>
      </c>
      <c r="D14" s="39"/>
      <c r="E14" s="109"/>
      <c r="F14" s="41"/>
      <c r="G14" s="42"/>
      <c r="H14" s="39"/>
      <c r="I14" s="40"/>
      <c r="J14" s="41"/>
      <c r="K14" s="42"/>
      <c r="L14" s="39"/>
      <c r="M14" s="40"/>
      <c r="N14" s="41"/>
      <c r="O14" s="42"/>
    </row>
    <row r="15" ht="25.5" customHeight="1" spans="1:15">
      <c r="A15" s="43"/>
      <c r="B15" s="44" t="s">
        <v>28</v>
      </c>
      <c r="C15" s="44" t="s">
        <v>29</v>
      </c>
      <c r="D15" s="6"/>
      <c r="E15" s="110"/>
      <c r="F15" s="25"/>
      <c r="G15" s="26"/>
      <c r="H15" s="6"/>
      <c r="I15" s="7"/>
      <c r="J15" s="25"/>
      <c r="K15" s="26"/>
      <c r="L15" s="6"/>
      <c r="M15" s="7"/>
      <c r="N15" s="25"/>
      <c r="O15" s="26"/>
    </row>
    <row r="16" ht="23.25" customHeight="1" spans="1:15">
      <c r="A16" s="43"/>
      <c r="B16" s="38" t="s">
        <v>15</v>
      </c>
      <c r="C16" s="38" t="s">
        <v>16</v>
      </c>
      <c r="D16" s="39"/>
      <c r="E16" s="111"/>
      <c r="F16" s="41"/>
      <c r="G16" s="42"/>
      <c r="H16" s="39"/>
      <c r="I16" s="40"/>
      <c r="J16" s="41"/>
      <c r="K16" s="42"/>
      <c r="L16" s="39"/>
      <c r="M16" s="40"/>
      <c r="N16" s="41"/>
      <c r="O16" s="42"/>
    </row>
    <row r="17" ht="25.5" customHeight="1" spans="1:15">
      <c r="A17" s="43"/>
      <c r="B17" s="44" t="s">
        <v>17</v>
      </c>
      <c r="C17" s="44" t="s">
        <v>18</v>
      </c>
      <c r="D17" s="6"/>
      <c r="E17" s="110"/>
      <c r="F17" s="25"/>
      <c r="G17" s="26"/>
      <c r="H17" s="6"/>
      <c r="I17" s="7"/>
      <c r="J17" s="25"/>
      <c r="K17" s="26"/>
      <c r="L17" s="6"/>
      <c r="M17" s="7"/>
      <c r="N17" s="25"/>
      <c r="O17" s="26"/>
    </row>
    <row r="18" ht="22.5" customHeight="1" spans="1:15">
      <c r="A18" s="43"/>
      <c r="B18" s="38" t="s">
        <v>19</v>
      </c>
      <c r="C18" s="38" t="s">
        <v>20</v>
      </c>
      <c r="D18" s="39"/>
      <c r="E18" s="111"/>
      <c r="F18" s="41"/>
      <c r="G18" s="42"/>
      <c r="H18" s="39"/>
      <c r="I18" s="40"/>
      <c r="J18" s="41"/>
      <c r="K18" s="42"/>
      <c r="L18" s="39"/>
      <c r="M18" s="40"/>
      <c r="N18" s="41"/>
      <c r="O18" s="42"/>
    </row>
    <row r="19" ht="24" customHeight="1" spans="1:15">
      <c r="A19" s="43"/>
      <c r="B19" s="44" t="s">
        <v>21</v>
      </c>
      <c r="C19" s="44" t="s">
        <v>22</v>
      </c>
      <c r="D19" s="6"/>
      <c r="E19" s="112"/>
      <c r="F19" s="25"/>
      <c r="G19" s="26"/>
      <c r="H19" s="6"/>
      <c r="I19" s="7"/>
      <c r="J19" s="25"/>
      <c r="K19" s="26"/>
      <c r="L19" s="6"/>
      <c r="M19" s="7"/>
      <c r="N19" s="25"/>
      <c r="O19" s="26"/>
    </row>
    <row r="20" ht="25.5" customHeight="1" spans="1:15">
      <c r="A20" s="43"/>
      <c r="B20" s="38" t="s">
        <v>23</v>
      </c>
      <c r="C20" s="38" t="s">
        <v>24</v>
      </c>
      <c r="D20" s="39"/>
      <c r="E20" s="109"/>
      <c r="F20" s="41"/>
      <c r="G20" s="42"/>
      <c r="H20" s="39"/>
      <c r="I20" s="40"/>
      <c r="J20" s="41"/>
      <c r="K20" s="42"/>
      <c r="L20" s="39"/>
      <c r="M20" s="40"/>
      <c r="N20" s="41"/>
      <c r="O20" s="42"/>
    </row>
    <row r="21" ht="25.5" customHeight="1" spans="1:15">
      <c r="A21" s="5"/>
      <c r="B21" s="44" t="s">
        <v>25</v>
      </c>
      <c r="C21" s="44" t="s">
        <v>26</v>
      </c>
      <c r="D21" s="6"/>
      <c r="E21" s="110"/>
      <c r="F21" s="25"/>
      <c r="G21" s="26"/>
      <c r="H21" s="6"/>
      <c r="I21" s="7"/>
      <c r="J21" s="25"/>
      <c r="K21" s="26"/>
      <c r="L21" s="6"/>
      <c r="M21" s="7"/>
      <c r="N21" s="25"/>
      <c r="O21" s="26"/>
    </row>
    <row r="22" ht="6" customHeight="1" spans="1:15">
      <c r="A22" s="45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4"/>
    </row>
    <row r="23" ht="22.5" customHeight="1" spans="1:15">
      <c r="A23" s="51" t="s">
        <v>30</v>
      </c>
      <c r="B23" s="52" t="s">
        <v>11</v>
      </c>
      <c r="C23" s="52" t="s">
        <v>12</v>
      </c>
      <c r="D23" s="39">
        <f t="shared" ref="D23:O23" si="0">SUM(D5+D14)</f>
        <v>0</v>
      </c>
      <c r="E23" s="40">
        <f t="shared" si="0"/>
        <v>0</v>
      </c>
      <c r="F23" s="47">
        <f t="shared" si="0"/>
        <v>0</v>
      </c>
      <c r="G23" s="48">
        <f t="shared" si="0"/>
        <v>0</v>
      </c>
      <c r="H23" s="39">
        <f t="shared" si="0"/>
        <v>0</v>
      </c>
      <c r="I23" s="40">
        <f t="shared" si="0"/>
        <v>0</v>
      </c>
      <c r="J23" s="47">
        <f t="shared" si="0"/>
        <v>0</v>
      </c>
      <c r="K23" s="48">
        <f t="shared" si="0"/>
        <v>0</v>
      </c>
      <c r="L23" s="39">
        <f t="shared" si="0"/>
        <v>0</v>
      </c>
      <c r="M23" s="40">
        <f t="shared" si="0"/>
        <v>0</v>
      </c>
      <c r="N23" s="47">
        <f t="shared" si="0"/>
        <v>0</v>
      </c>
      <c r="O23" s="48">
        <f t="shared" si="0"/>
        <v>0</v>
      </c>
    </row>
    <row r="24" ht="22.5" customHeight="1" spans="1:15">
      <c r="A24" s="43"/>
      <c r="B24" s="44" t="s">
        <v>13</v>
      </c>
      <c r="C24" s="44" t="s">
        <v>14</v>
      </c>
      <c r="D24" s="6">
        <f t="shared" ref="D24:F24" si="1">SUM(D6)</f>
        <v>0</v>
      </c>
      <c r="E24" s="7">
        <f t="shared" si="1"/>
        <v>0</v>
      </c>
      <c r="F24" s="8">
        <f t="shared" si="1"/>
        <v>0</v>
      </c>
      <c r="G24" s="9">
        <f t="shared" ref="G24:O24" si="2">SUM(G5+G14)</f>
        <v>0</v>
      </c>
      <c r="H24" s="6">
        <f t="shared" si="2"/>
        <v>0</v>
      </c>
      <c r="I24" s="7">
        <f t="shared" si="2"/>
        <v>0</v>
      </c>
      <c r="J24" s="8">
        <f t="shared" si="2"/>
        <v>0</v>
      </c>
      <c r="K24" s="9">
        <f t="shared" si="2"/>
        <v>0</v>
      </c>
      <c r="L24" s="6">
        <f t="shared" si="2"/>
        <v>0</v>
      </c>
      <c r="M24" s="7">
        <f t="shared" si="2"/>
        <v>0</v>
      </c>
      <c r="N24" s="8">
        <f t="shared" si="2"/>
        <v>0</v>
      </c>
      <c r="O24" s="9">
        <f t="shared" si="2"/>
        <v>0</v>
      </c>
    </row>
    <row r="25" ht="25.5" customHeight="1" spans="1:15">
      <c r="A25" s="43"/>
      <c r="B25" s="52" t="s">
        <v>28</v>
      </c>
      <c r="C25" s="52" t="s">
        <v>29</v>
      </c>
      <c r="D25" s="39">
        <f t="shared" ref="D25:E25" si="3">SUM(D15)</f>
        <v>0</v>
      </c>
      <c r="E25" s="40">
        <f t="shared" si="3"/>
        <v>0</v>
      </c>
      <c r="F25" s="47">
        <f t="shared" ref="F25:H25" si="4">SUM(F7+F16)</f>
        <v>0</v>
      </c>
      <c r="G25" s="48">
        <f t="shared" si="4"/>
        <v>0</v>
      </c>
      <c r="H25" s="39">
        <f t="shared" si="4"/>
        <v>0</v>
      </c>
      <c r="I25" s="40">
        <f>SUM(I6+I15)</f>
        <v>0</v>
      </c>
      <c r="J25" s="47">
        <f t="shared" ref="J25:L25" si="5">SUM(J7+J16)</f>
        <v>0</v>
      </c>
      <c r="K25" s="48">
        <f t="shared" si="5"/>
        <v>0</v>
      </c>
      <c r="L25" s="39">
        <f t="shared" si="5"/>
        <v>0</v>
      </c>
      <c r="M25" s="40">
        <f>SUM(M6+M15)</f>
        <v>0</v>
      </c>
      <c r="N25" s="47">
        <v>0</v>
      </c>
      <c r="O25" s="48">
        <f>SUM(O7+O16)</f>
        <v>0</v>
      </c>
    </row>
    <row r="26" ht="24.75" customHeight="1" spans="1:15">
      <c r="A26" s="43"/>
      <c r="B26" s="44" t="s">
        <v>15</v>
      </c>
      <c r="C26" s="44" t="s">
        <v>16</v>
      </c>
      <c r="D26" s="6">
        <f t="shared" ref="D26:O26" si="6">SUM(D7+D16)</f>
        <v>0</v>
      </c>
      <c r="E26" s="7">
        <f t="shared" si="6"/>
        <v>0</v>
      </c>
      <c r="F26" s="8">
        <f t="shared" si="6"/>
        <v>0</v>
      </c>
      <c r="G26" s="9">
        <f t="shared" si="6"/>
        <v>0</v>
      </c>
      <c r="H26" s="6">
        <f t="shared" si="6"/>
        <v>0</v>
      </c>
      <c r="I26" s="7">
        <f t="shared" si="6"/>
        <v>0</v>
      </c>
      <c r="J26" s="8">
        <f t="shared" si="6"/>
        <v>0</v>
      </c>
      <c r="K26" s="9">
        <f t="shared" si="6"/>
        <v>0</v>
      </c>
      <c r="L26" s="6">
        <f t="shared" si="6"/>
        <v>0</v>
      </c>
      <c r="M26" s="7">
        <f t="shared" si="6"/>
        <v>0</v>
      </c>
      <c r="N26" s="8">
        <f t="shared" si="6"/>
        <v>0</v>
      </c>
      <c r="O26" s="9">
        <f t="shared" si="6"/>
        <v>0</v>
      </c>
    </row>
    <row r="27" ht="23.25" customHeight="1" spans="1:15">
      <c r="A27" s="43"/>
      <c r="B27" s="52" t="s">
        <v>17</v>
      </c>
      <c r="C27" s="52" t="s">
        <v>18</v>
      </c>
      <c r="D27" s="39">
        <f t="shared" ref="D27:O27" si="7">SUM(D8+D17)</f>
        <v>0</v>
      </c>
      <c r="E27" s="40">
        <f t="shared" si="7"/>
        <v>0</v>
      </c>
      <c r="F27" s="47">
        <f t="shared" si="7"/>
        <v>0</v>
      </c>
      <c r="G27" s="48">
        <f t="shared" si="7"/>
        <v>0</v>
      </c>
      <c r="H27" s="39">
        <f t="shared" si="7"/>
        <v>0</v>
      </c>
      <c r="I27" s="40">
        <f t="shared" si="7"/>
        <v>0</v>
      </c>
      <c r="J27" s="47">
        <f t="shared" si="7"/>
        <v>0</v>
      </c>
      <c r="K27" s="48">
        <f t="shared" si="7"/>
        <v>0</v>
      </c>
      <c r="L27" s="39">
        <f t="shared" si="7"/>
        <v>0</v>
      </c>
      <c r="M27" s="40">
        <f t="shared" si="7"/>
        <v>0</v>
      </c>
      <c r="N27" s="47">
        <f t="shared" si="7"/>
        <v>0</v>
      </c>
      <c r="O27" s="48">
        <f t="shared" si="7"/>
        <v>0</v>
      </c>
    </row>
    <row r="28" ht="22.5" customHeight="1" spans="1:15">
      <c r="A28" s="43"/>
      <c r="B28" s="44" t="s">
        <v>19</v>
      </c>
      <c r="C28" s="44" t="s">
        <v>20</v>
      </c>
      <c r="D28" s="6">
        <f t="shared" ref="D28:O28" si="8">SUM(D9+D18)</f>
        <v>0</v>
      </c>
      <c r="E28" s="7">
        <f t="shared" si="8"/>
        <v>0</v>
      </c>
      <c r="F28" s="8">
        <f t="shared" si="8"/>
        <v>0</v>
      </c>
      <c r="G28" s="9">
        <f t="shared" si="8"/>
        <v>0</v>
      </c>
      <c r="H28" s="6">
        <f t="shared" si="8"/>
        <v>0</v>
      </c>
      <c r="I28" s="7">
        <f t="shared" si="8"/>
        <v>0</v>
      </c>
      <c r="J28" s="8">
        <f t="shared" si="8"/>
        <v>0</v>
      </c>
      <c r="K28" s="9">
        <f t="shared" si="8"/>
        <v>0</v>
      </c>
      <c r="L28" s="6">
        <f t="shared" si="8"/>
        <v>0</v>
      </c>
      <c r="M28" s="7">
        <f t="shared" si="8"/>
        <v>0</v>
      </c>
      <c r="N28" s="8">
        <f t="shared" si="8"/>
        <v>0</v>
      </c>
      <c r="O28" s="9">
        <f t="shared" si="8"/>
        <v>0</v>
      </c>
    </row>
    <row r="29" ht="24.75" customHeight="1" spans="1:15">
      <c r="A29" s="43"/>
      <c r="B29" s="52" t="s">
        <v>21</v>
      </c>
      <c r="C29" s="52" t="s">
        <v>22</v>
      </c>
      <c r="D29" s="39">
        <f t="shared" ref="D29:O29" si="9">SUM(D10+D19)</f>
        <v>0</v>
      </c>
      <c r="E29" s="40">
        <f t="shared" si="9"/>
        <v>0</v>
      </c>
      <c r="F29" s="47">
        <f t="shared" si="9"/>
        <v>0</v>
      </c>
      <c r="G29" s="48">
        <f t="shared" si="9"/>
        <v>0</v>
      </c>
      <c r="H29" s="39">
        <f t="shared" si="9"/>
        <v>0</v>
      </c>
      <c r="I29" s="40">
        <f t="shared" si="9"/>
        <v>0</v>
      </c>
      <c r="J29" s="47">
        <f t="shared" si="9"/>
        <v>0</v>
      </c>
      <c r="K29" s="48">
        <f t="shared" si="9"/>
        <v>0</v>
      </c>
      <c r="L29" s="39">
        <f t="shared" si="9"/>
        <v>0</v>
      </c>
      <c r="M29" s="40">
        <f t="shared" si="9"/>
        <v>0</v>
      </c>
      <c r="N29" s="47">
        <f t="shared" si="9"/>
        <v>0</v>
      </c>
      <c r="O29" s="48">
        <f t="shared" si="9"/>
        <v>0</v>
      </c>
    </row>
    <row r="30" ht="24.75" customHeight="1" spans="1:15">
      <c r="A30" s="43"/>
      <c r="B30" s="44" t="s">
        <v>23</v>
      </c>
      <c r="C30" s="44" t="s">
        <v>24</v>
      </c>
      <c r="D30" s="6">
        <f t="shared" ref="D30:O30" si="10">SUM(D11+D20)</f>
        <v>0</v>
      </c>
      <c r="E30" s="7">
        <f t="shared" si="10"/>
        <v>0</v>
      </c>
      <c r="F30" s="8">
        <f t="shared" si="10"/>
        <v>0</v>
      </c>
      <c r="G30" s="9">
        <f t="shared" si="10"/>
        <v>0</v>
      </c>
      <c r="H30" s="6">
        <f t="shared" si="10"/>
        <v>0</v>
      </c>
      <c r="I30" s="7">
        <f t="shared" si="10"/>
        <v>0</v>
      </c>
      <c r="J30" s="8">
        <f t="shared" si="10"/>
        <v>0</v>
      </c>
      <c r="K30" s="9">
        <f t="shared" si="10"/>
        <v>0</v>
      </c>
      <c r="L30" s="6">
        <f t="shared" si="10"/>
        <v>0</v>
      </c>
      <c r="M30" s="7">
        <f t="shared" si="10"/>
        <v>0</v>
      </c>
      <c r="N30" s="8">
        <f t="shared" si="10"/>
        <v>0</v>
      </c>
      <c r="O30" s="9">
        <f t="shared" si="10"/>
        <v>0</v>
      </c>
    </row>
    <row r="31" ht="25.5" customHeight="1" spans="1:15">
      <c r="A31" s="5"/>
      <c r="B31" s="52" t="s">
        <v>25</v>
      </c>
      <c r="C31" s="52" t="s">
        <v>26</v>
      </c>
      <c r="D31" s="39">
        <f t="shared" ref="D31:O31" si="11">SUM(D12+D21)</f>
        <v>0</v>
      </c>
      <c r="E31" s="40">
        <f t="shared" si="11"/>
        <v>0</v>
      </c>
      <c r="F31" s="47">
        <f t="shared" si="11"/>
        <v>0</v>
      </c>
      <c r="G31" s="48">
        <f t="shared" si="11"/>
        <v>0</v>
      </c>
      <c r="H31" s="39">
        <f t="shared" si="11"/>
        <v>0</v>
      </c>
      <c r="I31" s="40">
        <f t="shared" si="11"/>
        <v>0</v>
      </c>
      <c r="J31" s="47">
        <f t="shared" si="11"/>
        <v>0</v>
      </c>
      <c r="K31" s="48">
        <f t="shared" si="11"/>
        <v>0</v>
      </c>
      <c r="L31" s="39">
        <f t="shared" si="11"/>
        <v>0</v>
      </c>
      <c r="M31" s="40">
        <f t="shared" si="11"/>
        <v>0</v>
      </c>
      <c r="N31" s="47">
        <f t="shared" si="11"/>
        <v>0</v>
      </c>
      <c r="O31" s="48">
        <f t="shared" si="11"/>
        <v>0</v>
      </c>
    </row>
    <row r="32" ht="21.75" customHeight="1" spans="1:15">
      <c r="A32" s="53"/>
      <c r="B32" s="53"/>
      <c r="C32" s="54" t="s">
        <v>30</v>
      </c>
      <c r="D32" s="55">
        <f t="shared" ref="D32:O32" si="12">SUM(D23:D31)</f>
        <v>0</v>
      </c>
      <c r="E32" s="56">
        <f t="shared" si="12"/>
        <v>0</v>
      </c>
      <c r="F32" s="90">
        <f t="shared" si="12"/>
        <v>0</v>
      </c>
      <c r="G32" s="57">
        <f t="shared" si="12"/>
        <v>0</v>
      </c>
      <c r="H32" s="55">
        <f t="shared" si="12"/>
        <v>0</v>
      </c>
      <c r="I32" s="56">
        <f t="shared" si="12"/>
        <v>0</v>
      </c>
      <c r="J32" s="90">
        <f t="shared" si="12"/>
        <v>0</v>
      </c>
      <c r="K32" s="57">
        <f t="shared" si="12"/>
        <v>0</v>
      </c>
      <c r="L32" s="55">
        <f t="shared" si="12"/>
        <v>0</v>
      </c>
      <c r="M32" s="56">
        <f t="shared" si="12"/>
        <v>0</v>
      </c>
      <c r="N32" s="90">
        <f t="shared" si="12"/>
        <v>0</v>
      </c>
      <c r="O32" s="57">
        <f t="shared" si="12"/>
        <v>0</v>
      </c>
    </row>
    <row r="33" ht="24.75" customHeight="1" spans="1:15">
      <c r="A33" s="58"/>
      <c r="B33" s="58"/>
      <c r="C33" s="54" t="s">
        <v>31</v>
      </c>
      <c r="D33" s="59">
        <f t="shared" ref="D33:O33" si="13">D32*40</f>
        <v>0</v>
      </c>
      <c r="E33" s="60">
        <f t="shared" si="13"/>
        <v>0</v>
      </c>
      <c r="F33" s="61">
        <f t="shared" si="13"/>
        <v>0</v>
      </c>
      <c r="G33" s="62">
        <f t="shared" si="13"/>
        <v>0</v>
      </c>
      <c r="H33" s="59">
        <f t="shared" si="13"/>
        <v>0</v>
      </c>
      <c r="I33" s="60">
        <f t="shared" si="13"/>
        <v>0</v>
      </c>
      <c r="J33" s="61">
        <f t="shared" si="13"/>
        <v>0</v>
      </c>
      <c r="K33" s="62">
        <f t="shared" si="13"/>
        <v>0</v>
      </c>
      <c r="L33" s="59">
        <f t="shared" si="13"/>
        <v>0</v>
      </c>
      <c r="M33" s="60">
        <f t="shared" si="13"/>
        <v>0</v>
      </c>
      <c r="N33" s="61">
        <f t="shared" si="13"/>
        <v>0</v>
      </c>
      <c r="O33" s="62">
        <f t="shared" si="13"/>
        <v>0</v>
      </c>
    </row>
    <row r="34" customHeight="1" spans="1:15">
      <c r="A34" s="58"/>
      <c r="D34" s="67"/>
      <c r="E34" s="67"/>
      <c r="F34" s="68"/>
      <c r="G34" s="68"/>
      <c r="H34" s="68"/>
      <c r="I34" s="68"/>
      <c r="J34" s="68"/>
      <c r="K34" s="68"/>
      <c r="L34" s="68"/>
      <c r="M34" s="68"/>
      <c r="N34" s="68"/>
      <c r="O34" s="68"/>
    </row>
    <row r="35" customHeight="1" spans="2:15">
      <c r="B35" s="69" t="s">
        <v>32</v>
      </c>
      <c r="C35" s="70"/>
      <c r="D35" s="67"/>
      <c r="E35" s="67"/>
      <c r="F35" s="68"/>
      <c r="G35" s="68"/>
      <c r="H35" s="68"/>
      <c r="I35" s="68"/>
      <c r="J35" s="68"/>
      <c r="K35" s="68"/>
      <c r="L35" s="68"/>
      <c r="M35" s="68"/>
      <c r="N35" s="68"/>
      <c r="O35" s="68"/>
    </row>
    <row r="36" customHeight="1" spans="2:15">
      <c r="B36" s="71" t="s">
        <v>33</v>
      </c>
      <c r="C36" s="72"/>
      <c r="D36" s="67"/>
      <c r="E36" s="67"/>
      <c r="F36" s="68"/>
      <c r="G36" s="68"/>
      <c r="H36" s="68"/>
      <c r="I36" s="68"/>
      <c r="J36" s="68"/>
      <c r="K36" s="68"/>
      <c r="L36" s="68"/>
      <c r="M36" s="68"/>
      <c r="N36" s="68"/>
      <c r="O36" s="68"/>
    </row>
    <row r="37" ht="18.75" customHeight="1" spans="2:15">
      <c r="B37" s="71" t="s">
        <v>34</v>
      </c>
      <c r="C37" s="72"/>
      <c r="D37" s="67"/>
      <c r="E37" s="67"/>
      <c r="F37" s="68"/>
      <c r="G37" s="68"/>
      <c r="H37" s="68"/>
      <c r="I37" s="68"/>
      <c r="J37" s="68"/>
      <c r="K37" s="68"/>
      <c r="L37" s="68"/>
      <c r="M37" s="68"/>
      <c r="N37" s="68"/>
      <c r="O37" s="68"/>
    </row>
    <row r="38" ht="17.25" customHeight="1" spans="2:15">
      <c r="B38" s="71" t="s">
        <v>35</v>
      </c>
      <c r="C38" s="72"/>
      <c r="D38" s="67"/>
      <c r="E38" s="67"/>
      <c r="F38" s="68"/>
      <c r="G38" s="68"/>
      <c r="H38" s="68"/>
      <c r="I38" s="68"/>
      <c r="J38" s="68"/>
      <c r="K38" s="68"/>
      <c r="L38" s="68"/>
      <c r="M38" s="68"/>
      <c r="N38" s="68"/>
      <c r="O38" s="68"/>
    </row>
    <row r="39" customHeight="1" spans="1:15">
      <c r="A39" s="58"/>
      <c r="B39" s="71" t="s">
        <v>36</v>
      </c>
      <c r="C39" s="72"/>
      <c r="D39" s="67"/>
      <c r="E39" s="67"/>
      <c r="F39" s="68"/>
      <c r="G39" s="68"/>
      <c r="H39" s="68"/>
      <c r="I39" s="68"/>
      <c r="J39" s="68"/>
      <c r="K39" s="68"/>
      <c r="L39" s="68"/>
      <c r="M39" s="68"/>
      <c r="N39" s="68"/>
      <c r="O39" s="68"/>
    </row>
    <row r="40" customHeight="1" spans="1:15">
      <c r="A40" s="58"/>
      <c r="B40" s="58"/>
      <c r="C40" s="58"/>
      <c r="D40" s="67"/>
      <c r="E40" s="67"/>
      <c r="F40" s="68"/>
      <c r="G40" s="68"/>
      <c r="H40" s="68"/>
      <c r="I40" s="68"/>
      <c r="J40" s="68"/>
      <c r="K40" s="68"/>
      <c r="L40" s="68"/>
      <c r="M40" s="68"/>
      <c r="N40" s="68"/>
      <c r="O40" s="68"/>
    </row>
    <row r="41" customHeight="1" spans="1:15">
      <c r="A41" s="58"/>
      <c r="B41" s="58"/>
      <c r="C41" s="58"/>
      <c r="D41" s="67"/>
      <c r="E41" s="67"/>
      <c r="F41" s="68"/>
      <c r="G41" s="68"/>
      <c r="H41" s="68"/>
      <c r="I41" s="68"/>
      <c r="J41" s="68"/>
      <c r="K41" s="68"/>
      <c r="L41" s="68"/>
      <c r="M41" s="68"/>
      <c r="N41" s="68"/>
      <c r="O41" s="68"/>
    </row>
    <row r="42" customHeight="1" spans="1:15">
      <c r="A42" s="58"/>
      <c r="B42" s="58"/>
      <c r="C42" s="58"/>
      <c r="D42" s="67"/>
      <c r="E42" s="67"/>
      <c r="F42" s="68"/>
      <c r="G42" s="68"/>
      <c r="H42" s="68"/>
      <c r="I42" s="68"/>
      <c r="J42" s="68"/>
      <c r="K42" s="68"/>
      <c r="L42" s="68"/>
      <c r="M42" s="68"/>
      <c r="N42" s="68"/>
      <c r="O42" s="68"/>
    </row>
    <row r="43" ht="23.25" customHeight="1" spans="4:15"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</row>
    <row r="44" ht="14.25" customHeight="1" spans="4:15"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</row>
    <row r="45" ht="14.25" customHeight="1" spans="4:15"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</row>
    <row r="46" ht="14.25" customHeight="1" spans="4:15"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</row>
    <row r="47" ht="14.25" customHeight="1" spans="4:15"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</row>
    <row r="48" ht="14.25" customHeight="1" spans="4:15"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</row>
    <row r="49" ht="14.25" customHeight="1" spans="4:15"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</row>
    <row r="50" ht="14.25" customHeight="1" spans="4:15"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</row>
    <row r="51" ht="14.25" customHeight="1" spans="4:15"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</row>
    <row r="52" ht="14.25" customHeight="1" spans="4:15"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</row>
    <row r="53" ht="14.25" customHeight="1" spans="4:15"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</row>
    <row r="54" ht="14.25" customHeight="1" spans="4:15"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</row>
    <row r="55" ht="14.25" customHeight="1" spans="4:15"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</row>
    <row r="56" ht="14.25" customHeight="1" spans="4:15"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</row>
    <row r="57" ht="14.25" customHeight="1" spans="4:15"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</row>
    <row r="58" ht="14.25" customHeight="1" spans="4:15"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</row>
    <row r="59" ht="14.25" customHeight="1" spans="4:15"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</row>
    <row r="60" ht="14.25" customHeight="1" spans="4:15"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</row>
    <row r="61" ht="14.25" customHeight="1" spans="4:15"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</row>
    <row r="62" ht="14.25" customHeight="1" spans="4:15"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</row>
    <row r="63" ht="14.25" customHeight="1" spans="4:15"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</row>
    <row r="64" ht="14.25" customHeight="1" spans="4:15"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</row>
    <row r="65" ht="14.25" customHeight="1" spans="4:15"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</row>
    <row r="66" ht="14.25" customHeight="1" spans="4:15"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</row>
    <row r="67" ht="14.25" customHeight="1" spans="4:15"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</row>
    <row r="68" ht="14.25" customHeight="1" spans="4:15"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</row>
    <row r="69" ht="14.25" customHeight="1" spans="4:15"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</row>
    <row r="70" ht="14.25" customHeight="1" spans="4:15"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</row>
    <row r="71" ht="14.25" customHeight="1" spans="4:15"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</row>
    <row r="72" ht="14.25" customHeight="1" spans="4:15"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</row>
    <row r="73" ht="14.25" customHeight="1" spans="4:15"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</row>
    <row r="74" ht="14.25" customHeight="1" spans="4:15"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</row>
    <row r="75" ht="14.25" customHeight="1" spans="4:15"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</row>
    <row r="76" ht="14.25" customHeight="1" spans="4:15"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</row>
    <row r="77" ht="14.25" customHeight="1" spans="4:15"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</row>
    <row r="78" ht="14.25" customHeight="1" spans="4:15"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</row>
    <row r="79" ht="14.25" customHeight="1" spans="4:15"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</row>
    <row r="80" ht="14.25" customHeight="1" spans="4:15"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</row>
    <row r="81" ht="14.25" customHeight="1" spans="4:15"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</row>
    <row r="82" ht="14.25" customHeight="1" spans="4:15"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</row>
    <row r="83" ht="14.25" customHeight="1" spans="4:15"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</row>
    <row r="84" ht="14.25" customHeight="1" spans="4:15"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</row>
    <row r="85" ht="14.25" customHeight="1" spans="4:15"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</row>
    <row r="86" ht="14.25" customHeight="1" spans="4:15"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</row>
    <row r="87" ht="14.25" customHeight="1" spans="4:15"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</row>
    <row r="88" ht="14.25" customHeight="1" spans="4:15"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</row>
    <row r="89" ht="14.25" customHeight="1" spans="4:15"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</row>
    <row r="90" ht="14.25" customHeight="1" spans="4:15"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</row>
    <row r="91" ht="14.25" customHeight="1" spans="4:15"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</row>
    <row r="92" ht="14.25" customHeight="1" spans="4:15"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</row>
    <row r="93" ht="14.25" customHeight="1" spans="4:15"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</row>
    <row r="94" ht="14.25" customHeight="1" spans="4:15"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</row>
    <row r="95" ht="14.25" customHeight="1" spans="4:15"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</row>
    <row r="96" ht="14.25" customHeight="1" spans="4:15"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</row>
    <row r="97" ht="14.25" customHeight="1" spans="4:15"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</row>
    <row r="98" ht="14.25" customHeight="1" spans="4:15"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</row>
    <row r="99" ht="14.25" customHeight="1" spans="4:15"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</row>
    <row r="100" ht="14.25" customHeight="1" spans="4:15"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</row>
    <row r="101" ht="14.25" customHeight="1" spans="4:15"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</row>
    <row r="102" ht="14.25" customHeight="1" spans="4:15"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</row>
    <row r="103" ht="14.25" customHeight="1" spans="4:15"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</row>
    <row r="104" ht="14.25" customHeight="1" spans="4:15"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</row>
    <row r="105" ht="14.25" customHeight="1" spans="4:15"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</row>
    <row r="106" ht="14.25" customHeight="1" spans="4:15"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</row>
    <row r="107" ht="14.25" customHeight="1" spans="4:15"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</row>
    <row r="108" ht="14.25" customHeight="1" spans="4:15"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</row>
    <row r="109" ht="14.25" customHeight="1" spans="4:15"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</row>
    <row r="110" ht="14.25" customHeight="1" spans="4:15"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</row>
    <row r="111" ht="14.25" customHeight="1" spans="4:15"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</row>
    <row r="112" ht="14.25" customHeight="1" spans="4:15"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</row>
    <row r="113" ht="14.25" customHeight="1" spans="4:7">
      <c r="D113" s="93"/>
      <c r="E113" s="94"/>
      <c r="F113" s="95"/>
      <c r="G113" s="96"/>
    </row>
    <row r="114" ht="14.25" customHeight="1" spans="4:7">
      <c r="D114" s="93"/>
      <c r="E114" s="94"/>
      <c r="F114" s="95"/>
      <c r="G114" s="96"/>
    </row>
    <row r="115" ht="14.25" customHeight="1" spans="4:7">
      <c r="D115" s="93"/>
      <c r="E115" s="94"/>
      <c r="F115" s="95"/>
      <c r="G115" s="96"/>
    </row>
    <row r="116" ht="14.25" customHeight="1" spans="4:7">
      <c r="D116" s="93"/>
      <c r="E116" s="94"/>
      <c r="F116" s="95"/>
      <c r="G116" s="96"/>
    </row>
    <row r="117" ht="14.25" customHeight="1" spans="4:7">
      <c r="D117" s="93"/>
      <c r="E117" s="94"/>
      <c r="F117" s="95"/>
      <c r="G117" s="96"/>
    </row>
    <row r="118" ht="14.25" customHeight="1" spans="4:7">
      <c r="D118" s="93"/>
      <c r="E118" s="94"/>
      <c r="F118" s="95"/>
      <c r="G118" s="96"/>
    </row>
    <row r="119" ht="14.25" customHeight="1" spans="4:7">
      <c r="D119" s="93"/>
      <c r="E119" s="94"/>
      <c r="F119" s="95"/>
      <c r="G119" s="96"/>
    </row>
    <row r="120" ht="14.25" customHeight="1" spans="4:7">
      <c r="D120" s="93"/>
      <c r="E120" s="94"/>
      <c r="F120" s="95"/>
      <c r="G120" s="96"/>
    </row>
    <row r="121" ht="14.25" customHeight="1" spans="4:7">
      <c r="D121" s="93"/>
      <c r="E121" s="94"/>
      <c r="F121" s="95"/>
      <c r="G121" s="96"/>
    </row>
    <row r="122" ht="14.25" customHeight="1" spans="4:7">
      <c r="D122" s="93"/>
      <c r="E122" s="94"/>
      <c r="F122" s="95"/>
      <c r="G122" s="96"/>
    </row>
    <row r="123" ht="14.25" customHeight="1" spans="4:7">
      <c r="D123" s="93"/>
      <c r="E123" s="94"/>
      <c r="F123" s="95"/>
      <c r="G123" s="96"/>
    </row>
    <row r="124" ht="14.25" customHeight="1" spans="4:7">
      <c r="D124" s="93"/>
      <c r="E124" s="94"/>
      <c r="F124" s="95"/>
      <c r="G124" s="96"/>
    </row>
    <row r="125" ht="14.25" customHeight="1" spans="4:7">
      <c r="D125" s="93"/>
      <c r="E125" s="94"/>
      <c r="F125" s="95"/>
      <c r="G125" s="96"/>
    </row>
    <row r="126" ht="14.25" customHeight="1" spans="4:7">
      <c r="D126" s="93"/>
      <c r="E126" s="94"/>
      <c r="F126" s="95"/>
      <c r="G126" s="96"/>
    </row>
    <row r="127" ht="14.25" customHeight="1" spans="4:7">
      <c r="D127" s="93"/>
      <c r="E127" s="94"/>
      <c r="F127" s="95"/>
      <c r="G127" s="96"/>
    </row>
    <row r="128" ht="14.25" customHeight="1" spans="4:7">
      <c r="D128" s="93"/>
      <c r="E128" s="94"/>
      <c r="F128" s="95"/>
      <c r="G128" s="96"/>
    </row>
    <row r="129" ht="14.25" customHeight="1" spans="4:7">
      <c r="D129" s="93"/>
      <c r="E129" s="94"/>
      <c r="F129" s="95"/>
      <c r="G129" s="96"/>
    </row>
    <row r="130" ht="14.25" customHeight="1" spans="4:7">
      <c r="D130" s="93"/>
      <c r="E130" s="94"/>
      <c r="F130" s="95"/>
      <c r="G130" s="96"/>
    </row>
    <row r="131" ht="14.25" customHeight="1" spans="4:7">
      <c r="D131" s="93"/>
      <c r="E131" s="94"/>
      <c r="F131" s="95"/>
      <c r="G131" s="96"/>
    </row>
    <row r="132" ht="14.25" customHeight="1" spans="4:7">
      <c r="D132" s="93"/>
      <c r="E132" s="94"/>
      <c r="F132" s="95"/>
      <c r="G132" s="96"/>
    </row>
    <row r="133" ht="14.25" customHeight="1" spans="4:7">
      <c r="D133" s="93"/>
      <c r="E133" s="94"/>
      <c r="F133" s="95"/>
      <c r="G133" s="96"/>
    </row>
    <row r="134" ht="14.25" customHeight="1" spans="4:7">
      <c r="D134" s="93"/>
      <c r="E134" s="94"/>
      <c r="F134" s="95"/>
      <c r="G134" s="96"/>
    </row>
    <row r="135" ht="14.25" customHeight="1" spans="4:7">
      <c r="D135" s="93"/>
      <c r="E135" s="94"/>
      <c r="F135" s="95"/>
      <c r="G135" s="96"/>
    </row>
    <row r="136" ht="14.25" customHeight="1" spans="4:7">
      <c r="D136" s="93"/>
      <c r="E136" s="94"/>
      <c r="F136" s="95"/>
      <c r="G136" s="96"/>
    </row>
    <row r="137" ht="14.25" customHeight="1" spans="4:7">
      <c r="D137" s="93"/>
      <c r="E137" s="94"/>
      <c r="F137" s="95"/>
      <c r="G137" s="96"/>
    </row>
    <row r="138" ht="14.25" customHeight="1" spans="4:7">
      <c r="D138" s="93"/>
      <c r="E138" s="94"/>
      <c r="F138" s="95"/>
      <c r="G138" s="96"/>
    </row>
    <row r="139" ht="14.25" customHeight="1" spans="4:7">
      <c r="D139" s="93"/>
      <c r="E139" s="94"/>
      <c r="F139" s="95"/>
      <c r="G139" s="96"/>
    </row>
    <row r="140" ht="14.25" customHeight="1" spans="4:7">
      <c r="D140" s="93"/>
      <c r="E140" s="94"/>
      <c r="F140" s="95"/>
      <c r="G140" s="96"/>
    </row>
    <row r="141" ht="14.25" customHeight="1" spans="4:7">
      <c r="D141" s="93"/>
      <c r="E141" s="94"/>
      <c r="F141" s="95"/>
      <c r="G141" s="96"/>
    </row>
    <row r="142" ht="14.25" customHeight="1" spans="4:7">
      <c r="D142" s="93"/>
      <c r="E142" s="94"/>
      <c r="F142" s="95"/>
      <c r="G142" s="96"/>
    </row>
    <row r="143" ht="14.25" customHeight="1" spans="4:7">
      <c r="D143" s="93"/>
      <c r="E143" s="94"/>
      <c r="F143" s="95"/>
      <c r="G143" s="96"/>
    </row>
    <row r="144" ht="14.25" customHeight="1" spans="4:7">
      <c r="D144" s="93"/>
      <c r="E144" s="94"/>
      <c r="F144" s="95"/>
      <c r="G144" s="96"/>
    </row>
    <row r="145" ht="14.25" customHeight="1" spans="4:7">
      <c r="D145" s="93"/>
      <c r="E145" s="94"/>
      <c r="F145" s="95"/>
      <c r="G145" s="96"/>
    </row>
    <row r="146" ht="14.25" customHeight="1" spans="4:7">
      <c r="D146" s="93"/>
      <c r="E146" s="94"/>
      <c r="F146" s="95"/>
      <c r="G146" s="96"/>
    </row>
    <row r="147" ht="14.25" customHeight="1" spans="4:7">
      <c r="D147" s="93"/>
      <c r="E147" s="94"/>
      <c r="F147" s="95"/>
      <c r="G147" s="96"/>
    </row>
    <row r="148" ht="14.25" customHeight="1" spans="4:7">
      <c r="D148" s="93"/>
      <c r="E148" s="94"/>
      <c r="F148" s="95"/>
      <c r="G148" s="96"/>
    </row>
    <row r="149" ht="14.25" customHeight="1" spans="4:7">
      <c r="D149" s="93"/>
      <c r="E149" s="94"/>
      <c r="F149" s="95"/>
      <c r="G149" s="96"/>
    </row>
    <row r="150" ht="14.25" customHeight="1" spans="4:7">
      <c r="D150" s="93"/>
      <c r="E150" s="94"/>
      <c r="F150" s="95"/>
      <c r="G150" s="96"/>
    </row>
    <row r="151" ht="14.25" customHeight="1" spans="4:7">
      <c r="D151" s="93"/>
      <c r="E151" s="94"/>
      <c r="F151" s="95"/>
      <c r="G151" s="96"/>
    </row>
    <row r="152" ht="14.25" customHeight="1" spans="4:7">
      <c r="D152" s="93"/>
      <c r="E152" s="94"/>
      <c r="F152" s="95"/>
      <c r="G152" s="96"/>
    </row>
    <row r="153" ht="14.25" customHeight="1" spans="4:7">
      <c r="D153" s="93"/>
      <c r="E153" s="94"/>
      <c r="F153" s="95"/>
      <c r="G153" s="96"/>
    </row>
    <row r="154" ht="14.25" customHeight="1" spans="4:7">
      <c r="D154" s="93"/>
      <c r="E154" s="94"/>
      <c r="F154" s="95"/>
      <c r="G154" s="96"/>
    </row>
    <row r="155" ht="14.25" customHeight="1" spans="4:7">
      <c r="D155" s="93"/>
      <c r="E155" s="94"/>
      <c r="F155" s="95"/>
      <c r="G155" s="96"/>
    </row>
    <row r="156" ht="14.25" customHeight="1" spans="4:7">
      <c r="D156" s="93"/>
      <c r="E156" s="94"/>
      <c r="F156" s="95"/>
      <c r="G156" s="96"/>
    </row>
    <row r="157" ht="14.25" customHeight="1" spans="4:7">
      <c r="D157" s="93"/>
      <c r="E157" s="94"/>
      <c r="F157" s="95"/>
      <c r="G157" s="96"/>
    </row>
    <row r="158" ht="14.25" customHeight="1" spans="4:7">
      <c r="D158" s="93"/>
      <c r="E158" s="94"/>
      <c r="F158" s="95"/>
      <c r="G158" s="96"/>
    </row>
    <row r="159" ht="14.25" customHeight="1" spans="4:7">
      <c r="D159" s="93"/>
      <c r="E159" s="94"/>
      <c r="F159" s="95"/>
      <c r="G159" s="96"/>
    </row>
    <row r="160" ht="14.25" customHeight="1" spans="4:7">
      <c r="D160" s="93"/>
      <c r="E160" s="94"/>
      <c r="F160" s="95"/>
      <c r="G160" s="96"/>
    </row>
    <row r="161" ht="14.25" customHeight="1" spans="4:7">
      <c r="D161" s="93"/>
      <c r="E161" s="94"/>
      <c r="F161" s="95"/>
      <c r="G161" s="96"/>
    </row>
    <row r="162" ht="14.25" customHeight="1" spans="4:7">
      <c r="D162" s="93"/>
      <c r="E162" s="94"/>
      <c r="F162" s="95"/>
      <c r="G162" s="96"/>
    </row>
    <row r="163" ht="14.25" customHeight="1" spans="4:7">
      <c r="D163" s="93"/>
      <c r="E163" s="94"/>
      <c r="F163" s="95"/>
      <c r="G163" s="96"/>
    </row>
    <row r="164" ht="14.25" customHeight="1" spans="4:7">
      <c r="D164" s="93"/>
      <c r="E164" s="94"/>
      <c r="F164" s="95"/>
      <c r="G164" s="96"/>
    </row>
    <row r="165" ht="14.25" customHeight="1" spans="4:7">
      <c r="D165" s="93"/>
      <c r="E165" s="94"/>
      <c r="F165" s="95"/>
      <c r="G165" s="96"/>
    </row>
    <row r="166" ht="14.25" customHeight="1" spans="4:7">
      <c r="D166" s="93"/>
      <c r="E166" s="94"/>
      <c r="F166" s="95"/>
      <c r="G166" s="96"/>
    </row>
    <row r="167" ht="14.25" customHeight="1" spans="4:7">
      <c r="D167" s="93"/>
      <c r="E167" s="94"/>
      <c r="F167" s="95"/>
      <c r="G167" s="96"/>
    </row>
    <row r="168" ht="14.25" customHeight="1" spans="4:7">
      <c r="D168" s="93"/>
      <c r="E168" s="94"/>
      <c r="F168" s="95"/>
      <c r="G168" s="96"/>
    </row>
    <row r="169" ht="14.25" customHeight="1" spans="4:7">
      <c r="D169" s="93"/>
      <c r="E169" s="94"/>
      <c r="F169" s="95"/>
      <c r="G169" s="96"/>
    </row>
    <row r="170" ht="14.25" customHeight="1" spans="4:7">
      <c r="D170" s="93"/>
      <c r="E170" s="94"/>
      <c r="F170" s="95"/>
      <c r="G170" s="96"/>
    </row>
    <row r="171" ht="14.25" customHeight="1" spans="4:7">
      <c r="D171" s="93"/>
      <c r="E171" s="94"/>
      <c r="F171" s="95"/>
      <c r="G171" s="96"/>
    </row>
    <row r="172" ht="14.25" customHeight="1" spans="4:7">
      <c r="D172" s="93"/>
      <c r="E172" s="94"/>
      <c r="F172" s="95"/>
      <c r="G172" s="96"/>
    </row>
    <row r="173" ht="14.25" customHeight="1" spans="4:7">
      <c r="D173" s="93"/>
      <c r="E173" s="94"/>
      <c r="F173" s="95"/>
      <c r="G173" s="96"/>
    </row>
    <row r="174" ht="14.25" customHeight="1" spans="4:7">
      <c r="D174" s="93"/>
      <c r="E174" s="94"/>
      <c r="F174" s="95"/>
      <c r="G174" s="96"/>
    </row>
    <row r="175" ht="14.25" customHeight="1" spans="4:7">
      <c r="D175" s="93"/>
      <c r="E175" s="94"/>
      <c r="F175" s="95"/>
      <c r="G175" s="96"/>
    </row>
    <row r="176" ht="14.25" customHeight="1" spans="4:7">
      <c r="D176" s="93"/>
      <c r="E176" s="94"/>
      <c r="F176" s="95"/>
      <c r="G176" s="96"/>
    </row>
    <row r="177" ht="14.25" customHeight="1" spans="4:7">
      <c r="D177" s="93"/>
      <c r="E177" s="94"/>
      <c r="F177" s="95"/>
      <c r="G177" s="96"/>
    </row>
    <row r="178" ht="14.25" customHeight="1" spans="4:7">
      <c r="D178" s="93"/>
      <c r="E178" s="94"/>
      <c r="F178" s="95"/>
      <c r="G178" s="96"/>
    </row>
    <row r="179" ht="14.25" customHeight="1" spans="4:7">
      <c r="D179" s="93"/>
      <c r="E179" s="94"/>
      <c r="F179" s="95"/>
      <c r="G179" s="96"/>
    </row>
    <row r="180" ht="14.25" customHeight="1" spans="4:7">
      <c r="D180" s="93"/>
      <c r="E180" s="94"/>
      <c r="F180" s="95"/>
      <c r="G180" s="96"/>
    </row>
    <row r="181" ht="14.25" customHeight="1" spans="4:7">
      <c r="D181" s="93"/>
      <c r="E181" s="94"/>
      <c r="F181" s="95"/>
      <c r="G181" s="96"/>
    </row>
    <row r="182" ht="14.25" customHeight="1" spans="4:7">
      <c r="D182" s="93"/>
      <c r="E182" s="94"/>
      <c r="F182" s="95"/>
      <c r="G182" s="96"/>
    </row>
    <row r="183" ht="14.25" customHeight="1" spans="4:7">
      <c r="D183" s="93"/>
      <c r="E183" s="94"/>
      <c r="F183" s="95"/>
      <c r="G183" s="96"/>
    </row>
    <row r="184" ht="14.25" customHeight="1" spans="4:7">
      <c r="D184" s="93"/>
      <c r="E184" s="94"/>
      <c r="F184" s="95"/>
      <c r="G184" s="96"/>
    </row>
    <row r="185" ht="14.25" customHeight="1" spans="4:7">
      <c r="D185" s="93"/>
      <c r="E185" s="94"/>
      <c r="F185" s="95"/>
      <c r="G185" s="96"/>
    </row>
    <row r="186" ht="14.25" customHeight="1" spans="4:7">
      <c r="D186" s="93"/>
      <c r="E186" s="94"/>
      <c r="F186" s="95"/>
      <c r="G186" s="96"/>
    </row>
    <row r="187" ht="14.25" customHeight="1" spans="4:7">
      <c r="D187" s="93"/>
      <c r="E187" s="94"/>
      <c r="F187" s="95"/>
      <c r="G187" s="96"/>
    </row>
    <row r="188" ht="14.25" customHeight="1" spans="4:7">
      <c r="D188" s="93"/>
      <c r="E188" s="94"/>
      <c r="F188" s="95"/>
      <c r="G188" s="96"/>
    </row>
    <row r="189" ht="14.25" customHeight="1" spans="4:7">
      <c r="D189" s="93"/>
      <c r="E189" s="94"/>
      <c r="F189" s="95"/>
      <c r="G189" s="96"/>
    </row>
    <row r="190" ht="14.25" customHeight="1" spans="4:7">
      <c r="D190" s="93"/>
      <c r="E190" s="94"/>
      <c r="F190" s="95"/>
      <c r="G190" s="96"/>
    </row>
    <row r="191" ht="14.25" customHeight="1" spans="4:7">
      <c r="D191" s="93"/>
      <c r="E191" s="94"/>
      <c r="F191" s="95"/>
      <c r="G191" s="96"/>
    </row>
    <row r="192" ht="14.25" customHeight="1" spans="4:7">
      <c r="D192" s="93"/>
      <c r="E192" s="94"/>
      <c r="F192" s="95"/>
      <c r="G192" s="96"/>
    </row>
    <row r="193" ht="14.25" customHeight="1" spans="4:7">
      <c r="D193" s="93"/>
      <c r="E193" s="94"/>
      <c r="F193" s="95"/>
      <c r="G193" s="96"/>
    </row>
    <row r="194" ht="14.25" customHeight="1" spans="4:7">
      <c r="D194" s="93"/>
      <c r="E194" s="94"/>
      <c r="F194" s="95"/>
      <c r="G194" s="96"/>
    </row>
    <row r="195" ht="14.25" customHeight="1" spans="4:7">
      <c r="D195" s="93"/>
      <c r="E195" s="94"/>
      <c r="F195" s="95"/>
      <c r="G195" s="96"/>
    </row>
    <row r="196" ht="14.25" customHeight="1" spans="4:7">
      <c r="D196" s="93"/>
      <c r="E196" s="94"/>
      <c r="F196" s="95"/>
      <c r="G196" s="96"/>
    </row>
    <row r="197" ht="14.25" customHeight="1" spans="4:7">
      <c r="D197" s="93"/>
      <c r="E197" s="94"/>
      <c r="F197" s="95"/>
      <c r="G197" s="96"/>
    </row>
    <row r="198" ht="14.25" customHeight="1" spans="4:7">
      <c r="D198" s="93"/>
      <c r="E198" s="94"/>
      <c r="F198" s="95"/>
      <c r="G198" s="96"/>
    </row>
    <row r="199" ht="14.25" customHeight="1" spans="4:7">
      <c r="D199" s="93"/>
      <c r="E199" s="94"/>
      <c r="F199" s="95"/>
      <c r="G199" s="96"/>
    </row>
    <row r="200" ht="14.25" customHeight="1" spans="4:7">
      <c r="D200" s="93"/>
      <c r="E200" s="94"/>
      <c r="F200" s="95"/>
      <c r="G200" s="96"/>
    </row>
    <row r="201" ht="14.25" customHeight="1" spans="4:7">
      <c r="D201" s="93"/>
      <c r="E201" s="94"/>
      <c r="F201" s="95"/>
      <c r="G201" s="96"/>
    </row>
    <row r="202" ht="14.25" customHeight="1" spans="4:7">
      <c r="D202" s="93"/>
      <c r="E202" s="94"/>
      <c r="F202" s="95"/>
      <c r="G202" s="96"/>
    </row>
    <row r="203" ht="14.25" customHeight="1" spans="4:7">
      <c r="D203" s="93"/>
      <c r="E203" s="94"/>
      <c r="F203" s="95"/>
      <c r="G203" s="96"/>
    </row>
    <row r="204" ht="14.25" customHeight="1" spans="4:7">
      <c r="D204" s="93"/>
      <c r="E204" s="94"/>
      <c r="F204" s="95"/>
      <c r="G204" s="96"/>
    </row>
    <row r="205" ht="14.25" customHeight="1" spans="4:7">
      <c r="D205" s="93"/>
      <c r="E205" s="94"/>
      <c r="F205" s="95"/>
      <c r="G205" s="96"/>
    </row>
    <row r="206" ht="14.25" customHeight="1" spans="4:7">
      <c r="D206" s="93"/>
      <c r="E206" s="94"/>
      <c r="F206" s="95"/>
      <c r="G206" s="96"/>
    </row>
    <row r="207" ht="14.25" customHeight="1" spans="4:7">
      <c r="D207" s="93"/>
      <c r="E207" s="94"/>
      <c r="F207" s="95"/>
      <c r="G207" s="96"/>
    </row>
    <row r="208" ht="14.25" customHeight="1" spans="4:7">
      <c r="D208" s="93"/>
      <c r="E208" s="94"/>
      <c r="F208" s="95"/>
      <c r="G208" s="96"/>
    </row>
    <row r="209" ht="14.25" customHeight="1" spans="4:7">
      <c r="D209" s="93"/>
      <c r="E209" s="94"/>
      <c r="F209" s="95"/>
      <c r="G209" s="96"/>
    </row>
    <row r="210" ht="14.25" customHeight="1" spans="4:7">
      <c r="D210" s="93"/>
      <c r="E210" s="94"/>
      <c r="F210" s="95"/>
      <c r="G210" s="96"/>
    </row>
    <row r="211" ht="14.25" customHeight="1" spans="4:7">
      <c r="D211" s="93"/>
      <c r="E211" s="94"/>
      <c r="F211" s="95"/>
      <c r="G211" s="96"/>
    </row>
    <row r="212" ht="14.25" customHeight="1" spans="4:7">
      <c r="D212" s="93"/>
      <c r="E212" s="94"/>
      <c r="F212" s="95"/>
      <c r="G212" s="96"/>
    </row>
    <row r="213" ht="14.25" customHeight="1" spans="4:7">
      <c r="D213" s="93"/>
      <c r="E213" s="94"/>
      <c r="F213" s="95"/>
      <c r="G213" s="96"/>
    </row>
    <row r="214" ht="14.25" customHeight="1" spans="4:7">
      <c r="D214" s="93"/>
      <c r="E214" s="94"/>
      <c r="F214" s="95"/>
      <c r="G214" s="96"/>
    </row>
    <row r="215" ht="14.25" customHeight="1" spans="4:7">
      <c r="D215" s="93"/>
      <c r="E215" s="94"/>
      <c r="F215" s="95"/>
      <c r="G215" s="96"/>
    </row>
    <row r="216" ht="14.25" customHeight="1" spans="4:7">
      <c r="D216" s="93"/>
      <c r="E216" s="94"/>
      <c r="F216" s="95"/>
      <c r="G216" s="96"/>
    </row>
    <row r="217" ht="14.25" customHeight="1" spans="4:7">
      <c r="D217" s="93"/>
      <c r="E217" s="94"/>
      <c r="F217" s="95"/>
      <c r="G217" s="96"/>
    </row>
    <row r="218" ht="14.25" customHeight="1" spans="4:7">
      <c r="D218" s="93"/>
      <c r="E218" s="94"/>
      <c r="F218" s="95"/>
      <c r="G218" s="96"/>
    </row>
    <row r="219" ht="14.25" customHeight="1" spans="4:7">
      <c r="D219" s="93"/>
      <c r="E219" s="94"/>
      <c r="F219" s="95"/>
      <c r="G219" s="96"/>
    </row>
    <row r="220" ht="14.25" customHeight="1" spans="4:7">
      <c r="D220" s="93"/>
      <c r="E220" s="94"/>
      <c r="F220" s="95"/>
      <c r="G220" s="96"/>
    </row>
    <row r="221" ht="14.25" customHeight="1" spans="4:7">
      <c r="D221" s="93"/>
      <c r="E221" s="94"/>
      <c r="F221" s="95"/>
      <c r="G221" s="96"/>
    </row>
    <row r="222" ht="14.25" customHeight="1" spans="4:7">
      <c r="D222" s="93"/>
      <c r="E222" s="94"/>
      <c r="F222" s="95"/>
      <c r="G222" s="96"/>
    </row>
    <row r="223" ht="14.25" customHeight="1" spans="4:7">
      <c r="D223" s="93"/>
      <c r="E223" s="94"/>
      <c r="F223" s="95"/>
      <c r="G223" s="96"/>
    </row>
    <row r="224" ht="14.25" customHeight="1" spans="4:7">
      <c r="D224" s="93"/>
      <c r="E224" s="94"/>
      <c r="F224" s="95"/>
      <c r="G224" s="96"/>
    </row>
    <row r="225" ht="14.25" customHeight="1" spans="4:7">
      <c r="D225" s="93"/>
      <c r="E225" s="94"/>
      <c r="F225" s="95"/>
      <c r="G225" s="96"/>
    </row>
    <row r="226" ht="14.25" customHeight="1" spans="4:7">
      <c r="D226" s="93"/>
      <c r="E226" s="94"/>
      <c r="F226" s="95"/>
      <c r="G226" s="96"/>
    </row>
    <row r="227" ht="14.25" customHeight="1" spans="4:7">
      <c r="D227" s="93"/>
      <c r="E227" s="94"/>
      <c r="F227" s="95"/>
      <c r="G227" s="96"/>
    </row>
    <row r="228" ht="14.25" customHeight="1" spans="4:7">
      <c r="D228" s="93"/>
      <c r="E228" s="94"/>
      <c r="F228" s="95"/>
      <c r="G228" s="96"/>
    </row>
    <row r="229" ht="14.25" customHeight="1" spans="4:7">
      <c r="D229" s="93"/>
      <c r="E229" s="94"/>
      <c r="F229" s="95"/>
      <c r="G229" s="96"/>
    </row>
    <row r="230" ht="14.25" customHeight="1" spans="4:7">
      <c r="D230" s="93"/>
      <c r="E230" s="94"/>
      <c r="F230" s="95"/>
      <c r="G230" s="96"/>
    </row>
    <row r="231" ht="14.25" customHeight="1" spans="4:7">
      <c r="D231" s="93"/>
      <c r="E231" s="94"/>
      <c r="F231" s="95"/>
      <c r="G231" s="96"/>
    </row>
    <row r="232" ht="14.25" customHeight="1" spans="4:7">
      <c r="D232" s="93"/>
      <c r="E232" s="94"/>
      <c r="F232" s="95"/>
      <c r="G232" s="96"/>
    </row>
    <row r="233" ht="14.25" customHeight="1" spans="4:7">
      <c r="D233" s="93"/>
      <c r="E233" s="94"/>
      <c r="F233" s="95"/>
      <c r="G233" s="96"/>
    </row>
    <row r="234" ht="14.25" customHeight="1" spans="4:7">
      <c r="D234" s="93"/>
      <c r="E234" s="94"/>
      <c r="F234" s="95"/>
      <c r="G234" s="96"/>
    </row>
    <row r="235" ht="14.25" customHeight="1" spans="4:7">
      <c r="D235" s="93"/>
      <c r="E235" s="94"/>
      <c r="F235" s="95"/>
      <c r="G235" s="96"/>
    </row>
    <row r="236" ht="14.25" customHeight="1" spans="4:7">
      <c r="D236" s="93"/>
      <c r="E236" s="94"/>
      <c r="F236" s="95"/>
      <c r="G236" s="96"/>
    </row>
    <row r="237" ht="14.25" customHeight="1" spans="4:7">
      <c r="D237" s="93"/>
      <c r="E237" s="94"/>
      <c r="F237" s="95"/>
      <c r="G237" s="96"/>
    </row>
    <row r="238" ht="14.25" customHeight="1" spans="4:7">
      <c r="D238" s="93"/>
      <c r="E238" s="94"/>
      <c r="F238" s="95"/>
      <c r="G238" s="96"/>
    </row>
    <row r="239" ht="14.25" customHeight="1" spans="4:7">
      <c r="D239" s="93"/>
      <c r="E239" s="94"/>
      <c r="F239" s="95"/>
      <c r="G239" s="96"/>
    </row>
    <row r="240" ht="14.25" customHeight="1" spans="4:7">
      <c r="D240" s="93"/>
      <c r="E240" s="94"/>
      <c r="F240" s="95"/>
      <c r="G240" s="96"/>
    </row>
    <row r="241" ht="14.25" customHeight="1" spans="4:7">
      <c r="D241" s="93"/>
      <c r="E241" s="94"/>
      <c r="F241" s="95"/>
      <c r="G241" s="96"/>
    </row>
    <row r="242" ht="14.25" customHeight="1" spans="4:7">
      <c r="D242" s="93"/>
      <c r="E242" s="94"/>
      <c r="F242" s="95"/>
      <c r="G242" s="96"/>
    </row>
    <row r="243" ht="14.25" customHeight="1" spans="4:7">
      <c r="D243" s="93"/>
      <c r="E243" s="94"/>
      <c r="F243" s="95"/>
      <c r="G243" s="96"/>
    </row>
    <row r="244" ht="14.25" customHeight="1" spans="4:7">
      <c r="D244" s="93"/>
      <c r="E244" s="94"/>
      <c r="F244" s="95"/>
      <c r="G244" s="96"/>
    </row>
    <row r="245" ht="14.25" customHeight="1" spans="4:7">
      <c r="D245" s="93"/>
      <c r="E245" s="94"/>
      <c r="F245" s="95"/>
      <c r="G245" s="96"/>
    </row>
    <row r="246" ht="14.25" customHeight="1" spans="4:7">
      <c r="D246" s="93"/>
      <c r="E246" s="94"/>
      <c r="F246" s="95"/>
      <c r="G246" s="96"/>
    </row>
    <row r="247" ht="14.25" customHeight="1" spans="4:7">
      <c r="D247" s="93"/>
      <c r="E247" s="94"/>
      <c r="F247" s="95"/>
      <c r="G247" s="96"/>
    </row>
    <row r="248" ht="14.25" customHeight="1" spans="4:7">
      <c r="D248" s="93"/>
      <c r="E248" s="94"/>
      <c r="F248" s="95"/>
      <c r="G248" s="96"/>
    </row>
    <row r="249" ht="14.25" customHeight="1" spans="4:7">
      <c r="D249" s="93"/>
      <c r="E249" s="94"/>
      <c r="F249" s="95"/>
      <c r="G249" s="96"/>
    </row>
    <row r="250" ht="14.25" customHeight="1" spans="4:7">
      <c r="D250" s="93"/>
      <c r="E250" s="94"/>
      <c r="F250" s="95"/>
      <c r="G250" s="96"/>
    </row>
    <row r="251" ht="14.25" customHeight="1" spans="4:7">
      <c r="D251" s="93"/>
      <c r="E251" s="94"/>
      <c r="F251" s="95"/>
      <c r="G251" s="96"/>
    </row>
    <row r="252" ht="14.25" customHeight="1" spans="4:7">
      <c r="D252" s="93"/>
      <c r="E252" s="94"/>
      <c r="F252" s="95"/>
      <c r="G252" s="96"/>
    </row>
    <row r="253" ht="14.25" customHeight="1" spans="4:7">
      <c r="D253" s="93"/>
      <c r="E253" s="94"/>
      <c r="F253" s="95"/>
      <c r="G253" s="96"/>
    </row>
    <row r="254" ht="14.25" customHeight="1" spans="4:7">
      <c r="D254" s="93"/>
      <c r="E254" s="94"/>
      <c r="F254" s="95"/>
      <c r="G254" s="96"/>
    </row>
    <row r="255" ht="14.25" customHeight="1" spans="4:7">
      <c r="D255" s="93"/>
      <c r="E255" s="94"/>
      <c r="F255" s="95"/>
      <c r="G255" s="96"/>
    </row>
    <row r="256" ht="14.25" customHeight="1" spans="4:7">
      <c r="D256" s="93"/>
      <c r="E256" s="94"/>
      <c r="F256" s="95"/>
      <c r="G256" s="96"/>
    </row>
    <row r="257" ht="14.25" customHeight="1" spans="4:7">
      <c r="D257" s="93"/>
      <c r="E257" s="94"/>
      <c r="F257" s="95"/>
      <c r="G257" s="96"/>
    </row>
    <row r="258" ht="14.25" customHeight="1" spans="4:7">
      <c r="D258" s="93"/>
      <c r="E258" s="94"/>
      <c r="F258" s="95"/>
      <c r="G258" s="96"/>
    </row>
    <row r="259" ht="14.25" customHeight="1" spans="4:7">
      <c r="D259" s="93"/>
      <c r="E259" s="94"/>
      <c r="F259" s="95"/>
      <c r="G259" s="96"/>
    </row>
    <row r="260" ht="14.25" customHeight="1" spans="4:7">
      <c r="D260" s="93"/>
      <c r="E260" s="94"/>
      <c r="F260" s="95"/>
      <c r="G260" s="96"/>
    </row>
    <row r="261" ht="14.25" customHeight="1" spans="4:7">
      <c r="D261" s="93"/>
      <c r="E261" s="94"/>
      <c r="F261" s="95"/>
      <c r="G261" s="96"/>
    </row>
    <row r="262" ht="14.25" customHeight="1" spans="4:7">
      <c r="D262" s="93"/>
      <c r="E262" s="94"/>
      <c r="F262" s="95"/>
      <c r="G262" s="96"/>
    </row>
    <row r="263" ht="14.25" customHeight="1" spans="4:7">
      <c r="D263" s="93"/>
      <c r="E263" s="94"/>
      <c r="F263" s="95"/>
      <c r="G263" s="96"/>
    </row>
    <row r="264" ht="14.25" customHeight="1" spans="4:7">
      <c r="D264" s="93"/>
      <c r="E264" s="94"/>
      <c r="F264" s="95"/>
      <c r="G264" s="96"/>
    </row>
    <row r="265" ht="14.25" customHeight="1" spans="4:7">
      <c r="D265" s="93"/>
      <c r="E265" s="94"/>
      <c r="F265" s="95"/>
      <c r="G265" s="96"/>
    </row>
    <row r="266" ht="14.25" customHeight="1" spans="4:7">
      <c r="D266" s="93"/>
      <c r="E266" s="94"/>
      <c r="F266" s="95"/>
      <c r="G266" s="96"/>
    </row>
    <row r="267" ht="14.25" customHeight="1" spans="4:7">
      <c r="D267" s="93"/>
      <c r="E267" s="94"/>
      <c r="F267" s="95"/>
      <c r="G267" s="96"/>
    </row>
    <row r="268" ht="14.25" customHeight="1" spans="4:7">
      <c r="D268" s="93"/>
      <c r="E268" s="94"/>
      <c r="F268" s="95"/>
      <c r="G268" s="96"/>
    </row>
    <row r="269" ht="14.25" customHeight="1" spans="4:7">
      <c r="D269" s="93"/>
      <c r="E269" s="94"/>
      <c r="F269" s="95"/>
      <c r="G269" s="96"/>
    </row>
    <row r="270" ht="14.25" customHeight="1" spans="4:7">
      <c r="D270" s="93"/>
      <c r="E270" s="94"/>
      <c r="F270" s="95"/>
      <c r="G270" s="96"/>
    </row>
    <row r="271" ht="14.25" customHeight="1" spans="4:7">
      <c r="D271" s="93"/>
      <c r="E271" s="94"/>
      <c r="F271" s="95"/>
      <c r="G271" s="96"/>
    </row>
    <row r="272" ht="14.25" customHeight="1" spans="4:7">
      <c r="D272" s="93"/>
      <c r="E272" s="94"/>
      <c r="F272" s="95"/>
      <c r="G272" s="96"/>
    </row>
    <row r="273" ht="14.25" customHeight="1" spans="4:7">
      <c r="D273" s="93"/>
      <c r="E273" s="94"/>
      <c r="F273" s="95"/>
      <c r="G273" s="96"/>
    </row>
    <row r="274" ht="14.25" customHeight="1" spans="4:7">
      <c r="D274" s="93"/>
      <c r="E274" s="94"/>
      <c r="F274" s="95"/>
      <c r="G274" s="96"/>
    </row>
    <row r="275" ht="14.25" customHeight="1" spans="4:7">
      <c r="D275" s="93"/>
      <c r="E275" s="94"/>
      <c r="F275" s="95"/>
      <c r="G275" s="96"/>
    </row>
    <row r="276" ht="14.25" customHeight="1" spans="4:7">
      <c r="D276" s="93"/>
      <c r="E276" s="94"/>
      <c r="F276" s="95"/>
      <c r="G276" s="96"/>
    </row>
    <row r="277" ht="14.25" customHeight="1" spans="4:7">
      <c r="D277" s="93"/>
      <c r="E277" s="94"/>
      <c r="F277" s="95"/>
      <c r="G277" s="96"/>
    </row>
    <row r="278" ht="14.25" customHeight="1" spans="4:7">
      <c r="D278" s="93"/>
      <c r="E278" s="94"/>
      <c r="F278" s="95"/>
      <c r="G278" s="96"/>
    </row>
    <row r="279" ht="14.25" customHeight="1" spans="4:7">
      <c r="D279" s="93"/>
      <c r="E279" s="94"/>
      <c r="F279" s="95"/>
      <c r="G279" s="96"/>
    </row>
    <row r="280" ht="14.25" customHeight="1" spans="4:7">
      <c r="D280" s="93"/>
      <c r="E280" s="94"/>
      <c r="F280" s="95"/>
      <c r="G280" s="96"/>
    </row>
    <row r="281" ht="14.25" customHeight="1" spans="4:7">
      <c r="D281" s="93"/>
      <c r="E281" s="94"/>
      <c r="F281" s="95"/>
      <c r="G281" s="96"/>
    </row>
    <row r="282" ht="14.25" customHeight="1" spans="4:7">
      <c r="D282" s="93"/>
      <c r="E282" s="94"/>
      <c r="F282" s="95"/>
      <c r="G282" s="96"/>
    </row>
    <row r="283" ht="14.25" customHeight="1" spans="4:7">
      <c r="D283" s="93"/>
      <c r="E283" s="94"/>
      <c r="F283" s="95"/>
      <c r="G283" s="96"/>
    </row>
    <row r="284" ht="14.25" customHeight="1" spans="4:7">
      <c r="D284" s="93"/>
      <c r="E284" s="94"/>
      <c r="F284" s="95"/>
      <c r="G284" s="96"/>
    </row>
    <row r="285" ht="14.25" customHeight="1" spans="4:7">
      <c r="D285" s="93"/>
      <c r="E285" s="94"/>
      <c r="F285" s="95"/>
      <c r="G285" s="96"/>
    </row>
    <row r="286" ht="14.25" customHeight="1" spans="4:7">
      <c r="D286" s="93"/>
      <c r="E286" s="94"/>
      <c r="F286" s="95"/>
      <c r="G286" s="96"/>
    </row>
    <row r="287" ht="14.25" customHeight="1" spans="4:7">
      <c r="D287" s="93"/>
      <c r="E287" s="94"/>
      <c r="F287" s="95"/>
      <c r="G287" s="96"/>
    </row>
    <row r="288" ht="14.25" customHeight="1" spans="4:7">
      <c r="D288" s="93"/>
      <c r="E288" s="94"/>
      <c r="F288" s="95"/>
      <c r="G288" s="96"/>
    </row>
    <row r="289" ht="14.25" customHeight="1" spans="4:7">
      <c r="D289" s="93"/>
      <c r="E289" s="94"/>
      <c r="F289" s="95"/>
      <c r="G289" s="96"/>
    </row>
    <row r="290" ht="14.25" customHeight="1" spans="4:7">
      <c r="D290" s="93"/>
      <c r="E290" s="94"/>
      <c r="F290" s="95"/>
      <c r="G290" s="96"/>
    </row>
    <row r="291" ht="14.25" customHeight="1" spans="4:7">
      <c r="D291" s="93"/>
      <c r="E291" s="94"/>
      <c r="F291" s="95"/>
      <c r="G291" s="96"/>
    </row>
    <row r="292" ht="14.25" customHeight="1" spans="4:7">
      <c r="D292" s="93"/>
      <c r="E292" s="94"/>
      <c r="F292" s="95"/>
      <c r="G292" s="96"/>
    </row>
    <row r="293" ht="14.25" customHeight="1" spans="4:7">
      <c r="D293" s="93"/>
      <c r="E293" s="94"/>
      <c r="F293" s="95"/>
      <c r="G293" s="96"/>
    </row>
    <row r="294" ht="14.25" customHeight="1" spans="4:7">
      <c r="D294" s="93"/>
      <c r="E294" s="94"/>
      <c r="F294" s="95"/>
      <c r="G294" s="96"/>
    </row>
    <row r="295" ht="14.25" customHeight="1" spans="4:7">
      <c r="D295" s="93"/>
      <c r="E295" s="94"/>
      <c r="F295" s="95"/>
      <c r="G295" s="96"/>
    </row>
    <row r="296" ht="14.25" customHeight="1" spans="4:7">
      <c r="D296" s="93"/>
      <c r="E296" s="94"/>
      <c r="F296" s="95"/>
      <c r="G296" s="96"/>
    </row>
    <row r="297" ht="14.25" customHeight="1" spans="4:7">
      <c r="D297" s="93"/>
      <c r="E297" s="94"/>
      <c r="F297" s="95"/>
      <c r="G297" s="96"/>
    </row>
    <row r="298" ht="14.25" customHeight="1" spans="4:7">
      <c r="D298" s="93"/>
      <c r="E298" s="94"/>
      <c r="F298" s="95"/>
      <c r="G298" s="96"/>
    </row>
    <row r="299" ht="14.25" customHeight="1" spans="4:7">
      <c r="D299" s="93"/>
      <c r="E299" s="94"/>
      <c r="F299" s="95"/>
      <c r="G299" s="96"/>
    </row>
    <row r="300" ht="14.25" customHeight="1" spans="4:7">
      <c r="D300" s="93"/>
      <c r="E300" s="94"/>
      <c r="F300" s="95"/>
      <c r="G300" s="96"/>
    </row>
    <row r="301" ht="14.25" customHeight="1" spans="4:7">
      <c r="D301" s="93"/>
      <c r="E301" s="94"/>
      <c r="F301" s="95"/>
      <c r="G301" s="96"/>
    </row>
    <row r="302" ht="14.25" customHeight="1" spans="4:7">
      <c r="D302" s="93"/>
      <c r="E302" s="94"/>
      <c r="F302" s="95"/>
      <c r="G302" s="96"/>
    </row>
    <row r="303" ht="14.25" customHeight="1" spans="4:7">
      <c r="D303" s="93"/>
      <c r="E303" s="94"/>
      <c r="F303" s="95"/>
      <c r="G303" s="96"/>
    </row>
    <row r="304" ht="14.25" customHeight="1" spans="4:7">
      <c r="D304" s="93"/>
      <c r="E304" s="94"/>
      <c r="F304" s="95"/>
      <c r="G304" s="96"/>
    </row>
    <row r="305" ht="14.25" customHeight="1" spans="4:7">
      <c r="D305" s="93"/>
      <c r="E305" s="94"/>
      <c r="F305" s="95"/>
      <c r="G305" s="96"/>
    </row>
    <row r="306" ht="14.25" customHeight="1" spans="4:7">
      <c r="D306" s="93"/>
      <c r="E306" s="94"/>
      <c r="F306" s="95"/>
      <c r="G306" s="96"/>
    </row>
    <row r="307" ht="14.25" customHeight="1" spans="4:7">
      <c r="D307" s="93"/>
      <c r="E307" s="94"/>
      <c r="F307" s="95"/>
      <c r="G307" s="96"/>
    </row>
    <row r="308" ht="14.25" customHeight="1" spans="4:7">
      <c r="D308" s="93"/>
      <c r="E308" s="94"/>
      <c r="F308" s="95"/>
      <c r="G308" s="96"/>
    </row>
    <row r="309" ht="14.25" customHeight="1" spans="4:7">
      <c r="D309" s="93"/>
      <c r="E309" s="94"/>
      <c r="F309" s="95"/>
      <c r="G309" s="96"/>
    </row>
    <row r="310" ht="14.25" customHeight="1" spans="4:7">
      <c r="D310" s="93"/>
      <c r="E310" s="94"/>
      <c r="F310" s="95"/>
      <c r="G310" s="96"/>
    </row>
    <row r="311" ht="14.25" customHeight="1" spans="4:7">
      <c r="D311" s="93"/>
      <c r="E311" s="94"/>
      <c r="F311" s="95"/>
      <c r="G311" s="96"/>
    </row>
    <row r="312" ht="14.25" customHeight="1" spans="4:7">
      <c r="D312" s="93"/>
      <c r="E312" s="94"/>
      <c r="F312" s="95"/>
      <c r="G312" s="96"/>
    </row>
    <row r="313" ht="14.25" customHeight="1" spans="4:7">
      <c r="D313" s="93"/>
      <c r="E313" s="94"/>
      <c r="F313" s="95"/>
      <c r="G313" s="96"/>
    </row>
    <row r="314" ht="14.25" customHeight="1" spans="4:7">
      <c r="D314" s="93"/>
      <c r="E314" s="94"/>
      <c r="F314" s="95"/>
      <c r="G314" s="96"/>
    </row>
    <row r="315" ht="14.25" customHeight="1" spans="4:7">
      <c r="D315" s="93"/>
      <c r="E315" s="94"/>
      <c r="F315" s="95"/>
      <c r="G315" s="96"/>
    </row>
    <row r="316" ht="14.25" customHeight="1" spans="4:7">
      <c r="D316" s="93"/>
      <c r="E316" s="94"/>
      <c r="F316" s="95"/>
      <c r="G316" s="96"/>
    </row>
    <row r="317" ht="14.25" customHeight="1" spans="4:7">
      <c r="D317" s="93"/>
      <c r="E317" s="94"/>
      <c r="F317" s="95"/>
      <c r="G317" s="96"/>
    </row>
    <row r="318" ht="14.25" customHeight="1" spans="4:7">
      <c r="D318" s="93"/>
      <c r="E318" s="94"/>
      <c r="F318" s="95"/>
      <c r="G318" s="96"/>
    </row>
    <row r="319" ht="14.25" customHeight="1" spans="4:7">
      <c r="D319" s="93"/>
      <c r="E319" s="94"/>
      <c r="F319" s="95"/>
      <c r="G319" s="96"/>
    </row>
    <row r="320" ht="14.25" customHeight="1" spans="4:7">
      <c r="D320" s="93"/>
      <c r="E320" s="94"/>
      <c r="F320" s="95"/>
      <c r="G320" s="96"/>
    </row>
    <row r="321" ht="14.25" customHeight="1" spans="4:7">
      <c r="D321" s="93"/>
      <c r="E321" s="94"/>
      <c r="F321" s="95"/>
      <c r="G321" s="96"/>
    </row>
    <row r="322" ht="14.25" customHeight="1" spans="4:7">
      <c r="D322" s="93"/>
      <c r="E322" s="94"/>
      <c r="F322" s="95"/>
      <c r="G322" s="96"/>
    </row>
    <row r="323" ht="14.25" customHeight="1" spans="4:7">
      <c r="D323" s="93"/>
      <c r="E323" s="94"/>
      <c r="F323" s="95"/>
      <c r="G323" s="96"/>
    </row>
    <row r="324" ht="14.25" customHeight="1" spans="4:7">
      <c r="D324" s="93"/>
      <c r="E324" s="94"/>
      <c r="F324" s="95"/>
      <c r="G324" s="96"/>
    </row>
    <row r="325" ht="14.25" customHeight="1" spans="4:7">
      <c r="D325" s="93"/>
      <c r="E325" s="94"/>
      <c r="F325" s="95"/>
      <c r="G325" s="96"/>
    </row>
    <row r="326" ht="14.25" customHeight="1" spans="4:7">
      <c r="D326" s="93"/>
      <c r="E326" s="94"/>
      <c r="F326" s="95"/>
      <c r="G326" s="96"/>
    </row>
    <row r="327" ht="14.25" customHeight="1" spans="4:7">
      <c r="D327" s="93"/>
      <c r="E327" s="94"/>
      <c r="F327" s="95"/>
      <c r="G327" s="96"/>
    </row>
    <row r="328" ht="14.25" customHeight="1" spans="4:7">
      <c r="D328" s="93"/>
      <c r="E328" s="94"/>
      <c r="F328" s="95"/>
      <c r="G328" s="96"/>
    </row>
    <row r="329" ht="14.25" customHeight="1" spans="4:7">
      <c r="D329" s="93"/>
      <c r="E329" s="94"/>
      <c r="F329" s="95"/>
      <c r="G329" s="96"/>
    </row>
    <row r="330" ht="14.25" customHeight="1" spans="4:7">
      <c r="D330" s="93"/>
      <c r="E330" s="94"/>
      <c r="F330" s="95"/>
      <c r="G330" s="96"/>
    </row>
    <row r="331" ht="14.25" customHeight="1" spans="4:7">
      <c r="D331" s="93"/>
      <c r="E331" s="94"/>
      <c r="F331" s="95"/>
      <c r="G331" s="96"/>
    </row>
    <row r="332" ht="14.25" customHeight="1" spans="4:7">
      <c r="D332" s="93"/>
      <c r="E332" s="94"/>
      <c r="F332" s="95"/>
      <c r="G332" s="96"/>
    </row>
    <row r="333" ht="14.25" customHeight="1" spans="4:7">
      <c r="D333" s="93"/>
      <c r="E333" s="94"/>
      <c r="F333" s="95"/>
      <c r="G333" s="96"/>
    </row>
    <row r="334" ht="14.25" customHeight="1" spans="4:7">
      <c r="D334" s="93"/>
      <c r="E334" s="94"/>
      <c r="F334" s="95"/>
      <c r="G334" s="96"/>
    </row>
    <row r="335" ht="14.25" customHeight="1" spans="4:7">
      <c r="D335" s="93"/>
      <c r="E335" s="94"/>
      <c r="F335" s="95"/>
      <c r="G335" s="96"/>
    </row>
    <row r="336" ht="14.25" customHeight="1" spans="4:7">
      <c r="D336" s="93"/>
      <c r="E336" s="94"/>
      <c r="F336" s="95"/>
      <c r="G336" s="96"/>
    </row>
    <row r="337" ht="14.25" customHeight="1" spans="4:7">
      <c r="D337" s="93"/>
      <c r="E337" s="94"/>
      <c r="F337" s="95"/>
      <c r="G337" s="96"/>
    </row>
    <row r="338" ht="14.25" customHeight="1" spans="4:7">
      <c r="D338" s="93"/>
      <c r="E338" s="94"/>
      <c r="F338" s="95"/>
      <c r="G338" s="96"/>
    </row>
    <row r="339" ht="14.25" customHeight="1" spans="4:7">
      <c r="D339" s="93"/>
      <c r="E339" s="94"/>
      <c r="F339" s="95"/>
      <c r="G339" s="96"/>
    </row>
    <row r="340" ht="14.25" customHeight="1" spans="4:7">
      <c r="D340" s="93"/>
      <c r="E340" s="94"/>
      <c r="F340" s="95"/>
      <c r="G340" s="96"/>
    </row>
    <row r="341" ht="14.25" customHeight="1" spans="4:7">
      <c r="D341" s="93"/>
      <c r="E341" s="94"/>
      <c r="F341" s="95"/>
      <c r="G341" s="96"/>
    </row>
    <row r="342" ht="14.25" customHeight="1" spans="4:7">
      <c r="D342" s="93"/>
      <c r="E342" s="94"/>
      <c r="F342" s="95"/>
      <c r="G342" s="96"/>
    </row>
    <row r="343" ht="14.25" customHeight="1" spans="4:7">
      <c r="D343" s="93"/>
      <c r="E343" s="94"/>
      <c r="F343" s="95"/>
      <c r="G343" s="96"/>
    </row>
    <row r="344" ht="14.25" customHeight="1" spans="4:7">
      <c r="D344" s="93"/>
      <c r="E344" s="94"/>
      <c r="F344" s="95"/>
      <c r="G344" s="96"/>
    </row>
    <row r="345" ht="14.25" customHeight="1" spans="4:7">
      <c r="D345" s="93"/>
      <c r="E345" s="94"/>
      <c r="F345" s="95"/>
      <c r="G345" s="96"/>
    </row>
    <row r="346" ht="14.25" customHeight="1" spans="4:7">
      <c r="D346" s="93"/>
      <c r="E346" s="94"/>
      <c r="F346" s="95"/>
      <c r="G346" s="96"/>
    </row>
    <row r="347" ht="14.25" customHeight="1" spans="4:7">
      <c r="D347" s="93"/>
      <c r="E347" s="94"/>
      <c r="F347" s="95"/>
      <c r="G347" s="96"/>
    </row>
    <row r="348" ht="14.25" customHeight="1" spans="4:7">
      <c r="D348" s="93"/>
      <c r="E348" s="94"/>
      <c r="F348" s="95"/>
      <c r="G348" s="96"/>
    </row>
    <row r="349" ht="14.25" customHeight="1" spans="4:7">
      <c r="D349" s="93"/>
      <c r="E349" s="94"/>
      <c r="F349" s="95"/>
      <c r="G349" s="96"/>
    </row>
    <row r="350" ht="14.25" customHeight="1" spans="4:7">
      <c r="D350" s="93"/>
      <c r="E350" s="94"/>
      <c r="F350" s="95"/>
      <c r="G350" s="96"/>
    </row>
    <row r="351" ht="14.25" customHeight="1" spans="4:7">
      <c r="D351" s="93"/>
      <c r="E351" s="94"/>
      <c r="F351" s="95"/>
      <c r="G351" s="96"/>
    </row>
    <row r="352" ht="14.25" customHeight="1" spans="4:7">
      <c r="D352" s="93"/>
      <c r="E352" s="94"/>
      <c r="F352" s="95"/>
      <c r="G352" s="96"/>
    </row>
    <row r="353" ht="14.25" customHeight="1" spans="4:7">
      <c r="D353" s="93"/>
      <c r="E353" s="94"/>
      <c r="F353" s="95"/>
      <c r="G353" s="96"/>
    </row>
    <row r="354" ht="14.25" customHeight="1" spans="4:7">
      <c r="D354" s="93"/>
      <c r="E354" s="94"/>
      <c r="F354" s="95"/>
      <c r="G354" s="96"/>
    </row>
    <row r="355" ht="14.25" customHeight="1" spans="4:7">
      <c r="D355" s="93"/>
      <c r="E355" s="94"/>
      <c r="F355" s="95"/>
      <c r="G355" s="96"/>
    </row>
    <row r="356" ht="14.25" customHeight="1" spans="4:7">
      <c r="D356" s="93"/>
      <c r="E356" s="94"/>
      <c r="F356" s="95"/>
      <c r="G356" s="96"/>
    </row>
    <row r="357" ht="14.25" customHeight="1" spans="4:7">
      <c r="D357" s="93"/>
      <c r="E357" s="94"/>
      <c r="F357" s="95"/>
      <c r="G357" s="96"/>
    </row>
    <row r="358" ht="14.25" customHeight="1" spans="4:7">
      <c r="D358" s="93"/>
      <c r="E358" s="94"/>
      <c r="F358" s="95"/>
      <c r="G358" s="96"/>
    </row>
    <row r="359" ht="14.25" customHeight="1" spans="4:7">
      <c r="D359" s="93"/>
      <c r="E359" s="94"/>
      <c r="F359" s="95"/>
      <c r="G359" s="96"/>
    </row>
    <row r="360" ht="14.25" customHeight="1" spans="4:7">
      <c r="D360" s="93"/>
      <c r="E360" s="94"/>
      <c r="F360" s="95"/>
      <c r="G360" s="96"/>
    </row>
    <row r="361" ht="14.25" customHeight="1" spans="4:7">
      <c r="D361" s="93"/>
      <c r="E361" s="94"/>
      <c r="F361" s="95"/>
      <c r="G361" s="96"/>
    </row>
    <row r="362" ht="14.25" customHeight="1" spans="4:7">
      <c r="D362" s="93"/>
      <c r="E362" s="94"/>
      <c r="F362" s="95"/>
      <c r="G362" s="96"/>
    </row>
    <row r="363" ht="14.25" customHeight="1" spans="4:7">
      <c r="D363" s="93"/>
      <c r="E363" s="94"/>
      <c r="F363" s="95"/>
      <c r="G363" s="96"/>
    </row>
    <row r="364" ht="14.25" customHeight="1" spans="4:7">
      <c r="D364" s="93"/>
      <c r="E364" s="94"/>
      <c r="F364" s="95"/>
      <c r="G364" s="96"/>
    </row>
    <row r="365" ht="14.25" customHeight="1" spans="4:7">
      <c r="D365" s="93"/>
      <c r="E365" s="94"/>
      <c r="F365" s="95"/>
      <c r="G365" s="96"/>
    </row>
    <row r="366" ht="14.25" customHeight="1" spans="4:7">
      <c r="D366" s="93"/>
      <c r="E366" s="94"/>
      <c r="F366" s="95"/>
      <c r="G366" s="96"/>
    </row>
    <row r="367" ht="14.25" customHeight="1" spans="4:7">
      <c r="D367" s="93"/>
      <c r="E367" s="94"/>
      <c r="F367" s="95"/>
      <c r="G367" s="96"/>
    </row>
    <row r="368" ht="14.25" customHeight="1" spans="4:7">
      <c r="D368" s="93"/>
      <c r="E368" s="94"/>
      <c r="F368" s="95"/>
      <c r="G368" s="96"/>
    </row>
    <row r="369" ht="14.25" customHeight="1" spans="4:7">
      <c r="D369" s="93"/>
      <c r="E369" s="94"/>
      <c r="F369" s="95"/>
      <c r="G369" s="96"/>
    </row>
    <row r="370" ht="14.25" customHeight="1" spans="4:7">
      <c r="D370" s="93"/>
      <c r="E370" s="94"/>
      <c r="F370" s="95"/>
      <c r="G370" s="96"/>
    </row>
    <row r="371" ht="14.25" customHeight="1" spans="4:7">
      <c r="D371" s="93"/>
      <c r="E371" s="94"/>
      <c r="F371" s="95"/>
      <c r="G371" s="96"/>
    </row>
    <row r="372" ht="14.25" customHeight="1" spans="4:7">
      <c r="D372" s="93"/>
      <c r="E372" s="94"/>
      <c r="F372" s="95"/>
      <c r="G372" s="96"/>
    </row>
    <row r="373" ht="14.25" customHeight="1" spans="4:7">
      <c r="D373" s="93"/>
      <c r="E373" s="94"/>
      <c r="F373" s="95"/>
      <c r="G373" s="96"/>
    </row>
    <row r="374" ht="14.25" customHeight="1" spans="4:7">
      <c r="D374" s="93"/>
      <c r="E374" s="94"/>
      <c r="F374" s="95"/>
      <c r="G374" s="96"/>
    </row>
    <row r="375" ht="14.25" customHeight="1" spans="4:7">
      <c r="D375" s="93"/>
      <c r="E375" s="94"/>
      <c r="F375" s="95"/>
      <c r="G375" s="96"/>
    </row>
    <row r="376" ht="14.25" customHeight="1" spans="4:7">
      <c r="D376" s="93"/>
      <c r="E376" s="94"/>
      <c r="F376" s="95"/>
      <c r="G376" s="96"/>
    </row>
    <row r="377" ht="14.25" customHeight="1" spans="4:7">
      <c r="D377" s="93"/>
      <c r="E377" s="94"/>
      <c r="F377" s="95"/>
      <c r="G377" s="96"/>
    </row>
    <row r="378" ht="14.25" customHeight="1" spans="4:7">
      <c r="D378" s="93"/>
      <c r="E378" s="94"/>
      <c r="F378" s="95"/>
      <c r="G378" s="96"/>
    </row>
    <row r="379" ht="14.25" customHeight="1" spans="4:7">
      <c r="D379" s="93"/>
      <c r="E379" s="94"/>
      <c r="F379" s="95"/>
      <c r="G379" s="96"/>
    </row>
    <row r="380" ht="14.25" customHeight="1" spans="4:7">
      <c r="D380" s="93"/>
      <c r="E380" s="94"/>
      <c r="F380" s="95"/>
      <c r="G380" s="96"/>
    </row>
    <row r="381" ht="14.25" customHeight="1" spans="4:7">
      <c r="D381" s="93"/>
      <c r="E381" s="94"/>
      <c r="F381" s="95"/>
      <c r="G381" s="96"/>
    </row>
    <row r="382" ht="14.25" customHeight="1" spans="4:7">
      <c r="D382" s="93"/>
      <c r="E382" s="94"/>
      <c r="F382" s="95"/>
      <c r="G382" s="96"/>
    </row>
    <row r="383" ht="14.25" customHeight="1" spans="4:7">
      <c r="D383" s="93"/>
      <c r="E383" s="94"/>
      <c r="F383" s="95"/>
      <c r="G383" s="96"/>
    </row>
    <row r="384" ht="14.25" customHeight="1" spans="4:7">
      <c r="D384" s="93"/>
      <c r="E384" s="94"/>
      <c r="F384" s="95"/>
      <c r="G384" s="96"/>
    </row>
    <row r="385" ht="14.25" customHeight="1" spans="4:7">
      <c r="D385" s="93"/>
      <c r="E385" s="94"/>
      <c r="F385" s="95"/>
      <c r="G385" s="96"/>
    </row>
    <row r="386" ht="14.25" customHeight="1" spans="4:7">
      <c r="D386" s="93"/>
      <c r="E386" s="94"/>
      <c r="F386" s="95"/>
      <c r="G386" s="96"/>
    </row>
    <row r="387" ht="14.25" customHeight="1" spans="4:7">
      <c r="D387" s="93"/>
      <c r="E387" s="94"/>
      <c r="F387" s="95"/>
      <c r="G387" s="96"/>
    </row>
    <row r="388" ht="14.25" customHeight="1" spans="4:7">
      <c r="D388" s="93"/>
      <c r="E388" s="94"/>
      <c r="F388" s="95"/>
      <c r="G388" s="96"/>
    </row>
    <row r="389" ht="14.25" customHeight="1" spans="4:7">
      <c r="D389" s="93"/>
      <c r="E389" s="94"/>
      <c r="F389" s="95"/>
      <c r="G389" s="96"/>
    </row>
    <row r="390" ht="14.25" customHeight="1" spans="4:7">
      <c r="D390" s="93"/>
      <c r="E390" s="94"/>
      <c r="F390" s="95"/>
      <c r="G390" s="96"/>
    </row>
    <row r="391" ht="14.25" customHeight="1" spans="4:7">
      <c r="D391" s="93"/>
      <c r="E391" s="94"/>
      <c r="F391" s="95"/>
      <c r="G391" s="96"/>
    </row>
    <row r="392" ht="14.25" customHeight="1" spans="4:7">
      <c r="D392" s="93"/>
      <c r="E392" s="94"/>
      <c r="F392" s="95"/>
      <c r="G392" s="96"/>
    </row>
    <row r="393" ht="14.25" customHeight="1" spans="4:7">
      <c r="D393" s="93"/>
      <c r="E393" s="94"/>
      <c r="F393" s="95"/>
      <c r="G393" s="96"/>
    </row>
    <row r="394" ht="14.25" customHeight="1" spans="4:7">
      <c r="D394" s="93"/>
      <c r="E394" s="94"/>
      <c r="F394" s="95"/>
      <c r="G394" s="96"/>
    </row>
    <row r="395" ht="14.25" customHeight="1" spans="4:7">
      <c r="D395" s="93"/>
      <c r="E395" s="94"/>
      <c r="F395" s="95"/>
      <c r="G395" s="96"/>
    </row>
    <row r="396" ht="14.25" customHeight="1" spans="4:7">
      <c r="D396" s="93"/>
      <c r="E396" s="94"/>
      <c r="F396" s="95"/>
      <c r="G396" s="96"/>
    </row>
    <row r="397" ht="14.25" customHeight="1" spans="4:7">
      <c r="D397" s="93"/>
      <c r="E397" s="94"/>
      <c r="F397" s="95"/>
      <c r="G397" s="96"/>
    </row>
    <row r="398" ht="14.25" customHeight="1" spans="4:7">
      <c r="D398" s="93"/>
      <c r="E398" s="94"/>
      <c r="F398" s="95"/>
      <c r="G398" s="96"/>
    </row>
    <row r="399" ht="14.25" customHeight="1" spans="4:7">
      <c r="D399" s="93"/>
      <c r="E399" s="94"/>
      <c r="F399" s="95"/>
      <c r="G399" s="96"/>
    </row>
    <row r="400" ht="14.25" customHeight="1" spans="4:7">
      <c r="D400" s="93"/>
      <c r="E400" s="94"/>
      <c r="F400" s="95"/>
      <c r="G400" s="96"/>
    </row>
    <row r="401" ht="14.25" customHeight="1" spans="4:7">
      <c r="D401" s="93"/>
      <c r="E401" s="94"/>
      <c r="F401" s="95"/>
      <c r="G401" s="96"/>
    </row>
    <row r="402" ht="14.25" customHeight="1" spans="4:7">
      <c r="D402" s="93"/>
      <c r="E402" s="94"/>
      <c r="F402" s="95"/>
      <c r="G402" s="96"/>
    </row>
    <row r="403" ht="14.25" customHeight="1" spans="4:7">
      <c r="D403" s="93"/>
      <c r="E403" s="94"/>
      <c r="F403" s="95"/>
      <c r="G403" s="96"/>
    </row>
    <row r="404" ht="14.25" customHeight="1" spans="4:7">
      <c r="D404" s="93"/>
      <c r="E404" s="94"/>
      <c r="F404" s="95"/>
      <c r="G404" s="96"/>
    </row>
    <row r="405" ht="14.25" customHeight="1" spans="4:7">
      <c r="D405" s="93"/>
      <c r="E405" s="94"/>
      <c r="F405" s="95"/>
      <c r="G405" s="96"/>
    </row>
    <row r="406" ht="14.25" customHeight="1" spans="4:7">
      <c r="D406" s="93"/>
      <c r="E406" s="94"/>
      <c r="F406" s="95"/>
      <c r="G406" s="96"/>
    </row>
    <row r="407" ht="14.25" customHeight="1" spans="4:7">
      <c r="D407" s="93"/>
      <c r="E407" s="94"/>
      <c r="F407" s="95"/>
      <c r="G407" s="96"/>
    </row>
    <row r="408" ht="14.25" customHeight="1" spans="4:7">
      <c r="D408" s="93"/>
      <c r="E408" s="94"/>
      <c r="F408" s="95"/>
      <c r="G408" s="96"/>
    </row>
    <row r="409" ht="14.25" customHeight="1" spans="4:7">
      <c r="D409" s="93"/>
      <c r="E409" s="94"/>
      <c r="F409" s="95"/>
      <c r="G409" s="96"/>
    </row>
    <row r="410" ht="14.25" customHeight="1" spans="4:7">
      <c r="D410" s="93"/>
      <c r="E410" s="94"/>
      <c r="F410" s="95"/>
      <c r="G410" s="96"/>
    </row>
    <row r="411" ht="14.25" customHeight="1" spans="4:7">
      <c r="D411" s="93"/>
      <c r="E411" s="94"/>
      <c r="F411" s="95"/>
      <c r="G411" s="96"/>
    </row>
    <row r="412" ht="14.25" customHeight="1" spans="4:7">
      <c r="D412" s="93"/>
      <c r="E412" s="94"/>
      <c r="F412" s="95"/>
      <c r="G412" s="96"/>
    </row>
    <row r="413" ht="14.25" customHeight="1" spans="4:7">
      <c r="D413" s="93"/>
      <c r="E413" s="94"/>
      <c r="F413" s="95"/>
      <c r="G413" s="96"/>
    </row>
    <row r="414" ht="14.25" customHeight="1" spans="4:7">
      <c r="D414" s="93"/>
      <c r="E414" s="94"/>
      <c r="F414" s="95"/>
      <c r="G414" s="96"/>
    </row>
    <row r="415" ht="14.25" customHeight="1" spans="4:7">
      <c r="D415" s="93"/>
      <c r="E415" s="94"/>
      <c r="F415" s="95"/>
      <c r="G415" s="96"/>
    </row>
    <row r="416" ht="14.25" customHeight="1" spans="4:7">
      <c r="D416" s="93"/>
      <c r="E416" s="94"/>
      <c r="F416" s="95"/>
      <c r="G416" s="96"/>
    </row>
    <row r="417" ht="14.25" customHeight="1" spans="4:7">
      <c r="D417" s="93"/>
      <c r="E417" s="94"/>
      <c r="F417" s="95"/>
      <c r="G417" s="96"/>
    </row>
    <row r="418" ht="14.25" customHeight="1" spans="4:7">
      <c r="D418" s="93"/>
      <c r="E418" s="94"/>
      <c r="F418" s="95"/>
      <c r="G418" s="96"/>
    </row>
    <row r="419" ht="14.25" customHeight="1" spans="4:7">
      <c r="D419" s="93"/>
      <c r="E419" s="94"/>
      <c r="F419" s="95"/>
      <c r="G419" s="96"/>
    </row>
    <row r="420" ht="14.25" customHeight="1" spans="4:7">
      <c r="D420" s="93"/>
      <c r="E420" s="94"/>
      <c r="F420" s="95"/>
      <c r="G420" s="96"/>
    </row>
    <row r="421" ht="14.25" customHeight="1" spans="4:7">
      <c r="D421" s="93"/>
      <c r="E421" s="94"/>
      <c r="F421" s="95"/>
      <c r="G421" s="96"/>
    </row>
    <row r="422" ht="14.25" customHeight="1" spans="4:7">
      <c r="D422" s="93"/>
      <c r="E422" s="94"/>
      <c r="F422" s="95"/>
      <c r="G422" s="96"/>
    </row>
    <row r="423" ht="14.25" customHeight="1" spans="4:7">
      <c r="D423" s="93"/>
      <c r="E423" s="94"/>
      <c r="F423" s="95"/>
      <c r="G423" s="96"/>
    </row>
    <row r="424" ht="14.25" customHeight="1" spans="4:7">
      <c r="D424" s="93"/>
      <c r="E424" s="94"/>
      <c r="F424" s="95"/>
      <c r="G424" s="96"/>
    </row>
    <row r="425" ht="14.25" customHeight="1" spans="4:7">
      <c r="D425" s="93"/>
      <c r="E425" s="94"/>
      <c r="F425" s="95"/>
      <c r="G425" s="96"/>
    </row>
    <row r="426" ht="14.25" customHeight="1" spans="4:7">
      <c r="D426" s="93"/>
      <c r="E426" s="94"/>
      <c r="F426" s="95"/>
      <c r="G426" s="96"/>
    </row>
    <row r="427" ht="14.25" customHeight="1" spans="4:7">
      <c r="D427" s="93"/>
      <c r="E427" s="94"/>
      <c r="F427" s="95"/>
      <c r="G427" s="96"/>
    </row>
    <row r="428" ht="14.25" customHeight="1" spans="4:7">
      <c r="D428" s="93"/>
      <c r="E428" s="94"/>
      <c r="F428" s="95"/>
      <c r="G428" s="96"/>
    </row>
    <row r="429" ht="14.25" customHeight="1" spans="4:7">
      <c r="D429" s="93"/>
      <c r="E429" s="94"/>
      <c r="F429" s="95"/>
      <c r="G429" s="96"/>
    </row>
    <row r="430" ht="14.25" customHeight="1" spans="4:7">
      <c r="D430" s="93"/>
      <c r="E430" s="94"/>
      <c r="F430" s="95"/>
      <c r="G430" s="96"/>
    </row>
    <row r="431" ht="14.25" customHeight="1" spans="4:7">
      <c r="D431" s="93"/>
      <c r="E431" s="94"/>
      <c r="F431" s="95"/>
      <c r="G431" s="96"/>
    </row>
    <row r="432" ht="14.25" customHeight="1" spans="4:7">
      <c r="D432" s="93"/>
      <c r="E432" s="94"/>
      <c r="F432" s="95"/>
      <c r="G432" s="96"/>
    </row>
    <row r="433" ht="14.25" customHeight="1" spans="4:7">
      <c r="D433" s="93"/>
      <c r="E433" s="94"/>
      <c r="F433" s="95"/>
      <c r="G433" s="96"/>
    </row>
    <row r="434" ht="14.25" customHeight="1" spans="4:7">
      <c r="D434" s="93"/>
      <c r="E434" s="94"/>
      <c r="F434" s="95"/>
      <c r="G434" s="96"/>
    </row>
    <row r="435" ht="14.25" customHeight="1" spans="4:7">
      <c r="D435" s="93"/>
      <c r="E435" s="94"/>
      <c r="F435" s="95"/>
      <c r="G435" s="96"/>
    </row>
    <row r="436" ht="14.25" customHeight="1" spans="4:7">
      <c r="D436" s="93"/>
      <c r="E436" s="94"/>
      <c r="F436" s="95"/>
      <c r="G436" s="96"/>
    </row>
    <row r="437" ht="14.25" customHeight="1" spans="4:7">
      <c r="D437" s="93"/>
      <c r="E437" s="94"/>
      <c r="F437" s="95"/>
      <c r="G437" s="96"/>
    </row>
    <row r="438" ht="14.25" customHeight="1" spans="4:7">
      <c r="D438" s="93"/>
      <c r="E438" s="94"/>
      <c r="F438" s="95"/>
      <c r="G438" s="96"/>
    </row>
    <row r="439" ht="14.25" customHeight="1" spans="4:7">
      <c r="D439" s="93"/>
      <c r="E439" s="94"/>
      <c r="F439" s="95"/>
      <c r="G439" s="96"/>
    </row>
    <row r="440" ht="14.25" customHeight="1" spans="4:7">
      <c r="D440" s="93"/>
      <c r="E440" s="94"/>
      <c r="F440" s="95"/>
      <c r="G440" s="96"/>
    </row>
    <row r="441" ht="14.25" customHeight="1" spans="4:7">
      <c r="D441" s="93"/>
      <c r="E441" s="94"/>
      <c r="F441" s="95"/>
      <c r="G441" s="96"/>
    </row>
    <row r="442" ht="14.25" customHeight="1" spans="4:7">
      <c r="D442" s="93"/>
      <c r="E442" s="94"/>
      <c r="F442" s="95"/>
      <c r="G442" s="96"/>
    </row>
    <row r="443" ht="14.25" customHeight="1" spans="4:7">
      <c r="D443" s="93"/>
      <c r="E443" s="94"/>
      <c r="F443" s="95"/>
      <c r="G443" s="96"/>
    </row>
    <row r="444" ht="14.25" customHeight="1" spans="4:7">
      <c r="D444" s="93"/>
      <c r="E444" s="94"/>
      <c r="F444" s="95"/>
      <c r="G444" s="96"/>
    </row>
    <row r="445" ht="14.25" customHeight="1" spans="4:7">
      <c r="D445" s="93"/>
      <c r="E445" s="94"/>
      <c r="F445" s="95"/>
      <c r="G445" s="96"/>
    </row>
    <row r="446" ht="14.25" customHeight="1" spans="4:7">
      <c r="D446" s="93"/>
      <c r="E446" s="94"/>
      <c r="F446" s="95"/>
      <c r="G446" s="96"/>
    </row>
    <row r="447" ht="14.25" customHeight="1" spans="4:7">
      <c r="D447" s="93"/>
      <c r="E447" s="94"/>
      <c r="F447" s="95"/>
      <c r="G447" s="96"/>
    </row>
    <row r="448" ht="14.25" customHeight="1" spans="4:7">
      <c r="D448" s="93"/>
      <c r="E448" s="94"/>
      <c r="F448" s="95"/>
      <c r="G448" s="96"/>
    </row>
    <row r="449" ht="14.25" customHeight="1" spans="4:7">
      <c r="D449" s="93"/>
      <c r="E449" s="94"/>
      <c r="F449" s="95"/>
      <c r="G449" s="96"/>
    </row>
    <row r="450" ht="14.25" customHeight="1" spans="4:7">
      <c r="D450" s="93"/>
      <c r="E450" s="94"/>
      <c r="F450" s="95"/>
      <c r="G450" s="96"/>
    </row>
    <row r="451" ht="14.25" customHeight="1" spans="4:7">
      <c r="D451" s="93"/>
      <c r="E451" s="94"/>
      <c r="F451" s="95"/>
      <c r="G451" s="96"/>
    </row>
    <row r="452" ht="14.25" customHeight="1" spans="4:7">
      <c r="D452" s="93"/>
      <c r="E452" s="94"/>
      <c r="F452" s="95"/>
      <c r="G452" s="96"/>
    </row>
    <row r="453" ht="14.25" customHeight="1" spans="4:7">
      <c r="D453" s="93"/>
      <c r="E453" s="94"/>
      <c r="F453" s="95"/>
      <c r="G453" s="96"/>
    </row>
    <row r="454" ht="14.25" customHeight="1" spans="4:7">
      <c r="D454" s="93"/>
      <c r="E454" s="94"/>
      <c r="F454" s="95"/>
      <c r="G454" s="96"/>
    </row>
    <row r="455" ht="14.25" customHeight="1" spans="4:7">
      <c r="D455" s="93"/>
      <c r="E455" s="94"/>
      <c r="F455" s="95"/>
      <c r="G455" s="96"/>
    </row>
    <row r="456" ht="14.25" customHeight="1" spans="4:7">
      <c r="D456" s="93"/>
      <c r="E456" s="94"/>
      <c r="F456" s="95"/>
      <c r="G456" s="96"/>
    </row>
    <row r="457" ht="14.25" customHeight="1" spans="4:7">
      <c r="D457" s="93"/>
      <c r="E457" s="94"/>
      <c r="F457" s="95"/>
      <c r="G457" s="96"/>
    </row>
    <row r="458" ht="14.25" customHeight="1" spans="4:7">
      <c r="D458" s="93"/>
      <c r="E458" s="94"/>
      <c r="F458" s="95"/>
      <c r="G458" s="96"/>
    </row>
    <row r="459" ht="14.25" customHeight="1" spans="4:7">
      <c r="D459" s="93"/>
      <c r="E459" s="94"/>
      <c r="F459" s="95"/>
      <c r="G459" s="96"/>
    </row>
    <row r="460" ht="14.25" customHeight="1" spans="4:7">
      <c r="D460" s="93"/>
      <c r="E460" s="94"/>
      <c r="F460" s="95"/>
      <c r="G460" s="96"/>
    </row>
    <row r="461" ht="14.25" customHeight="1" spans="4:7">
      <c r="D461" s="93"/>
      <c r="E461" s="94"/>
      <c r="F461" s="95"/>
      <c r="G461" s="96"/>
    </row>
    <row r="462" ht="14.25" customHeight="1" spans="4:7">
      <c r="D462" s="93"/>
      <c r="E462" s="94"/>
      <c r="F462" s="95"/>
      <c r="G462" s="96"/>
    </row>
    <row r="463" ht="14.25" customHeight="1" spans="4:7">
      <c r="D463" s="93"/>
      <c r="E463" s="94"/>
      <c r="F463" s="95"/>
      <c r="G463" s="96"/>
    </row>
    <row r="464" ht="14.25" customHeight="1" spans="4:7">
      <c r="D464" s="93"/>
      <c r="E464" s="94"/>
      <c r="F464" s="95"/>
      <c r="G464" s="96"/>
    </row>
    <row r="465" ht="14.25" customHeight="1" spans="4:7">
      <c r="D465" s="93"/>
      <c r="E465" s="94"/>
      <c r="F465" s="95"/>
      <c r="G465" s="96"/>
    </row>
    <row r="466" ht="14.25" customHeight="1" spans="4:7">
      <c r="D466" s="93"/>
      <c r="E466" s="94"/>
      <c r="F466" s="95"/>
      <c r="G466" s="96"/>
    </row>
    <row r="467" ht="14.25" customHeight="1" spans="4:7">
      <c r="D467" s="93"/>
      <c r="E467" s="94"/>
      <c r="F467" s="95"/>
      <c r="G467" s="96"/>
    </row>
    <row r="468" ht="14.25" customHeight="1" spans="4:7">
      <c r="D468" s="93"/>
      <c r="E468" s="94"/>
      <c r="F468" s="95"/>
      <c r="G468" s="96"/>
    </row>
    <row r="469" ht="14.25" customHeight="1" spans="4:7">
      <c r="D469" s="93"/>
      <c r="E469" s="94"/>
      <c r="F469" s="95"/>
      <c r="G469" s="96"/>
    </row>
    <row r="470" ht="14.25" customHeight="1" spans="4:7">
      <c r="D470" s="93"/>
      <c r="E470" s="94"/>
      <c r="F470" s="95"/>
      <c r="G470" s="96"/>
    </row>
    <row r="471" ht="14.25" customHeight="1" spans="4:7">
      <c r="D471" s="93"/>
      <c r="E471" s="94"/>
      <c r="F471" s="95"/>
      <c r="G471" s="96"/>
    </row>
    <row r="472" ht="14.25" customHeight="1" spans="4:7">
      <c r="D472" s="93"/>
      <c r="E472" s="94"/>
      <c r="F472" s="95"/>
      <c r="G472" s="96"/>
    </row>
    <row r="473" ht="14.25" customHeight="1" spans="4:7">
      <c r="D473" s="93"/>
      <c r="E473" s="94"/>
      <c r="F473" s="95"/>
      <c r="G473" s="96"/>
    </row>
    <row r="474" ht="14.25" customHeight="1" spans="4:7">
      <c r="D474" s="93"/>
      <c r="E474" s="94"/>
      <c r="F474" s="95"/>
      <c r="G474" s="96"/>
    </row>
    <row r="475" ht="14.25" customHeight="1" spans="4:7">
      <c r="D475" s="93"/>
      <c r="E475" s="94"/>
      <c r="F475" s="95"/>
      <c r="G475" s="96"/>
    </row>
    <row r="476" ht="14.25" customHeight="1" spans="4:7">
      <c r="D476" s="93"/>
      <c r="E476" s="94"/>
      <c r="F476" s="95"/>
      <c r="G476" s="96"/>
    </row>
    <row r="477" ht="14.25" customHeight="1" spans="4:7">
      <c r="D477" s="93"/>
      <c r="E477" s="94"/>
      <c r="F477" s="95"/>
      <c r="G477" s="96"/>
    </row>
    <row r="478" ht="14.25" customHeight="1" spans="4:7">
      <c r="D478" s="93"/>
      <c r="E478" s="94"/>
      <c r="F478" s="95"/>
      <c r="G478" s="96"/>
    </row>
    <row r="479" ht="14.25" customHeight="1" spans="4:7">
      <c r="D479" s="93"/>
      <c r="E479" s="94"/>
      <c r="F479" s="95"/>
      <c r="G479" s="96"/>
    </row>
    <row r="480" ht="14.25" customHeight="1" spans="4:7">
      <c r="D480" s="93"/>
      <c r="E480" s="94"/>
      <c r="F480" s="95"/>
      <c r="G480" s="96"/>
    </row>
    <row r="481" ht="14.25" customHeight="1" spans="4:7">
      <c r="D481" s="93"/>
      <c r="E481" s="94"/>
      <c r="F481" s="95"/>
      <c r="G481" s="96"/>
    </row>
    <row r="482" ht="14.25" customHeight="1" spans="4:7">
      <c r="D482" s="93"/>
      <c r="E482" s="94"/>
      <c r="F482" s="95"/>
      <c r="G482" s="96"/>
    </row>
    <row r="483" ht="14.25" customHeight="1" spans="4:7">
      <c r="D483" s="93"/>
      <c r="E483" s="94"/>
      <c r="F483" s="95"/>
      <c r="G483" s="96"/>
    </row>
    <row r="484" ht="14.25" customHeight="1" spans="4:7">
      <c r="D484" s="93"/>
      <c r="E484" s="94"/>
      <c r="F484" s="95"/>
      <c r="G484" s="96"/>
    </row>
    <row r="485" ht="14.25" customHeight="1" spans="4:7">
      <c r="D485" s="93"/>
      <c r="E485" s="94"/>
      <c r="F485" s="95"/>
      <c r="G485" s="96"/>
    </row>
    <row r="486" ht="14.25" customHeight="1" spans="4:7">
      <c r="D486" s="93"/>
      <c r="E486" s="94"/>
      <c r="F486" s="95"/>
      <c r="G486" s="96"/>
    </row>
    <row r="487" ht="14.25" customHeight="1" spans="4:7">
      <c r="D487" s="93"/>
      <c r="E487" s="94"/>
      <c r="F487" s="95"/>
      <c r="G487" s="96"/>
    </row>
    <row r="488" ht="14.25" customHeight="1" spans="4:7">
      <c r="D488" s="93"/>
      <c r="E488" s="94"/>
      <c r="F488" s="95"/>
      <c r="G488" s="96"/>
    </row>
    <row r="489" ht="14.25" customHeight="1" spans="4:7">
      <c r="D489" s="93"/>
      <c r="E489" s="94"/>
      <c r="F489" s="95"/>
      <c r="G489" s="96"/>
    </row>
    <row r="490" ht="14.25" customHeight="1" spans="4:7">
      <c r="D490" s="93"/>
      <c r="E490" s="94"/>
      <c r="F490" s="95"/>
      <c r="G490" s="96"/>
    </row>
    <row r="491" ht="14.25" customHeight="1" spans="4:7">
      <c r="D491" s="93"/>
      <c r="E491" s="94"/>
      <c r="F491" s="95"/>
      <c r="G491" s="96"/>
    </row>
    <row r="492" ht="14.25" customHeight="1" spans="4:7">
      <c r="D492" s="93"/>
      <c r="E492" s="94"/>
      <c r="F492" s="95"/>
      <c r="G492" s="96"/>
    </row>
    <row r="493" ht="14.25" customHeight="1" spans="4:7">
      <c r="D493" s="93"/>
      <c r="E493" s="94"/>
      <c r="F493" s="95"/>
      <c r="G493" s="96"/>
    </row>
    <row r="494" ht="14.25" customHeight="1" spans="4:7">
      <c r="D494" s="93"/>
      <c r="E494" s="94"/>
      <c r="F494" s="95"/>
      <c r="G494" s="96"/>
    </row>
    <row r="495" ht="14.25" customHeight="1" spans="4:7">
      <c r="D495" s="93"/>
      <c r="E495" s="94"/>
      <c r="F495" s="95"/>
      <c r="G495" s="96"/>
    </row>
    <row r="496" ht="14.25" customHeight="1" spans="4:7">
      <c r="D496" s="93"/>
      <c r="E496" s="94"/>
      <c r="F496" s="95"/>
      <c r="G496" s="96"/>
    </row>
    <row r="497" ht="14.25" customHeight="1" spans="4:7">
      <c r="D497" s="93"/>
      <c r="E497" s="94"/>
      <c r="F497" s="95"/>
      <c r="G497" s="96"/>
    </row>
    <row r="498" ht="14.25" customHeight="1" spans="4:7">
      <c r="D498" s="93"/>
      <c r="E498" s="94"/>
      <c r="F498" s="95"/>
      <c r="G498" s="96"/>
    </row>
    <row r="499" ht="14.25" customHeight="1" spans="4:7">
      <c r="D499" s="93"/>
      <c r="E499" s="94"/>
      <c r="F499" s="95"/>
      <c r="G499" s="96"/>
    </row>
    <row r="500" ht="14.25" customHeight="1" spans="4:7">
      <c r="D500" s="93"/>
      <c r="E500" s="94"/>
      <c r="F500" s="95"/>
      <c r="G500" s="96"/>
    </row>
    <row r="501" ht="14.25" customHeight="1" spans="4:7">
      <c r="D501" s="93"/>
      <c r="E501" s="94"/>
      <c r="F501" s="95"/>
      <c r="G501" s="96"/>
    </row>
    <row r="502" ht="14.25" customHeight="1" spans="4:7">
      <c r="D502" s="93"/>
      <c r="E502" s="94"/>
      <c r="F502" s="95"/>
      <c r="G502" s="96"/>
    </row>
    <row r="503" ht="14.25" customHeight="1" spans="4:7">
      <c r="D503" s="93"/>
      <c r="E503" s="94"/>
      <c r="F503" s="95"/>
      <c r="G503" s="96"/>
    </row>
    <row r="504" ht="14.25" customHeight="1" spans="4:7">
      <c r="D504" s="93"/>
      <c r="E504" s="94"/>
      <c r="F504" s="95"/>
      <c r="G504" s="96"/>
    </row>
    <row r="505" ht="14.25" customHeight="1" spans="4:7">
      <c r="D505" s="93"/>
      <c r="E505" s="94"/>
      <c r="F505" s="95"/>
      <c r="G505" s="96"/>
    </row>
    <row r="506" ht="14.25" customHeight="1" spans="4:7">
      <c r="D506" s="93"/>
      <c r="E506" s="94"/>
      <c r="F506" s="95"/>
      <c r="G506" s="96"/>
    </row>
    <row r="507" ht="14.25" customHeight="1" spans="4:7">
      <c r="D507" s="93"/>
      <c r="E507" s="94"/>
      <c r="F507" s="95"/>
      <c r="G507" s="96"/>
    </row>
    <row r="508" ht="14.25" customHeight="1" spans="4:7">
      <c r="D508" s="93"/>
      <c r="E508" s="94"/>
      <c r="F508" s="95"/>
      <c r="G508" s="96"/>
    </row>
    <row r="509" ht="14.25" customHeight="1" spans="4:7">
      <c r="D509" s="93"/>
      <c r="E509" s="94"/>
      <c r="F509" s="95"/>
      <c r="G509" s="96"/>
    </row>
    <row r="510" ht="14.25" customHeight="1" spans="4:7">
      <c r="D510" s="93"/>
      <c r="E510" s="94"/>
      <c r="F510" s="95"/>
      <c r="G510" s="96"/>
    </row>
    <row r="511" ht="14.25" customHeight="1" spans="4:7">
      <c r="D511" s="93"/>
      <c r="E511" s="94"/>
      <c r="F511" s="95"/>
      <c r="G511" s="96"/>
    </row>
    <row r="512" ht="14.25" customHeight="1" spans="4:7">
      <c r="D512" s="93"/>
      <c r="E512" s="94"/>
      <c r="F512" s="95"/>
      <c r="G512" s="96"/>
    </row>
    <row r="513" ht="14.25" customHeight="1" spans="4:7">
      <c r="D513" s="93"/>
      <c r="E513" s="94"/>
      <c r="F513" s="95"/>
      <c r="G513" s="96"/>
    </row>
    <row r="514" ht="14.25" customHeight="1" spans="4:7">
      <c r="D514" s="93"/>
      <c r="E514" s="94"/>
      <c r="F514" s="95"/>
      <c r="G514" s="96"/>
    </row>
    <row r="515" ht="14.25" customHeight="1" spans="4:7">
      <c r="D515" s="93"/>
      <c r="E515" s="94"/>
      <c r="F515" s="95"/>
      <c r="G515" s="96"/>
    </row>
    <row r="516" ht="14.25" customHeight="1" spans="4:7">
      <c r="D516" s="93"/>
      <c r="E516" s="94"/>
      <c r="F516" s="95"/>
      <c r="G516" s="96"/>
    </row>
    <row r="517" ht="14.25" customHeight="1" spans="4:7">
      <c r="D517" s="93"/>
      <c r="E517" s="94"/>
      <c r="F517" s="95"/>
      <c r="G517" s="96"/>
    </row>
    <row r="518" ht="14.25" customHeight="1" spans="4:7">
      <c r="D518" s="93"/>
      <c r="E518" s="94"/>
      <c r="F518" s="95"/>
      <c r="G518" s="96"/>
    </row>
    <row r="519" ht="14.25" customHeight="1" spans="4:7">
      <c r="D519" s="93"/>
      <c r="E519" s="94"/>
      <c r="F519" s="95"/>
      <c r="G519" s="96"/>
    </row>
    <row r="520" ht="14.25" customHeight="1" spans="4:7">
      <c r="D520" s="93"/>
      <c r="E520" s="94"/>
      <c r="F520" s="95"/>
      <c r="G520" s="96"/>
    </row>
    <row r="521" ht="14.25" customHeight="1" spans="4:7">
      <c r="D521" s="93"/>
      <c r="E521" s="94"/>
      <c r="F521" s="95"/>
      <c r="G521" s="96"/>
    </row>
    <row r="522" ht="14.25" customHeight="1" spans="4:7">
      <c r="D522" s="93"/>
      <c r="E522" s="94"/>
      <c r="F522" s="95"/>
      <c r="G522" s="96"/>
    </row>
    <row r="523" ht="14.25" customHeight="1" spans="4:7">
      <c r="D523" s="93"/>
      <c r="E523" s="94"/>
      <c r="F523" s="95"/>
      <c r="G523" s="96"/>
    </row>
    <row r="524" ht="14.25" customHeight="1" spans="4:7">
      <c r="D524" s="93"/>
      <c r="E524" s="94"/>
      <c r="F524" s="95"/>
      <c r="G524" s="96"/>
    </row>
    <row r="525" ht="14.25" customHeight="1" spans="4:7">
      <c r="D525" s="93"/>
      <c r="E525" s="94"/>
      <c r="F525" s="95"/>
      <c r="G525" s="96"/>
    </row>
    <row r="526" ht="14.25" customHeight="1" spans="4:7">
      <c r="D526" s="93"/>
      <c r="E526" s="94"/>
      <c r="F526" s="95"/>
      <c r="G526" s="96"/>
    </row>
    <row r="527" ht="14.25" customHeight="1" spans="4:7">
      <c r="D527" s="93"/>
      <c r="E527" s="94"/>
      <c r="F527" s="95"/>
      <c r="G527" s="96"/>
    </row>
    <row r="528" ht="14.25" customHeight="1" spans="4:7">
      <c r="D528" s="93"/>
      <c r="E528" s="94"/>
      <c r="F528" s="95"/>
      <c r="G528" s="96"/>
    </row>
    <row r="529" ht="14.25" customHeight="1" spans="4:7">
      <c r="D529" s="93"/>
      <c r="E529" s="94"/>
      <c r="F529" s="95"/>
      <c r="G529" s="96"/>
    </row>
    <row r="530" ht="14.25" customHeight="1" spans="4:7">
      <c r="D530" s="93"/>
      <c r="E530" s="94"/>
      <c r="F530" s="95"/>
      <c r="G530" s="96"/>
    </row>
    <row r="531" ht="14.25" customHeight="1" spans="4:7">
      <c r="D531" s="93"/>
      <c r="E531" s="94"/>
      <c r="F531" s="95"/>
      <c r="G531" s="96"/>
    </row>
    <row r="532" ht="14.25" customHeight="1" spans="4:7">
      <c r="D532" s="93"/>
      <c r="E532" s="94"/>
      <c r="F532" s="95"/>
      <c r="G532" s="96"/>
    </row>
    <row r="533" ht="14.25" customHeight="1" spans="4:7">
      <c r="D533" s="93"/>
      <c r="E533" s="94"/>
      <c r="F533" s="95"/>
      <c r="G533" s="96"/>
    </row>
    <row r="534" ht="14.25" customHeight="1" spans="4:7">
      <c r="D534" s="93"/>
      <c r="E534" s="94"/>
      <c r="F534" s="95"/>
      <c r="G534" s="96"/>
    </row>
    <row r="535" ht="14.25" customHeight="1" spans="4:7">
      <c r="D535" s="93"/>
      <c r="E535" s="94"/>
      <c r="F535" s="95"/>
      <c r="G535" s="96"/>
    </row>
    <row r="536" ht="14.25" customHeight="1" spans="4:7">
      <c r="D536" s="93"/>
      <c r="E536" s="94"/>
      <c r="F536" s="95"/>
      <c r="G536" s="96"/>
    </row>
    <row r="537" ht="14.25" customHeight="1" spans="4:7">
      <c r="D537" s="93"/>
      <c r="E537" s="94"/>
      <c r="F537" s="95"/>
      <c r="G537" s="96"/>
    </row>
    <row r="538" ht="14.25" customHeight="1" spans="4:7">
      <c r="D538" s="93"/>
      <c r="E538" s="94"/>
      <c r="F538" s="95"/>
      <c r="G538" s="96"/>
    </row>
    <row r="539" ht="14.25" customHeight="1" spans="4:7">
      <c r="D539" s="93"/>
      <c r="E539" s="94"/>
      <c r="F539" s="95"/>
      <c r="G539" s="96"/>
    </row>
    <row r="540" ht="14.25" customHeight="1" spans="4:7">
      <c r="D540" s="93"/>
      <c r="E540" s="94"/>
      <c r="F540" s="95"/>
      <c r="G540" s="96"/>
    </row>
    <row r="541" ht="14.25" customHeight="1" spans="4:7">
      <c r="D541" s="93"/>
      <c r="E541" s="94"/>
      <c r="F541" s="95"/>
      <c r="G541" s="96"/>
    </row>
    <row r="542" ht="14.25" customHeight="1" spans="4:7">
      <c r="D542" s="93"/>
      <c r="E542" s="94"/>
      <c r="F542" s="95"/>
      <c r="G542" s="96"/>
    </row>
    <row r="543" ht="14.25" customHeight="1" spans="4:7">
      <c r="D543" s="93"/>
      <c r="E543" s="94"/>
      <c r="F543" s="95"/>
      <c r="G543" s="96"/>
    </row>
    <row r="544" ht="14.25" customHeight="1" spans="4:7">
      <c r="D544" s="93"/>
      <c r="E544" s="94"/>
      <c r="F544" s="95"/>
      <c r="G544" s="96"/>
    </row>
    <row r="545" ht="14.25" customHeight="1" spans="4:7">
      <c r="D545" s="93"/>
      <c r="E545" s="94"/>
      <c r="F545" s="95"/>
      <c r="G545" s="96"/>
    </row>
    <row r="546" ht="14.25" customHeight="1" spans="4:7">
      <c r="D546" s="93"/>
      <c r="E546" s="94"/>
      <c r="F546" s="95"/>
      <c r="G546" s="96"/>
    </row>
    <row r="547" ht="14.25" customHeight="1" spans="4:7">
      <c r="D547" s="93"/>
      <c r="E547" s="94"/>
      <c r="F547" s="95"/>
      <c r="G547" s="96"/>
    </row>
    <row r="548" ht="14.25" customHeight="1" spans="4:7">
      <c r="D548" s="93"/>
      <c r="E548" s="94"/>
      <c r="F548" s="95"/>
      <c r="G548" s="96"/>
    </row>
    <row r="549" ht="14.25" customHeight="1" spans="4:7">
      <c r="D549" s="93"/>
      <c r="E549" s="94"/>
      <c r="F549" s="95"/>
      <c r="G549" s="96"/>
    </row>
    <row r="550" ht="14.25" customHeight="1" spans="4:7">
      <c r="D550" s="93"/>
      <c r="E550" s="94"/>
      <c r="F550" s="95"/>
      <c r="G550" s="96"/>
    </row>
    <row r="551" ht="14.25" customHeight="1" spans="4:7">
      <c r="D551" s="93"/>
      <c r="E551" s="94"/>
      <c r="F551" s="95"/>
      <c r="G551" s="96"/>
    </row>
    <row r="552" ht="14.25" customHeight="1" spans="4:7">
      <c r="D552" s="93"/>
      <c r="E552" s="94"/>
      <c r="F552" s="95"/>
      <c r="G552" s="96"/>
    </row>
    <row r="553" ht="14.25" customHeight="1" spans="4:7">
      <c r="D553" s="93"/>
      <c r="E553" s="94"/>
      <c r="F553" s="95"/>
      <c r="G553" s="96"/>
    </row>
    <row r="554" ht="14.25" customHeight="1" spans="4:7">
      <c r="D554" s="93"/>
      <c r="E554" s="94"/>
      <c r="F554" s="95"/>
      <c r="G554" s="96"/>
    </row>
    <row r="555" ht="14.25" customHeight="1" spans="4:7">
      <c r="D555" s="93"/>
      <c r="E555" s="94"/>
      <c r="F555" s="95"/>
      <c r="G555" s="96"/>
    </row>
    <row r="556" ht="14.25" customHeight="1" spans="4:7">
      <c r="D556" s="93"/>
      <c r="E556" s="94"/>
      <c r="F556" s="95"/>
      <c r="G556" s="96"/>
    </row>
    <row r="557" ht="14.25" customHeight="1" spans="4:7">
      <c r="D557" s="93"/>
      <c r="E557" s="94"/>
      <c r="F557" s="95"/>
      <c r="G557" s="96"/>
    </row>
    <row r="558" ht="14.25" customHeight="1" spans="4:7">
      <c r="D558" s="93"/>
      <c r="E558" s="94"/>
      <c r="F558" s="95"/>
      <c r="G558" s="96"/>
    </row>
    <row r="559" ht="14.25" customHeight="1" spans="4:7">
      <c r="D559" s="93"/>
      <c r="E559" s="94"/>
      <c r="F559" s="95"/>
      <c r="G559" s="96"/>
    </row>
    <row r="560" ht="14.25" customHeight="1" spans="4:7">
      <c r="D560" s="93"/>
      <c r="E560" s="94"/>
      <c r="F560" s="95"/>
      <c r="G560" s="96"/>
    </row>
    <row r="561" ht="14.25" customHeight="1" spans="4:7">
      <c r="D561" s="93"/>
      <c r="E561" s="94"/>
      <c r="F561" s="95"/>
      <c r="G561" s="96"/>
    </row>
    <row r="562" ht="14.25" customHeight="1" spans="4:7">
      <c r="D562" s="93"/>
      <c r="E562" s="94"/>
      <c r="F562" s="95"/>
      <c r="G562" s="96"/>
    </row>
    <row r="563" ht="14.25" customHeight="1" spans="4:7">
      <c r="D563" s="93"/>
      <c r="E563" s="94"/>
      <c r="F563" s="95"/>
      <c r="G563" s="96"/>
    </row>
    <row r="564" ht="14.25" customHeight="1" spans="4:7">
      <c r="D564" s="93"/>
      <c r="E564" s="94"/>
      <c r="F564" s="95"/>
      <c r="G564" s="96"/>
    </row>
    <row r="565" ht="14.25" customHeight="1" spans="4:7">
      <c r="D565" s="93"/>
      <c r="E565" s="94"/>
      <c r="F565" s="95"/>
      <c r="G565" s="96"/>
    </row>
    <row r="566" ht="14.25" customHeight="1" spans="4:7">
      <c r="D566" s="93"/>
      <c r="E566" s="94"/>
      <c r="F566" s="95"/>
      <c r="G566" s="96"/>
    </row>
    <row r="567" ht="14.25" customHeight="1" spans="4:7">
      <c r="D567" s="93"/>
      <c r="E567" s="94"/>
      <c r="F567" s="95"/>
      <c r="G567" s="96"/>
    </row>
    <row r="568" ht="14.25" customHeight="1" spans="4:7">
      <c r="D568" s="93"/>
      <c r="E568" s="94"/>
      <c r="F568" s="95"/>
      <c r="G568" s="96"/>
    </row>
    <row r="569" ht="14.25" customHeight="1" spans="4:7">
      <c r="D569" s="93"/>
      <c r="E569" s="94"/>
      <c r="F569" s="95"/>
      <c r="G569" s="96"/>
    </row>
    <row r="570" ht="14.25" customHeight="1" spans="4:7">
      <c r="D570" s="93"/>
      <c r="E570" s="94"/>
      <c r="F570" s="95"/>
      <c r="G570" s="96"/>
    </row>
    <row r="571" ht="14.25" customHeight="1" spans="4:7">
      <c r="D571" s="93"/>
      <c r="E571" s="94"/>
      <c r="F571" s="95"/>
      <c r="G571" s="96"/>
    </row>
    <row r="572" ht="14.25" customHeight="1" spans="4:7">
      <c r="D572" s="93"/>
      <c r="E572" s="94"/>
      <c r="F572" s="95"/>
      <c r="G572" s="96"/>
    </row>
    <row r="573" ht="14.25" customHeight="1" spans="4:7">
      <c r="D573" s="93"/>
      <c r="E573" s="94"/>
      <c r="F573" s="95"/>
      <c r="G573" s="96"/>
    </row>
    <row r="574" ht="14.25" customHeight="1" spans="4:7">
      <c r="D574" s="93"/>
      <c r="E574" s="94"/>
      <c r="F574" s="95"/>
      <c r="G574" s="96"/>
    </row>
    <row r="575" ht="14.25" customHeight="1" spans="4:7">
      <c r="D575" s="93"/>
      <c r="E575" s="94"/>
      <c r="F575" s="95"/>
      <c r="G575" s="96"/>
    </row>
    <row r="576" ht="14.25" customHeight="1" spans="4:7">
      <c r="D576" s="93"/>
      <c r="E576" s="94"/>
      <c r="F576" s="95"/>
      <c r="G576" s="96"/>
    </row>
    <row r="577" ht="14.25" customHeight="1" spans="4:7">
      <c r="D577" s="93"/>
      <c r="E577" s="94"/>
      <c r="F577" s="95"/>
      <c r="G577" s="96"/>
    </row>
    <row r="578" ht="14.25" customHeight="1" spans="4:7">
      <c r="D578" s="93"/>
      <c r="E578" s="94"/>
      <c r="F578" s="95"/>
      <c r="G578" s="96"/>
    </row>
    <row r="579" ht="14.25" customHeight="1" spans="4:7">
      <c r="D579" s="93"/>
      <c r="E579" s="94"/>
      <c r="F579" s="95"/>
      <c r="G579" s="96"/>
    </row>
    <row r="580" ht="14.25" customHeight="1" spans="4:7">
      <c r="D580" s="93"/>
      <c r="E580" s="94"/>
      <c r="F580" s="95"/>
      <c r="G580" s="96"/>
    </row>
    <row r="581" ht="14.25" customHeight="1" spans="4:7">
      <c r="D581" s="93"/>
      <c r="E581" s="94"/>
      <c r="F581" s="95"/>
      <c r="G581" s="96"/>
    </row>
    <row r="582" ht="14.25" customHeight="1" spans="4:7">
      <c r="D582" s="93"/>
      <c r="E582" s="94"/>
      <c r="F582" s="95"/>
      <c r="G582" s="96"/>
    </row>
    <row r="583" ht="14.25" customHeight="1" spans="4:7">
      <c r="D583" s="93"/>
      <c r="E583" s="94"/>
      <c r="F583" s="95"/>
      <c r="G583" s="96"/>
    </row>
    <row r="584" ht="14.25" customHeight="1" spans="4:7">
      <c r="D584" s="93"/>
      <c r="E584" s="94"/>
      <c r="F584" s="95"/>
      <c r="G584" s="96"/>
    </row>
    <row r="585" ht="14.25" customHeight="1" spans="4:7">
      <c r="D585" s="93"/>
      <c r="E585" s="94"/>
      <c r="F585" s="95"/>
      <c r="G585" s="96"/>
    </row>
    <row r="586" ht="14.25" customHeight="1" spans="4:7">
      <c r="D586" s="93"/>
      <c r="E586" s="94"/>
      <c r="F586" s="95"/>
      <c r="G586" s="96"/>
    </row>
    <row r="587" ht="14.25" customHeight="1" spans="4:7">
      <c r="D587" s="93"/>
      <c r="E587" s="94"/>
      <c r="F587" s="95"/>
      <c r="G587" s="96"/>
    </row>
    <row r="588" ht="14.25" customHeight="1" spans="4:7">
      <c r="D588" s="93"/>
      <c r="E588" s="94"/>
      <c r="F588" s="95"/>
      <c r="G588" s="96"/>
    </row>
    <row r="589" ht="14.25" customHeight="1" spans="4:7">
      <c r="D589" s="93"/>
      <c r="E589" s="94"/>
      <c r="F589" s="95"/>
      <c r="G589" s="96"/>
    </row>
    <row r="590" ht="14.25" customHeight="1" spans="4:7">
      <c r="D590" s="93"/>
      <c r="E590" s="94"/>
      <c r="F590" s="95"/>
      <c r="G590" s="96"/>
    </row>
    <row r="591" ht="14.25" customHeight="1" spans="4:7">
      <c r="D591" s="93"/>
      <c r="E591" s="94"/>
      <c r="F591" s="95"/>
      <c r="G591" s="96"/>
    </row>
    <row r="592" ht="14.25" customHeight="1" spans="4:7">
      <c r="D592" s="93"/>
      <c r="E592" s="94"/>
      <c r="F592" s="95"/>
      <c r="G592" s="96"/>
    </row>
    <row r="593" ht="14.25" customHeight="1" spans="4:7">
      <c r="D593" s="93"/>
      <c r="E593" s="94"/>
      <c r="F593" s="95"/>
      <c r="G593" s="96"/>
    </row>
    <row r="594" ht="14.25" customHeight="1" spans="4:7">
      <c r="D594" s="93"/>
      <c r="E594" s="94"/>
      <c r="F594" s="95"/>
      <c r="G594" s="96"/>
    </row>
    <row r="595" ht="14.25" customHeight="1" spans="4:7">
      <c r="D595" s="93"/>
      <c r="E595" s="94"/>
      <c r="F595" s="95"/>
      <c r="G595" s="96"/>
    </row>
    <row r="596" ht="14.25" customHeight="1" spans="4:7">
      <c r="D596" s="93"/>
      <c r="E596" s="94"/>
      <c r="F596" s="95"/>
      <c r="G596" s="96"/>
    </row>
    <row r="597" ht="14.25" customHeight="1" spans="4:7">
      <c r="D597" s="93"/>
      <c r="E597" s="94"/>
      <c r="F597" s="95"/>
      <c r="G597" s="96"/>
    </row>
    <row r="598" ht="14.25" customHeight="1" spans="4:7">
      <c r="D598" s="93"/>
      <c r="E598" s="94"/>
      <c r="F598" s="95"/>
      <c r="G598" s="96"/>
    </row>
    <row r="599" ht="14.25" customHeight="1" spans="4:7">
      <c r="D599" s="93"/>
      <c r="E599" s="94"/>
      <c r="F599" s="95"/>
      <c r="G599" s="96"/>
    </row>
    <row r="600" ht="14.25" customHeight="1" spans="4:7">
      <c r="D600" s="93"/>
      <c r="E600" s="94"/>
      <c r="F600" s="95"/>
      <c r="G600" s="96"/>
    </row>
    <row r="601" ht="14.25" customHeight="1" spans="4:7">
      <c r="D601" s="93"/>
      <c r="E601" s="94"/>
      <c r="F601" s="95"/>
      <c r="G601" s="96"/>
    </row>
    <row r="602" ht="14.25" customHeight="1" spans="4:7">
      <c r="D602" s="93"/>
      <c r="E602" s="94"/>
      <c r="F602" s="95"/>
      <c r="G602" s="96"/>
    </row>
    <row r="603" ht="14.25" customHeight="1" spans="4:7">
      <c r="D603" s="93"/>
      <c r="E603" s="94"/>
      <c r="F603" s="95"/>
      <c r="G603" s="96"/>
    </row>
    <row r="604" ht="14.25" customHeight="1" spans="4:7">
      <c r="D604" s="93"/>
      <c r="E604" s="94"/>
      <c r="F604" s="95"/>
      <c r="G604" s="96"/>
    </row>
    <row r="605" ht="14.25" customHeight="1" spans="4:7">
      <c r="D605" s="93"/>
      <c r="E605" s="94"/>
      <c r="F605" s="95"/>
      <c r="G605" s="96"/>
    </row>
    <row r="606" ht="14.25" customHeight="1" spans="4:7">
      <c r="D606" s="93"/>
      <c r="E606" s="94"/>
      <c r="F606" s="95"/>
      <c r="G606" s="96"/>
    </row>
    <row r="607" ht="14.25" customHeight="1" spans="4:7">
      <c r="D607" s="93"/>
      <c r="E607" s="94"/>
      <c r="F607" s="95"/>
      <c r="G607" s="96"/>
    </row>
    <row r="608" ht="14.25" customHeight="1" spans="4:7">
      <c r="D608" s="93"/>
      <c r="E608" s="94"/>
      <c r="F608" s="95"/>
      <c r="G608" s="96"/>
    </row>
    <row r="609" ht="14.25" customHeight="1" spans="4:7">
      <c r="D609" s="93"/>
      <c r="E609" s="94"/>
      <c r="F609" s="95"/>
      <c r="G609" s="96"/>
    </row>
    <row r="610" ht="14.25" customHeight="1" spans="4:7">
      <c r="D610" s="93"/>
      <c r="E610" s="94"/>
      <c r="F610" s="95"/>
      <c r="G610" s="96"/>
    </row>
    <row r="611" ht="14.25" customHeight="1" spans="4:7">
      <c r="D611" s="93"/>
      <c r="E611" s="94"/>
      <c r="F611" s="95"/>
      <c r="G611" s="96"/>
    </row>
    <row r="612" ht="14.25" customHeight="1" spans="4:7">
      <c r="D612" s="93"/>
      <c r="E612" s="94"/>
      <c r="F612" s="95"/>
      <c r="G612" s="96"/>
    </row>
    <row r="613" ht="14.25" customHeight="1" spans="4:7">
      <c r="D613" s="93"/>
      <c r="E613" s="94"/>
      <c r="F613" s="95"/>
      <c r="G613" s="96"/>
    </row>
    <row r="614" ht="14.25" customHeight="1" spans="4:7">
      <c r="D614" s="93"/>
      <c r="E614" s="94"/>
      <c r="F614" s="95"/>
      <c r="G614" s="96"/>
    </row>
    <row r="615" ht="14.25" customHeight="1" spans="4:7">
      <c r="D615" s="93"/>
      <c r="E615" s="94"/>
      <c r="F615" s="95"/>
      <c r="G615" s="96"/>
    </row>
    <row r="616" ht="14.25" customHeight="1" spans="4:7">
      <c r="D616" s="93"/>
      <c r="E616" s="94"/>
      <c r="F616" s="95"/>
      <c r="G616" s="96"/>
    </row>
    <row r="617" ht="14.25" customHeight="1" spans="4:7">
      <c r="D617" s="93"/>
      <c r="E617" s="94"/>
      <c r="F617" s="95"/>
      <c r="G617" s="96"/>
    </row>
    <row r="618" ht="14.25" customHeight="1" spans="4:7">
      <c r="D618" s="93"/>
      <c r="E618" s="94"/>
      <c r="F618" s="95"/>
      <c r="G618" s="96"/>
    </row>
    <row r="619" ht="14.25" customHeight="1" spans="4:7">
      <c r="D619" s="93"/>
      <c r="E619" s="94"/>
      <c r="F619" s="95"/>
      <c r="G619" s="96"/>
    </row>
    <row r="620" ht="14.25" customHeight="1" spans="4:7">
      <c r="D620" s="93"/>
      <c r="E620" s="94"/>
      <c r="F620" s="95"/>
      <c r="G620" s="96"/>
    </row>
    <row r="621" ht="14.25" customHeight="1" spans="4:7">
      <c r="D621" s="93"/>
      <c r="E621" s="94"/>
      <c r="F621" s="95"/>
      <c r="G621" s="96"/>
    </row>
    <row r="622" ht="14.25" customHeight="1" spans="4:7">
      <c r="D622" s="93"/>
      <c r="E622" s="94"/>
      <c r="F622" s="95"/>
      <c r="G622" s="96"/>
    </row>
    <row r="623" ht="14.25" customHeight="1" spans="4:7">
      <c r="D623" s="93"/>
      <c r="E623" s="94"/>
      <c r="F623" s="95"/>
      <c r="G623" s="96"/>
    </row>
    <row r="624" ht="14.25" customHeight="1" spans="4:7">
      <c r="D624" s="93"/>
      <c r="E624" s="94"/>
      <c r="F624" s="95"/>
      <c r="G624" s="96"/>
    </row>
    <row r="625" ht="14.25" customHeight="1" spans="4:7">
      <c r="D625" s="93"/>
      <c r="E625" s="94"/>
      <c r="F625" s="95"/>
      <c r="G625" s="96"/>
    </row>
    <row r="626" ht="14.25" customHeight="1" spans="4:7">
      <c r="D626" s="93"/>
      <c r="E626" s="94"/>
      <c r="F626" s="95"/>
      <c r="G626" s="96"/>
    </row>
    <row r="627" ht="14.25" customHeight="1" spans="4:7">
      <c r="D627" s="93"/>
      <c r="E627" s="94"/>
      <c r="F627" s="95"/>
      <c r="G627" s="96"/>
    </row>
    <row r="628" ht="14.25" customHeight="1" spans="4:7">
      <c r="D628" s="93"/>
      <c r="E628" s="94"/>
      <c r="F628" s="95"/>
      <c r="G628" s="96"/>
    </row>
    <row r="629" ht="14.25" customHeight="1" spans="4:7">
      <c r="D629" s="93"/>
      <c r="E629" s="94"/>
      <c r="F629" s="95"/>
      <c r="G629" s="96"/>
    </row>
    <row r="630" ht="14.25" customHeight="1" spans="4:7">
      <c r="D630" s="93"/>
      <c r="E630" s="94"/>
      <c r="F630" s="95"/>
      <c r="G630" s="96"/>
    </row>
    <row r="631" ht="14.25" customHeight="1" spans="4:7">
      <c r="D631" s="93"/>
      <c r="E631" s="94"/>
      <c r="F631" s="95"/>
      <c r="G631" s="96"/>
    </row>
    <row r="632" ht="14.25" customHeight="1" spans="4:7">
      <c r="D632" s="93"/>
      <c r="E632" s="94"/>
      <c r="F632" s="95"/>
      <c r="G632" s="96"/>
    </row>
    <row r="633" ht="14.25" customHeight="1" spans="4:7">
      <c r="D633" s="93"/>
      <c r="E633" s="94"/>
      <c r="F633" s="95"/>
      <c r="G633" s="96"/>
    </row>
    <row r="634" ht="14.25" customHeight="1" spans="4:7">
      <c r="D634" s="93"/>
      <c r="E634" s="94"/>
      <c r="F634" s="95"/>
      <c r="G634" s="96"/>
    </row>
    <row r="635" ht="14.25" customHeight="1" spans="4:7">
      <c r="D635" s="93"/>
      <c r="E635" s="94"/>
      <c r="F635" s="95"/>
      <c r="G635" s="96"/>
    </row>
    <row r="636" ht="14.25" customHeight="1" spans="4:7">
      <c r="D636" s="93"/>
      <c r="E636" s="94"/>
      <c r="F636" s="95"/>
      <c r="G636" s="96"/>
    </row>
    <row r="637" ht="14.25" customHeight="1" spans="4:7">
      <c r="D637" s="93"/>
      <c r="E637" s="94"/>
      <c r="F637" s="95"/>
      <c r="G637" s="96"/>
    </row>
    <row r="638" ht="14.25" customHeight="1" spans="4:7">
      <c r="D638" s="93"/>
      <c r="E638" s="94"/>
      <c r="F638" s="95"/>
      <c r="G638" s="96"/>
    </row>
    <row r="639" ht="14.25" customHeight="1" spans="4:7">
      <c r="D639" s="93"/>
      <c r="E639" s="94"/>
      <c r="F639" s="95"/>
      <c r="G639" s="96"/>
    </row>
    <row r="640" ht="14.25" customHeight="1" spans="4:7">
      <c r="D640" s="93"/>
      <c r="E640" s="94"/>
      <c r="F640" s="95"/>
      <c r="G640" s="96"/>
    </row>
    <row r="641" ht="14.25" customHeight="1" spans="4:7">
      <c r="D641" s="93"/>
      <c r="E641" s="94"/>
      <c r="F641" s="95"/>
      <c r="G641" s="96"/>
    </row>
    <row r="642" ht="14.25" customHeight="1" spans="4:7">
      <c r="D642" s="93"/>
      <c r="E642" s="94"/>
      <c r="F642" s="95"/>
      <c r="G642" s="96"/>
    </row>
    <row r="643" ht="14.25" customHeight="1" spans="4:7">
      <c r="D643" s="93"/>
      <c r="E643" s="94"/>
      <c r="F643" s="95"/>
      <c r="G643" s="96"/>
    </row>
    <row r="644" ht="14.25" customHeight="1" spans="4:7">
      <c r="D644" s="93"/>
      <c r="E644" s="94"/>
      <c r="F644" s="95"/>
      <c r="G644" s="96"/>
    </row>
    <row r="645" ht="14.25" customHeight="1" spans="4:7">
      <c r="D645" s="93"/>
      <c r="E645" s="94"/>
      <c r="F645" s="95"/>
      <c r="G645" s="96"/>
    </row>
    <row r="646" ht="14.25" customHeight="1" spans="4:7">
      <c r="D646" s="93"/>
      <c r="E646" s="94"/>
      <c r="F646" s="95"/>
      <c r="G646" s="96"/>
    </row>
    <row r="647" ht="14.25" customHeight="1" spans="4:7">
      <c r="D647" s="93"/>
      <c r="E647" s="94"/>
      <c r="F647" s="95"/>
      <c r="G647" s="96"/>
    </row>
    <row r="648" ht="14.25" customHeight="1" spans="4:7">
      <c r="D648" s="93"/>
      <c r="E648" s="94"/>
      <c r="F648" s="95"/>
      <c r="G648" s="96"/>
    </row>
    <row r="649" ht="14.25" customHeight="1" spans="4:7">
      <c r="D649" s="93"/>
      <c r="E649" s="94"/>
      <c r="F649" s="95"/>
      <c r="G649" s="96"/>
    </row>
    <row r="650" ht="14.25" customHeight="1" spans="4:7">
      <c r="D650" s="93"/>
      <c r="E650" s="94"/>
      <c r="F650" s="95"/>
      <c r="G650" s="96"/>
    </row>
    <row r="651" ht="14.25" customHeight="1" spans="4:7">
      <c r="D651" s="93"/>
      <c r="E651" s="94"/>
      <c r="F651" s="95"/>
      <c r="G651" s="96"/>
    </row>
    <row r="652" ht="14.25" customHeight="1" spans="4:7">
      <c r="D652" s="93"/>
      <c r="E652" s="94"/>
      <c r="F652" s="95"/>
      <c r="G652" s="96"/>
    </row>
    <row r="653" ht="14.25" customHeight="1" spans="4:7">
      <c r="D653" s="93"/>
      <c r="E653" s="94"/>
      <c r="F653" s="95"/>
      <c r="G653" s="96"/>
    </row>
    <row r="654" ht="14.25" customHeight="1" spans="4:7">
      <c r="D654" s="93"/>
      <c r="E654" s="94"/>
      <c r="F654" s="95"/>
      <c r="G654" s="96"/>
    </row>
    <row r="655" ht="14.25" customHeight="1" spans="4:7">
      <c r="D655" s="93"/>
      <c r="E655" s="94"/>
      <c r="F655" s="95"/>
      <c r="G655" s="96"/>
    </row>
    <row r="656" ht="14.25" customHeight="1" spans="4:7">
      <c r="D656" s="93"/>
      <c r="E656" s="94"/>
      <c r="F656" s="95"/>
      <c r="G656" s="96"/>
    </row>
    <row r="657" ht="14.25" customHeight="1" spans="4:7">
      <c r="D657" s="93"/>
      <c r="E657" s="94"/>
      <c r="F657" s="95"/>
      <c r="G657" s="96"/>
    </row>
    <row r="658" ht="14.25" customHeight="1" spans="4:7">
      <c r="D658" s="93"/>
      <c r="E658" s="94"/>
      <c r="F658" s="95"/>
      <c r="G658" s="96"/>
    </row>
    <row r="659" ht="14.25" customHeight="1" spans="4:7">
      <c r="D659" s="93"/>
      <c r="E659" s="94"/>
      <c r="F659" s="95"/>
      <c r="G659" s="96"/>
    </row>
    <row r="660" ht="14.25" customHeight="1" spans="4:7">
      <c r="D660" s="93"/>
      <c r="E660" s="94"/>
      <c r="F660" s="95"/>
      <c r="G660" s="96"/>
    </row>
    <row r="661" ht="14.25" customHeight="1" spans="4:7">
      <c r="D661" s="93"/>
      <c r="E661" s="94"/>
      <c r="F661" s="95"/>
      <c r="G661" s="96"/>
    </row>
    <row r="662" ht="14.25" customHeight="1" spans="4:7">
      <c r="D662" s="93"/>
      <c r="E662" s="94"/>
      <c r="F662" s="95"/>
      <c r="G662" s="96"/>
    </row>
    <row r="663" ht="14.25" customHeight="1" spans="4:7">
      <c r="D663" s="93"/>
      <c r="E663" s="94"/>
      <c r="F663" s="95"/>
      <c r="G663" s="96"/>
    </row>
    <row r="664" ht="14.25" customHeight="1" spans="4:7">
      <c r="D664" s="93"/>
      <c r="E664" s="94"/>
      <c r="F664" s="95"/>
      <c r="G664" s="96"/>
    </row>
    <row r="665" ht="14.25" customHeight="1" spans="4:7">
      <c r="D665" s="93"/>
      <c r="E665" s="94"/>
      <c r="F665" s="95"/>
      <c r="G665" s="96"/>
    </row>
    <row r="666" ht="14.25" customHeight="1" spans="4:7">
      <c r="D666" s="93"/>
      <c r="E666" s="94"/>
      <c r="F666" s="95"/>
      <c r="G666" s="96"/>
    </row>
    <row r="667" ht="14.25" customHeight="1" spans="4:7">
      <c r="D667" s="93"/>
      <c r="E667" s="94"/>
      <c r="F667" s="95"/>
      <c r="G667" s="96"/>
    </row>
    <row r="668" ht="14.25" customHeight="1" spans="4:7">
      <c r="D668" s="93"/>
      <c r="E668" s="94"/>
      <c r="F668" s="95"/>
      <c r="G668" s="96"/>
    </row>
    <row r="669" ht="14.25" customHeight="1" spans="4:7">
      <c r="D669" s="93"/>
      <c r="E669" s="94"/>
      <c r="F669" s="95"/>
      <c r="G669" s="96"/>
    </row>
    <row r="670" ht="14.25" customHeight="1" spans="4:7">
      <c r="D670" s="93"/>
      <c r="E670" s="94"/>
      <c r="F670" s="95"/>
      <c r="G670" s="96"/>
    </row>
    <row r="671" ht="14.25" customHeight="1" spans="4:7">
      <c r="D671" s="93"/>
      <c r="E671" s="94"/>
      <c r="F671" s="95"/>
      <c r="G671" s="96"/>
    </row>
    <row r="672" ht="14.25" customHeight="1" spans="4:7">
      <c r="D672" s="93"/>
      <c r="E672" s="94"/>
      <c r="F672" s="95"/>
      <c r="G672" s="96"/>
    </row>
    <row r="673" ht="14.25" customHeight="1" spans="4:7">
      <c r="D673" s="93"/>
      <c r="E673" s="94"/>
      <c r="F673" s="95"/>
      <c r="G673" s="96"/>
    </row>
    <row r="674" ht="14.25" customHeight="1" spans="4:7">
      <c r="D674" s="93"/>
      <c r="E674" s="94"/>
      <c r="F674" s="95"/>
      <c r="G674" s="96"/>
    </row>
    <row r="675" ht="14.25" customHeight="1" spans="4:7">
      <c r="D675" s="93"/>
      <c r="E675" s="94"/>
      <c r="F675" s="95"/>
      <c r="G675" s="96"/>
    </row>
    <row r="676" ht="14.25" customHeight="1" spans="4:7">
      <c r="D676" s="93"/>
      <c r="E676" s="94"/>
      <c r="F676" s="95"/>
      <c r="G676" s="96"/>
    </row>
    <row r="677" ht="14.25" customHeight="1" spans="4:7">
      <c r="D677" s="93"/>
      <c r="E677" s="94"/>
      <c r="F677" s="95"/>
      <c r="G677" s="96"/>
    </row>
    <row r="678" ht="14.25" customHeight="1" spans="4:7">
      <c r="D678" s="93"/>
      <c r="E678" s="94"/>
      <c r="F678" s="95"/>
      <c r="G678" s="96"/>
    </row>
    <row r="679" ht="14.25" customHeight="1" spans="4:7">
      <c r="D679" s="93"/>
      <c r="E679" s="94"/>
      <c r="F679" s="95"/>
      <c r="G679" s="96"/>
    </row>
    <row r="680" ht="14.25" customHeight="1" spans="4:7">
      <c r="D680" s="93"/>
      <c r="E680" s="94"/>
      <c r="F680" s="95"/>
      <c r="G680" s="96"/>
    </row>
    <row r="681" ht="14.25" customHeight="1" spans="4:7">
      <c r="D681" s="93"/>
      <c r="E681" s="94"/>
      <c r="F681" s="95"/>
      <c r="G681" s="96"/>
    </row>
    <row r="682" ht="14.25" customHeight="1" spans="4:7">
      <c r="D682" s="93"/>
      <c r="E682" s="94"/>
      <c r="F682" s="95"/>
      <c r="G682" s="96"/>
    </row>
    <row r="683" ht="14.25" customHeight="1" spans="4:7">
      <c r="D683" s="93"/>
      <c r="E683" s="94"/>
      <c r="F683" s="95"/>
      <c r="G683" s="96"/>
    </row>
    <row r="684" ht="14.25" customHeight="1" spans="4:7">
      <c r="D684" s="93"/>
      <c r="E684" s="94"/>
      <c r="F684" s="95"/>
      <c r="G684" s="96"/>
    </row>
    <row r="685" ht="14.25" customHeight="1" spans="4:7">
      <c r="D685" s="93"/>
      <c r="E685" s="94"/>
      <c r="F685" s="95"/>
      <c r="G685" s="96"/>
    </row>
    <row r="686" ht="14.25" customHeight="1" spans="4:7">
      <c r="D686" s="93"/>
      <c r="E686" s="94"/>
      <c r="F686" s="95"/>
      <c r="G686" s="96"/>
    </row>
    <row r="687" ht="14.25" customHeight="1" spans="4:7">
      <c r="D687" s="93"/>
      <c r="E687" s="94"/>
      <c r="F687" s="95"/>
      <c r="G687" s="96"/>
    </row>
    <row r="688" ht="14.25" customHeight="1" spans="4:7">
      <c r="D688" s="93"/>
      <c r="E688" s="94"/>
      <c r="F688" s="95"/>
      <c r="G688" s="96"/>
    </row>
    <row r="689" ht="14.25" customHeight="1" spans="4:7">
      <c r="D689" s="93"/>
      <c r="E689" s="94"/>
      <c r="F689" s="95"/>
      <c r="G689" s="96"/>
    </row>
    <row r="690" ht="14.25" customHeight="1" spans="4:7">
      <c r="D690" s="93"/>
      <c r="E690" s="94"/>
      <c r="F690" s="95"/>
      <c r="G690" s="96"/>
    </row>
    <row r="691" ht="14.25" customHeight="1" spans="4:7">
      <c r="D691" s="93"/>
      <c r="E691" s="94"/>
      <c r="F691" s="95"/>
      <c r="G691" s="96"/>
    </row>
    <row r="692" ht="14.25" customHeight="1" spans="4:7">
      <c r="D692" s="93"/>
      <c r="E692" s="94"/>
      <c r="F692" s="95"/>
      <c r="G692" s="96"/>
    </row>
    <row r="693" ht="14.25" customHeight="1" spans="4:7">
      <c r="D693" s="93"/>
      <c r="E693" s="94"/>
      <c r="F693" s="95"/>
      <c r="G693" s="96"/>
    </row>
    <row r="694" ht="14.25" customHeight="1" spans="4:7">
      <c r="D694" s="93"/>
      <c r="E694" s="94"/>
      <c r="F694" s="95"/>
      <c r="G694" s="96"/>
    </row>
    <row r="695" ht="14.25" customHeight="1" spans="4:7">
      <c r="D695" s="93"/>
      <c r="E695" s="94"/>
      <c r="F695" s="95"/>
      <c r="G695" s="96"/>
    </row>
    <row r="696" ht="14.25" customHeight="1" spans="4:7">
      <c r="D696" s="93"/>
      <c r="E696" s="94"/>
      <c r="F696" s="95"/>
      <c r="G696" s="96"/>
    </row>
    <row r="697" ht="14.25" customHeight="1" spans="4:7">
      <c r="D697" s="93"/>
      <c r="E697" s="94"/>
      <c r="F697" s="95"/>
      <c r="G697" s="96"/>
    </row>
    <row r="698" ht="14.25" customHeight="1" spans="4:7">
      <c r="D698" s="93"/>
      <c r="E698" s="94"/>
      <c r="F698" s="95"/>
      <c r="G698" s="96"/>
    </row>
    <row r="699" ht="14.25" customHeight="1" spans="4:7">
      <c r="D699" s="93"/>
      <c r="E699" s="94"/>
      <c r="F699" s="95"/>
      <c r="G699" s="96"/>
    </row>
    <row r="700" ht="14.25" customHeight="1" spans="4:7">
      <c r="D700" s="93"/>
      <c r="E700" s="94"/>
      <c r="F700" s="95"/>
      <c r="G700" s="96"/>
    </row>
    <row r="701" ht="14.25" customHeight="1" spans="4:7">
      <c r="D701" s="93"/>
      <c r="E701" s="94"/>
      <c r="F701" s="95"/>
      <c r="G701" s="96"/>
    </row>
    <row r="702" ht="14.25" customHeight="1" spans="4:7">
      <c r="D702" s="93"/>
      <c r="E702" s="94"/>
      <c r="F702" s="95"/>
      <c r="G702" s="96"/>
    </row>
    <row r="703" ht="14.25" customHeight="1" spans="4:7">
      <c r="D703" s="93"/>
      <c r="E703" s="94"/>
      <c r="F703" s="95"/>
      <c r="G703" s="96"/>
    </row>
    <row r="704" ht="14.25" customHeight="1" spans="4:7">
      <c r="D704" s="93"/>
      <c r="E704" s="94"/>
      <c r="F704" s="95"/>
      <c r="G704" s="96"/>
    </row>
    <row r="705" ht="14.25" customHeight="1" spans="4:7">
      <c r="D705" s="93"/>
      <c r="E705" s="94"/>
      <c r="F705" s="95"/>
      <c r="G705" s="96"/>
    </row>
    <row r="706" ht="14.25" customHeight="1" spans="4:7">
      <c r="D706" s="93"/>
      <c r="E706" s="94"/>
      <c r="F706" s="95"/>
      <c r="G706" s="96"/>
    </row>
    <row r="707" ht="14.25" customHeight="1" spans="4:7">
      <c r="D707" s="93"/>
      <c r="E707" s="94"/>
      <c r="F707" s="95"/>
      <c r="G707" s="96"/>
    </row>
    <row r="708" ht="14.25" customHeight="1" spans="4:7">
      <c r="D708" s="93"/>
      <c r="E708" s="94"/>
      <c r="F708" s="95"/>
      <c r="G708" s="96"/>
    </row>
    <row r="709" ht="14.25" customHeight="1" spans="4:7">
      <c r="D709" s="93"/>
      <c r="E709" s="94"/>
      <c r="F709" s="95"/>
      <c r="G709" s="96"/>
    </row>
    <row r="710" ht="14.25" customHeight="1" spans="4:7">
      <c r="D710" s="93"/>
      <c r="E710" s="94"/>
      <c r="F710" s="95"/>
      <c r="G710" s="96"/>
    </row>
    <row r="711" ht="14.25" customHeight="1" spans="4:7">
      <c r="D711" s="93"/>
      <c r="E711" s="94"/>
      <c r="F711" s="95"/>
      <c r="G711" s="96"/>
    </row>
    <row r="712" ht="14.25" customHeight="1" spans="4:7">
      <c r="D712" s="93"/>
      <c r="E712" s="94"/>
      <c r="F712" s="95"/>
      <c r="G712" s="96"/>
    </row>
    <row r="713" ht="14.25" customHeight="1" spans="4:7">
      <c r="D713" s="93"/>
      <c r="E713" s="94"/>
      <c r="F713" s="95"/>
      <c r="G713" s="96"/>
    </row>
    <row r="714" ht="14.25" customHeight="1" spans="4:7">
      <c r="D714" s="93"/>
      <c r="E714" s="94"/>
      <c r="F714" s="95"/>
      <c r="G714" s="96"/>
    </row>
    <row r="715" ht="14.25" customHeight="1" spans="4:7">
      <c r="D715" s="93"/>
      <c r="E715" s="94"/>
      <c r="F715" s="95"/>
      <c r="G715" s="96"/>
    </row>
    <row r="716" ht="14.25" customHeight="1" spans="4:7">
      <c r="D716" s="93"/>
      <c r="E716" s="94"/>
      <c r="F716" s="95"/>
      <c r="G716" s="96"/>
    </row>
    <row r="717" ht="14.25" customHeight="1" spans="4:7">
      <c r="D717" s="93"/>
      <c r="E717" s="94"/>
      <c r="F717" s="95"/>
      <c r="G717" s="96"/>
    </row>
    <row r="718" ht="14.25" customHeight="1" spans="4:7">
      <c r="D718" s="93"/>
      <c r="E718" s="94"/>
      <c r="F718" s="95"/>
      <c r="G718" s="96"/>
    </row>
    <row r="719" ht="14.25" customHeight="1" spans="4:7">
      <c r="D719" s="93"/>
      <c r="E719" s="94"/>
      <c r="F719" s="95"/>
      <c r="G719" s="96"/>
    </row>
    <row r="720" ht="14.25" customHeight="1" spans="4:7">
      <c r="D720" s="93"/>
      <c r="E720" s="94"/>
      <c r="F720" s="95"/>
      <c r="G720" s="96"/>
    </row>
    <row r="721" ht="14.25" customHeight="1" spans="4:7">
      <c r="D721" s="93"/>
      <c r="E721" s="94"/>
      <c r="F721" s="95"/>
      <c r="G721" s="96"/>
    </row>
    <row r="722" ht="14.25" customHeight="1" spans="4:7">
      <c r="D722" s="93"/>
      <c r="E722" s="94"/>
      <c r="F722" s="95"/>
      <c r="G722" s="96"/>
    </row>
    <row r="723" ht="14.25" customHeight="1" spans="4:7">
      <c r="D723" s="93"/>
      <c r="E723" s="94"/>
      <c r="F723" s="95"/>
      <c r="G723" s="96"/>
    </row>
    <row r="724" ht="14.25" customHeight="1" spans="4:7">
      <c r="D724" s="93"/>
      <c r="E724" s="94"/>
      <c r="F724" s="95"/>
      <c r="G724" s="96"/>
    </row>
    <row r="725" ht="14.25" customHeight="1" spans="4:7">
      <c r="D725" s="93"/>
      <c r="E725" s="94"/>
      <c r="F725" s="95"/>
      <c r="G725" s="96"/>
    </row>
    <row r="726" ht="14.25" customHeight="1" spans="4:7">
      <c r="D726" s="93"/>
      <c r="E726" s="94"/>
      <c r="F726" s="95"/>
      <c r="G726" s="96"/>
    </row>
    <row r="727" ht="14.25" customHeight="1" spans="4:7">
      <c r="D727" s="93"/>
      <c r="E727" s="94"/>
      <c r="F727" s="95"/>
      <c r="G727" s="96"/>
    </row>
    <row r="728" ht="14.25" customHeight="1" spans="4:7">
      <c r="D728" s="93"/>
      <c r="E728" s="94"/>
      <c r="F728" s="95"/>
      <c r="G728" s="96"/>
    </row>
    <row r="729" ht="14.25" customHeight="1" spans="4:7">
      <c r="D729" s="93"/>
      <c r="E729" s="94"/>
      <c r="F729" s="95"/>
      <c r="G729" s="96"/>
    </row>
    <row r="730" ht="14.25" customHeight="1" spans="4:7">
      <c r="D730" s="93"/>
      <c r="E730" s="94"/>
      <c r="F730" s="95"/>
      <c r="G730" s="96"/>
    </row>
    <row r="731" ht="14.25" customHeight="1" spans="4:7">
      <c r="D731" s="93"/>
      <c r="E731" s="94"/>
      <c r="F731" s="95"/>
      <c r="G731" s="96"/>
    </row>
    <row r="732" ht="14.25" customHeight="1" spans="4:7">
      <c r="D732" s="93"/>
      <c r="E732" s="94"/>
      <c r="F732" s="95"/>
      <c r="G732" s="96"/>
    </row>
    <row r="733" ht="14.25" customHeight="1" spans="4:7">
      <c r="D733" s="93"/>
      <c r="E733" s="94"/>
      <c r="F733" s="95"/>
      <c r="G733" s="96"/>
    </row>
    <row r="734" ht="14.25" customHeight="1" spans="4:7">
      <c r="D734" s="93"/>
      <c r="E734" s="94"/>
      <c r="F734" s="95"/>
      <c r="G734" s="96"/>
    </row>
    <row r="735" ht="14.25" customHeight="1" spans="4:7">
      <c r="D735" s="93"/>
      <c r="E735" s="94"/>
      <c r="F735" s="95"/>
      <c r="G735" s="96"/>
    </row>
    <row r="736" ht="14.25" customHeight="1" spans="4:7">
      <c r="D736" s="93"/>
      <c r="E736" s="94"/>
      <c r="F736" s="95"/>
      <c r="G736" s="96"/>
    </row>
    <row r="737" ht="14.25" customHeight="1" spans="4:7">
      <c r="D737" s="93"/>
      <c r="E737" s="94"/>
      <c r="F737" s="95"/>
      <c r="G737" s="96"/>
    </row>
    <row r="738" ht="14.25" customHeight="1" spans="4:7">
      <c r="D738" s="93"/>
      <c r="E738" s="94"/>
      <c r="F738" s="95"/>
      <c r="G738" s="96"/>
    </row>
    <row r="739" ht="14.25" customHeight="1" spans="4:7">
      <c r="D739" s="93"/>
      <c r="E739" s="94"/>
      <c r="F739" s="95"/>
      <c r="G739" s="96"/>
    </row>
    <row r="740" ht="14.25" customHeight="1" spans="4:7">
      <c r="D740" s="93"/>
      <c r="E740" s="94"/>
      <c r="F740" s="95"/>
      <c r="G740" s="96"/>
    </row>
    <row r="741" ht="14.25" customHeight="1" spans="4:7">
      <c r="D741" s="93"/>
      <c r="E741" s="94"/>
      <c r="F741" s="95"/>
      <c r="G741" s="96"/>
    </row>
    <row r="742" ht="14.25" customHeight="1" spans="4:7">
      <c r="D742" s="93"/>
      <c r="E742" s="94"/>
      <c r="F742" s="95"/>
      <c r="G742" s="96"/>
    </row>
    <row r="743" ht="14.25" customHeight="1" spans="4:7">
      <c r="D743" s="93"/>
      <c r="E743" s="94"/>
      <c r="F743" s="95"/>
      <c r="G743" s="96"/>
    </row>
    <row r="744" ht="14.25" customHeight="1" spans="4:7">
      <c r="D744" s="93"/>
      <c r="E744" s="94"/>
      <c r="F744" s="95"/>
      <c r="G744" s="96"/>
    </row>
    <row r="745" ht="14.25" customHeight="1" spans="4:7">
      <c r="D745" s="93"/>
      <c r="E745" s="94"/>
      <c r="F745" s="95"/>
      <c r="G745" s="96"/>
    </row>
    <row r="746" ht="14.25" customHeight="1" spans="4:7">
      <c r="D746" s="93"/>
      <c r="E746" s="94"/>
      <c r="F746" s="95"/>
      <c r="G746" s="96"/>
    </row>
    <row r="747" ht="14.25" customHeight="1" spans="4:7">
      <c r="D747" s="93"/>
      <c r="E747" s="94"/>
      <c r="F747" s="95"/>
      <c r="G747" s="96"/>
    </row>
    <row r="748" ht="14.25" customHeight="1" spans="4:7">
      <c r="D748" s="93"/>
      <c r="E748" s="94"/>
      <c r="F748" s="95"/>
      <c r="G748" s="96"/>
    </row>
    <row r="749" ht="14.25" customHeight="1" spans="4:7">
      <c r="D749" s="93"/>
      <c r="E749" s="94"/>
      <c r="F749" s="95"/>
      <c r="G749" s="96"/>
    </row>
    <row r="750" ht="14.25" customHeight="1" spans="4:7">
      <c r="D750" s="93"/>
      <c r="E750" s="94"/>
      <c r="F750" s="95"/>
      <c r="G750" s="96"/>
    </row>
    <row r="751" ht="14.25" customHeight="1" spans="4:7">
      <c r="D751" s="93"/>
      <c r="E751" s="94"/>
      <c r="F751" s="95"/>
      <c r="G751" s="96"/>
    </row>
    <row r="752" ht="14.25" customHeight="1" spans="4:7">
      <c r="D752" s="93"/>
      <c r="E752" s="94"/>
      <c r="F752" s="95"/>
      <c r="G752" s="96"/>
    </row>
    <row r="753" ht="14.25" customHeight="1" spans="4:7">
      <c r="D753" s="93"/>
      <c r="E753" s="94"/>
      <c r="F753" s="95"/>
      <c r="G753" s="96"/>
    </row>
    <row r="754" ht="14.25" customHeight="1" spans="4:7">
      <c r="D754" s="93"/>
      <c r="E754" s="94"/>
      <c r="F754" s="95"/>
      <c r="G754" s="96"/>
    </row>
    <row r="755" ht="14.25" customHeight="1" spans="4:7">
      <c r="D755" s="93"/>
      <c r="E755" s="94"/>
      <c r="F755" s="95"/>
      <c r="G755" s="96"/>
    </row>
    <row r="756" ht="14.25" customHeight="1" spans="4:7">
      <c r="D756" s="93"/>
      <c r="E756" s="94"/>
      <c r="F756" s="95"/>
      <c r="G756" s="96"/>
    </row>
    <row r="757" ht="14.25" customHeight="1" spans="4:7">
      <c r="D757" s="93"/>
      <c r="E757" s="94"/>
      <c r="F757" s="95"/>
      <c r="G757" s="96"/>
    </row>
    <row r="758" ht="14.25" customHeight="1" spans="4:7">
      <c r="D758" s="93"/>
      <c r="E758" s="94"/>
      <c r="F758" s="95"/>
      <c r="G758" s="96"/>
    </row>
    <row r="759" ht="14.25" customHeight="1" spans="4:7">
      <c r="D759" s="93"/>
      <c r="E759" s="94"/>
      <c r="F759" s="95"/>
      <c r="G759" s="96"/>
    </row>
    <row r="760" ht="14.25" customHeight="1" spans="4:7">
      <c r="D760" s="93"/>
      <c r="E760" s="94"/>
      <c r="F760" s="95"/>
      <c r="G760" s="96"/>
    </row>
    <row r="761" ht="14.25" customHeight="1" spans="4:7">
      <c r="D761" s="93"/>
      <c r="E761" s="94"/>
      <c r="F761" s="95"/>
      <c r="G761" s="96"/>
    </row>
    <row r="762" ht="14.25" customHeight="1" spans="4:7">
      <c r="D762" s="93"/>
      <c r="E762" s="94"/>
      <c r="F762" s="95"/>
      <c r="G762" s="96"/>
    </row>
    <row r="763" ht="14.25" customHeight="1" spans="4:7">
      <c r="D763" s="93"/>
      <c r="E763" s="94"/>
      <c r="F763" s="95"/>
      <c r="G763" s="96"/>
    </row>
    <row r="764" ht="14.25" customHeight="1" spans="4:7">
      <c r="D764" s="93"/>
      <c r="E764" s="94"/>
      <c r="F764" s="95"/>
      <c r="G764" s="96"/>
    </row>
    <row r="765" ht="14.25" customHeight="1" spans="4:7">
      <c r="D765" s="93"/>
      <c r="E765" s="94"/>
      <c r="F765" s="95"/>
      <c r="G765" s="96"/>
    </row>
    <row r="766" ht="14.25" customHeight="1" spans="4:7">
      <c r="D766" s="93"/>
      <c r="E766" s="94"/>
      <c r="F766" s="95"/>
      <c r="G766" s="96"/>
    </row>
    <row r="767" ht="14.25" customHeight="1" spans="4:7">
      <c r="D767" s="93"/>
      <c r="E767" s="94"/>
      <c r="F767" s="95"/>
      <c r="G767" s="96"/>
    </row>
    <row r="768" ht="14.25" customHeight="1" spans="4:7">
      <c r="D768" s="93"/>
      <c r="E768" s="94"/>
      <c r="F768" s="95"/>
      <c r="G768" s="96"/>
    </row>
    <row r="769" ht="14.25" customHeight="1" spans="4:7">
      <c r="D769" s="93"/>
      <c r="E769" s="94"/>
      <c r="F769" s="95"/>
      <c r="G769" s="96"/>
    </row>
    <row r="770" ht="14.25" customHeight="1" spans="4:7">
      <c r="D770" s="93"/>
      <c r="E770" s="94"/>
      <c r="F770" s="95"/>
      <c r="G770" s="96"/>
    </row>
    <row r="771" ht="14.25" customHeight="1" spans="4:7">
      <c r="D771" s="93"/>
      <c r="E771" s="94"/>
      <c r="F771" s="95"/>
      <c r="G771" s="96"/>
    </row>
    <row r="772" ht="14.25" customHeight="1" spans="4:7">
      <c r="D772" s="93"/>
      <c r="E772" s="94"/>
      <c r="F772" s="95"/>
      <c r="G772" s="96"/>
    </row>
    <row r="773" ht="14.25" customHeight="1" spans="4:7">
      <c r="D773" s="93"/>
      <c r="E773" s="94"/>
      <c r="F773" s="95"/>
      <c r="G773" s="96"/>
    </row>
    <row r="774" ht="14.25" customHeight="1" spans="4:7">
      <c r="D774" s="93"/>
      <c r="E774" s="94"/>
      <c r="F774" s="95"/>
      <c r="G774" s="96"/>
    </row>
    <row r="775" ht="14.25" customHeight="1" spans="4:7">
      <c r="D775" s="93"/>
      <c r="E775" s="94"/>
      <c r="F775" s="95"/>
      <c r="G775" s="96"/>
    </row>
    <row r="776" ht="14.25" customHeight="1" spans="4:7">
      <c r="D776" s="93"/>
      <c r="E776" s="94"/>
      <c r="F776" s="95"/>
      <c r="G776" s="96"/>
    </row>
    <row r="777" ht="14.25" customHeight="1" spans="4:7">
      <c r="D777" s="93"/>
      <c r="E777" s="94"/>
      <c r="F777" s="95"/>
      <c r="G777" s="96"/>
    </row>
    <row r="778" ht="14.25" customHeight="1" spans="4:7">
      <c r="D778" s="93"/>
      <c r="E778" s="94"/>
      <c r="F778" s="95"/>
      <c r="G778" s="96"/>
    </row>
    <row r="779" ht="14.25" customHeight="1" spans="4:7">
      <c r="D779" s="93"/>
      <c r="E779" s="94"/>
      <c r="F779" s="95"/>
      <c r="G779" s="96"/>
    </row>
    <row r="780" ht="14.25" customHeight="1" spans="4:7">
      <c r="D780" s="93"/>
      <c r="E780" s="94"/>
      <c r="F780" s="95"/>
      <c r="G780" s="96"/>
    </row>
    <row r="781" ht="14.25" customHeight="1" spans="4:7">
      <c r="D781" s="93"/>
      <c r="E781" s="94"/>
      <c r="F781" s="95"/>
      <c r="G781" s="96"/>
    </row>
    <row r="782" ht="14.25" customHeight="1" spans="4:7">
      <c r="D782" s="93"/>
      <c r="E782" s="94"/>
      <c r="F782" s="95"/>
      <c r="G782" s="96"/>
    </row>
    <row r="783" ht="14.25" customHeight="1" spans="4:7">
      <c r="D783" s="93"/>
      <c r="E783" s="94"/>
      <c r="F783" s="95"/>
      <c r="G783" s="96"/>
    </row>
    <row r="784" ht="14.25" customHeight="1" spans="4:7">
      <c r="D784" s="93"/>
      <c r="E784" s="94"/>
      <c r="F784" s="95"/>
      <c r="G784" s="96"/>
    </row>
    <row r="785" ht="14.25" customHeight="1" spans="4:7">
      <c r="D785" s="93"/>
      <c r="E785" s="94"/>
      <c r="F785" s="95"/>
      <c r="G785" s="96"/>
    </row>
    <row r="786" ht="14.25" customHeight="1" spans="4:7">
      <c r="D786" s="93"/>
      <c r="E786" s="94"/>
      <c r="F786" s="95"/>
      <c r="G786" s="96"/>
    </row>
    <row r="787" ht="14.25" customHeight="1" spans="4:7">
      <c r="D787" s="93"/>
      <c r="E787" s="94"/>
      <c r="F787" s="95"/>
      <c r="G787" s="96"/>
    </row>
    <row r="788" ht="14.25" customHeight="1" spans="4:7">
      <c r="D788" s="93"/>
      <c r="E788" s="94"/>
      <c r="F788" s="95"/>
      <c r="G788" s="96"/>
    </row>
    <row r="789" ht="14.25" customHeight="1" spans="4:7">
      <c r="D789" s="93"/>
      <c r="E789" s="94"/>
      <c r="F789" s="95"/>
      <c r="G789" s="96"/>
    </row>
    <row r="790" ht="14.25" customHeight="1" spans="4:7">
      <c r="D790" s="93"/>
      <c r="E790" s="94"/>
      <c r="F790" s="95"/>
      <c r="G790" s="96"/>
    </row>
    <row r="791" ht="14.25" customHeight="1" spans="4:7">
      <c r="D791" s="93"/>
      <c r="E791" s="94"/>
      <c r="F791" s="95"/>
      <c r="G791" s="96"/>
    </row>
    <row r="792" ht="14.25" customHeight="1" spans="4:7">
      <c r="D792" s="93"/>
      <c r="E792" s="94"/>
      <c r="F792" s="95"/>
      <c r="G792" s="96"/>
    </row>
    <row r="793" ht="14.25" customHeight="1" spans="4:7">
      <c r="D793" s="93"/>
      <c r="E793" s="94"/>
      <c r="F793" s="95"/>
      <c r="G793" s="96"/>
    </row>
    <row r="794" ht="14.25" customHeight="1" spans="4:7">
      <c r="D794" s="93"/>
      <c r="E794" s="94"/>
      <c r="F794" s="95"/>
      <c r="G794" s="96"/>
    </row>
    <row r="795" ht="14.25" customHeight="1" spans="4:7">
      <c r="D795" s="93"/>
      <c r="E795" s="94"/>
      <c r="F795" s="95"/>
      <c r="G795" s="96"/>
    </row>
    <row r="796" ht="14.25" customHeight="1" spans="4:7">
      <c r="D796" s="93"/>
      <c r="E796" s="94"/>
      <c r="F796" s="95"/>
      <c r="G796" s="96"/>
    </row>
    <row r="797" ht="14.25" customHeight="1" spans="4:7">
      <c r="D797" s="93"/>
      <c r="E797" s="94"/>
      <c r="F797" s="95"/>
      <c r="G797" s="96"/>
    </row>
    <row r="798" ht="14.25" customHeight="1" spans="4:7">
      <c r="D798" s="93"/>
      <c r="E798" s="94"/>
      <c r="F798" s="95"/>
      <c r="G798" s="96"/>
    </row>
    <row r="799" ht="14.25" customHeight="1" spans="4:7">
      <c r="D799" s="93"/>
      <c r="E799" s="94"/>
      <c r="F799" s="95"/>
      <c r="G799" s="96"/>
    </row>
    <row r="800" ht="14.25" customHeight="1" spans="4:7">
      <c r="D800" s="93"/>
      <c r="E800" s="94"/>
      <c r="F800" s="95"/>
      <c r="G800" s="96"/>
    </row>
    <row r="801" ht="14.25" customHeight="1" spans="4:7">
      <c r="D801" s="93"/>
      <c r="E801" s="94"/>
      <c r="F801" s="95"/>
      <c r="G801" s="96"/>
    </row>
    <row r="802" ht="14.25" customHeight="1" spans="4:7">
      <c r="D802" s="93"/>
      <c r="E802" s="94"/>
      <c r="F802" s="95"/>
      <c r="G802" s="96"/>
    </row>
    <row r="803" ht="14.25" customHeight="1" spans="4:7">
      <c r="D803" s="93"/>
      <c r="E803" s="94"/>
      <c r="F803" s="95"/>
      <c r="G803" s="96"/>
    </row>
    <row r="804" ht="14.25" customHeight="1" spans="4:7">
      <c r="D804" s="93"/>
      <c r="E804" s="94"/>
      <c r="F804" s="95"/>
      <c r="G804" s="96"/>
    </row>
    <row r="805" ht="14.25" customHeight="1" spans="4:7">
      <c r="D805" s="93"/>
      <c r="E805" s="94"/>
      <c r="F805" s="95"/>
      <c r="G805" s="96"/>
    </row>
    <row r="806" ht="14.25" customHeight="1" spans="4:7">
      <c r="D806" s="93"/>
      <c r="E806" s="94"/>
      <c r="F806" s="95"/>
      <c r="G806" s="96"/>
    </row>
    <row r="807" ht="14.25" customHeight="1" spans="4:7">
      <c r="D807" s="93"/>
      <c r="E807" s="94"/>
      <c r="F807" s="95"/>
      <c r="G807" s="96"/>
    </row>
    <row r="808" ht="14.25" customHeight="1" spans="4:7">
      <c r="D808" s="93"/>
      <c r="E808" s="94"/>
      <c r="F808" s="95"/>
      <c r="G808" s="96"/>
    </row>
    <row r="809" ht="14.25" customHeight="1" spans="4:7">
      <c r="D809" s="93"/>
      <c r="E809" s="94"/>
      <c r="F809" s="95"/>
      <c r="G809" s="96"/>
    </row>
    <row r="810" ht="14.25" customHeight="1" spans="4:7">
      <c r="D810" s="93"/>
      <c r="E810" s="94"/>
      <c r="F810" s="95"/>
      <c r="G810" s="96"/>
    </row>
    <row r="811" ht="14.25" customHeight="1" spans="4:7">
      <c r="D811" s="93"/>
      <c r="E811" s="94"/>
      <c r="F811" s="95"/>
      <c r="G811" s="96"/>
    </row>
    <row r="812" ht="14.25" customHeight="1" spans="4:7">
      <c r="D812" s="93"/>
      <c r="E812" s="94"/>
      <c r="F812" s="95"/>
      <c r="G812" s="96"/>
    </row>
    <row r="813" ht="14.25" customHeight="1" spans="4:7">
      <c r="D813" s="93"/>
      <c r="E813" s="94"/>
      <c r="F813" s="95"/>
      <c r="G813" s="96"/>
    </row>
    <row r="814" ht="14.25" customHeight="1" spans="4:7">
      <c r="D814" s="93"/>
      <c r="E814" s="94"/>
      <c r="F814" s="95"/>
      <c r="G814" s="96"/>
    </row>
    <row r="815" ht="14.25" customHeight="1" spans="4:7">
      <c r="D815" s="93"/>
      <c r="E815" s="94"/>
      <c r="F815" s="95"/>
      <c r="G815" s="96"/>
    </row>
    <row r="816" ht="14.25" customHeight="1" spans="4:7">
      <c r="D816" s="93"/>
      <c r="E816" s="94"/>
      <c r="F816" s="95"/>
      <c r="G816" s="96"/>
    </row>
    <row r="817" ht="14.25" customHeight="1" spans="4:7">
      <c r="D817" s="93"/>
      <c r="E817" s="94"/>
      <c r="F817" s="95"/>
      <c r="G817" s="96"/>
    </row>
    <row r="818" ht="14.25" customHeight="1" spans="4:7">
      <c r="D818" s="93"/>
      <c r="E818" s="94"/>
      <c r="F818" s="95"/>
      <c r="G818" s="96"/>
    </row>
    <row r="819" ht="14.25" customHeight="1" spans="4:7">
      <c r="D819" s="93"/>
      <c r="E819" s="94"/>
      <c r="F819" s="95"/>
      <c r="G819" s="96"/>
    </row>
    <row r="820" ht="14.25" customHeight="1" spans="4:7">
      <c r="D820" s="93"/>
      <c r="E820" s="94"/>
      <c r="F820" s="95"/>
      <c r="G820" s="96"/>
    </row>
    <row r="821" ht="14.25" customHeight="1" spans="4:7">
      <c r="D821" s="93"/>
      <c r="E821" s="94"/>
      <c r="F821" s="95"/>
      <c r="G821" s="96"/>
    </row>
    <row r="822" ht="14.25" customHeight="1" spans="4:7">
      <c r="D822" s="93"/>
      <c r="E822" s="94"/>
      <c r="F822" s="95"/>
      <c r="G822" s="96"/>
    </row>
    <row r="823" ht="14.25" customHeight="1" spans="4:7">
      <c r="D823" s="93"/>
      <c r="E823" s="94"/>
      <c r="F823" s="95"/>
      <c r="G823" s="96"/>
    </row>
    <row r="824" ht="14.25" customHeight="1" spans="4:7">
      <c r="D824" s="93"/>
      <c r="E824" s="94"/>
      <c r="F824" s="95"/>
      <c r="G824" s="96"/>
    </row>
    <row r="825" ht="14.25" customHeight="1" spans="4:7">
      <c r="D825" s="93"/>
      <c r="E825" s="94"/>
      <c r="F825" s="95"/>
      <c r="G825" s="96"/>
    </row>
    <row r="826" ht="14.25" customHeight="1" spans="4:7">
      <c r="D826" s="93"/>
      <c r="E826" s="94"/>
      <c r="F826" s="95"/>
      <c r="G826" s="96"/>
    </row>
    <row r="827" ht="14.25" customHeight="1" spans="4:7">
      <c r="D827" s="93"/>
      <c r="E827" s="94"/>
      <c r="F827" s="95"/>
      <c r="G827" s="96"/>
    </row>
    <row r="828" ht="14.25" customHeight="1" spans="4:7">
      <c r="D828" s="93"/>
      <c r="E828" s="94"/>
      <c r="F828" s="95"/>
      <c r="G828" s="96"/>
    </row>
    <row r="829" ht="14.25" customHeight="1" spans="4:7">
      <c r="D829" s="93"/>
      <c r="E829" s="94"/>
      <c r="F829" s="95"/>
      <c r="G829" s="96"/>
    </row>
    <row r="830" ht="14.25" customHeight="1" spans="4:7">
      <c r="D830" s="93"/>
      <c r="E830" s="94"/>
      <c r="F830" s="95"/>
      <c r="G830" s="96"/>
    </row>
    <row r="831" ht="14.25" customHeight="1" spans="4:7">
      <c r="D831" s="93"/>
      <c r="E831" s="94"/>
      <c r="F831" s="95"/>
      <c r="G831" s="96"/>
    </row>
    <row r="832" ht="14.25" customHeight="1" spans="4:7">
      <c r="D832" s="93"/>
      <c r="E832" s="94"/>
      <c r="F832" s="95"/>
      <c r="G832" s="96"/>
    </row>
    <row r="833" ht="14.25" customHeight="1" spans="4:7">
      <c r="D833" s="93"/>
      <c r="E833" s="94"/>
      <c r="F833" s="95"/>
      <c r="G833" s="96"/>
    </row>
    <row r="834" ht="14.25" customHeight="1" spans="4:7">
      <c r="D834" s="93"/>
      <c r="E834" s="94"/>
      <c r="F834" s="95"/>
      <c r="G834" s="96"/>
    </row>
    <row r="835" ht="14.25" customHeight="1" spans="4:7">
      <c r="D835" s="93"/>
      <c r="E835" s="94"/>
      <c r="F835" s="95"/>
      <c r="G835" s="96"/>
    </row>
    <row r="836" ht="14.25" customHeight="1" spans="4:7">
      <c r="D836" s="93"/>
      <c r="E836" s="94"/>
      <c r="F836" s="95"/>
      <c r="G836" s="96"/>
    </row>
    <row r="837" ht="14.25" customHeight="1" spans="4:7">
      <c r="D837" s="93"/>
      <c r="E837" s="94"/>
      <c r="F837" s="95"/>
      <c r="G837" s="96"/>
    </row>
    <row r="838" ht="14.25" customHeight="1" spans="4:7">
      <c r="D838" s="93"/>
      <c r="E838" s="94"/>
      <c r="F838" s="95"/>
      <c r="G838" s="96"/>
    </row>
    <row r="839" ht="14.25" customHeight="1" spans="4:7">
      <c r="D839" s="93"/>
      <c r="E839" s="94"/>
      <c r="F839" s="95"/>
      <c r="G839" s="96"/>
    </row>
    <row r="840" ht="14.25" customHeight="1" spans="4:7">
      <c r="D840" s="93"/>
      <c r="E840" s="94"/>
      <c r="F840" s="95"/>
      <c r="G840" s="96"/>
    </row>
    <row r="841" ht="14.25" customHeight="1" spans="4:7">
      <c r="D841" s="93"/>
      <c r="E841" s="94"/>
      <c r="F841" s="95"/>
      <c r="G841" s="96"/>
    </row>
    <row r="842" ht="14.25" customHeight="1" spans="4:7">
      <c r="D842" s="93"/>
      <c r="E842" s="94"/>
      <c r="F842" s="95"/>
      <c r="G842" s="96"/>
    </row>
    <row r="843" ht="14.25" customHeight="1" spans="4:7">
      <c r="D843" s="93"/>
      <c r="E843" s="94"/>
      <c r="F843" s="95"/>
      <c r="G843" s="96"/>
    </row>
    <row r="844" ht="14.25" customHeight="1" spans="4:7">
      <c r="D844" s="93"/>
      <c r="E844" s="94"/>
      <c r="F844" s="95"/>
      <c r="G844" s="96"/>
    </row>
    <row r="845" ht="14.25" customHeight="1" spans="4:7">
      <c r="D845" s="93"/>
      <c r="E845" s="94"/>
      <c r="F845" s="95"/>
      <c r="G845" s="96"/>
    </row>
    <row r="846" ht="14.25" customHeight="1" spans="4:7">
      <c r="D846" s="93"/>
      <c r="E846" s="94"/>
      <c r="F846" s="95"/>
      <c r="G846" s="96"/>
    </row>
    <row r="847" ht="14.25" customHeight="1" spans="4:7">
      <c r="D847" s="93"/>
      <c r="E847" s="94"/>
      <c r="F847" s="95"/>
      <c r="G847" s="96"/>
    </row>
    <row r="848" ht="14.25" customHeight="1" spans="4:7">
      <c r="D848" s="93"/>
      <c r="E848" s="94"/>
      <c r="F848" s="95"/>
      <c r="G848" s="96"/>
    </row>
    <row r="849" ht="14.25" customHeight="1" spans="4:7">
      <c r="D849" s="93"/>
      <c r="E849" s="94"/>
      <c r="F849" s="95"/>
      <c r="G849" s="96"/>
    </row>
    <row r="850" ht="14.25" customHeight="1" spans="4:7">
      <c r="D850" s="93"/>
      <c r="E850" s="94"/>
      <c r="F850" s="95"/>
      <c r="G850" s="96"/>
    </row>
    <row r="851" ht="14.25" customHeight="1" spans="4:7">
      <c r="D851" s="93"/>
      <c r="E851" s="94"/>
      <c r="F851" s="95"/>
      <c r="G851" s="96"/>
    </row>
    <row r="852" ht="14.25" customHeight="1" spans="4:7">
      <c r="D852" s="93"/>
      <c r="E852" s="94"/>
      <c r="F852" s="95"/>
      <c r="G852" s="96"/>
    </row>
    <row r="853" ht="14.25" customHeight="1" spans="4:7">
      <c r="D853" s="93"/>
      <c r="E853" s="94"/>
      <c r="F853" s="95"/>
      <c r="G853" s="96"/>
    </row>
    <row r="854" ht="14.25" customHeight="1" spans="4:7">
      <c r="D854" s="93"/>
      <c r="E854" s="94"/>
      <c r="F854" s="95"/>
      <c r="G854" s="96"/>
    </row>
    <row r="855" ht="14.25" customHeight="1" spans="4:7">
      <c r="D855" s="93"/>
      <c r="E855" s="94"/>
      <c r="F855" s="95"/>
      <c r="G855" s="96"/>
    </row>
    <row r="856" ht="14.25" customHeight="1" spans="4:7">
      <c r="D856" s="93"/>
      <c r="E856" s="94"/>
      <c r="F856" s="95"/>
      <c r="G856" s="96"/>
    </row>
    <row r="857" ht="14.25" customHeight="1" spans="4:7">
      <c r="D857" s="93"/>
      <c r="E857" s="94"/>
      <c r="F857" s="95"/>
      <c r="G857" s="96"/>
    </row>
    <row r="858" ht="14.25" customHeight="1" spans="4:7">
      <c r="D858" s="93"/>
      <c r="E858" s="94"/>
      <c r="F858" s="95"/>
      <c r="G858" s="96"/>
    </row>
    <row r="859" ht="14.25" customHeight="1" spans="4:7">
      <c r="D859" s="93"/>
      <c r="E859" s="94"/>
      <c r="F859" s="95"/>
      <c r="G859" s="96"/>
    </row>
    <row r="860" ht="14.25" customHeight="1" spans="4:7">
      <c r="D860" s="93"/>
      <c r="E860" s="94"/>
      <c r="F860" s="95"/>
      <c r="G860" s="96"/>
    </row>
    <row r="861" ht="14.25" customHeight="1" spans="4:7">
      <c r="D861" s="93"/>
      <c r="E861" s="94"/>
      <c r="F861" s="95"/>
      <c r="G861" s="96"/>
    </row>
    <row r="862" ht="14.25" customHeight="1" spans="4:7">
      <c r="D862" s="93"/>
      <c r="E862" s="94"/>
      <c r="F862" s="95"/>
      <c r="G862" s="96"/>
    </row>
    <row r="863" ht="14.25" customHeight="1" spans="4:7">
      <c r="D863" s="93"/>
      <c r="E863" s="94"/>
      <c r="F863" s="95"/>
      <c r="G863" s="96"/>
    </row>
    <row r="864" ht="14.25" customHeight="1" spans="4:7">
      <c r="D864" s="93"/>
      <c r="E864" s="94"/>
      <c r="F864" s="95"/>
      <c r="G864" s="96"/>
    </row>
    <row r="865" ht="14.25" customHeight="1" spans="4:7">
      <c r="D865" s="93"/>
      <c r="E865" s="94"/>
      <c r="F865" s="95"/>
      <c r="G865" s="96"/>
    </row>
    <row r="866" ht="14.25" customHeight="1" spans="4:7">
      <c r="D866" s="93"/>
      <c r="E866" s="94"/>
      <c r="F866" s="95"/>
      <c r="G866" s="96"/>
    </row>
    <row r="867" ht="14.25" customHeight="1" spans="4:7">
      <c r="D867" s="93"/>
      <c r="E867" s="94"/>
      <c r="F867" s="95"/>
      <c r="G867" s="96"/>
    </row>
    <row r="868" ht="14.25" customHeight="1" spans="4:7">
      <c r="D868" s="93"/>
      <c r="E868" s="94"/>
      <c r="F868" s="95"/>
      <c r="G868" s="96"/>
    </row>
    <row r="869" ht="14.25" customHeight="1" spans="4:7">
      <c r="D869" s="93"/>
      <c r="E869" s="94"/>
      <c r="F869" s="95"/>
      <c r="G869" s="96"/>
    </row>
    <row r="870" ht="14.25" customHeight="1" spans="4:7">
      <c r="D870" s="93"/>
      <c r="E870" s="94"/>
      <c r="F870" s="95"/>
      <c r="G870" s="96"/>
    </row>
    <row r="871" ht="14.25" customHeight="1" spans="4:7">
      <c r="D871" s="93"/>
      <c r="E871" s="94"/>
      <c r="F871" s="95"/>
      <c r="G871" s="96"/>
    </row>
    <row r="872" ht="14.25" customHeight="1" spans="4:7">
      <c r="D872" s="93"/>
      <c r="E872" s="94"/>
      <c r="F872" s="95"/>
      <c r="G872" s="96"/>
    </row>
    <row r="873" ht="14.25" customHeight="1" spans="4:7">
      <c r="D873" s="93"/>
      <c r="E873" s="94"/>
      <c r="F873" s="95"/>
      <c r="G873" s="96"/>
    </row>
    <row r="874" ht="14.25" customHeight="1" spans="4:7">
      <c r="D874" s="93"/>
      <c r="E874" s="94"/>
      <c r="F874" s="95"/>
      <c r="G874" s="96"/>
    </row>
    <row r="875" ht="14.25" customHeight="1" spans="4:7">
      <c r="D875" s="93"/>
      <c r="E875" s="94"/>
      <c r="F875" s="95"/>
      <c r="G875" s="96"/>
    </row>
    <row r="876" ht="14.25" customHeight="1" spans="4:7">
      <c r="D876" s="93"/>
      <c r="E876" s="94"/>
      <c r="F876" s="95"/>
      <c r="G876" s="96"/>
    </row>
    <row r="877" ht="14.25" customHeight="1" spans="4:7">
      <c r="D877" s="93"/>
      <c r="E877" s="94"/>
      <c r="F877" s="95"/>
      <c r="G877" s="96"/>
    </row>
    <row r="878" ht="14.25" customHeight="1" spans="4:7">
      <c r="D878" s="93"/>
      <c r="E878" s="94"/>
      <c r="F878" s="95"/>
      <c r="G878" s="96"/>
    </row>
    <row r="879" ht="14.25" customHeight="1" spans="4:7">
      <c r="D879" s="93"/>
      <c r="E879" s="94"/>
      <c r="F879" s="95"/>
      <c r="G879" s="96"/>
    </row>
    <row r="880" ht="14.25" customHeight="1" spans="4:7">
      <c r="D880" s="93"/>
      <c r="E880" s="94"/>
      <c r="F880" s="95"/>
      <c r="G880" s="96"/>
    </row>
    <row r="881" ht="14.25" customHeight="1" spans="4:7">
      <c r="D881" s="93"/>
      <c r="E881" s="94"/>
      <c r="F881" s="95"/>
      <c r="G881" s="96"/>
    </row>
    <row r="882" ht="14.25" customHeight="1" spans="4:7">
      <c r="D882" s="93"/>
      <c r="E882" s="94"/>
      <c r="F882" s="95"/>
      <c r="G882" s="96"/>
    </row>
    <row r="883" ht="14.25" customHeight="1" spans="4:7">
      <c r="D883" s="93"/>
      <c r="E883" s="94"/>
      <c r="F883" s="95"/>
      <c r="G883" s="96"/>
    </row>
    <row r="884" ht="14.25" customHeight="1" spans="4:7">
      <c r="D884" s="93"/>
      <c r="E884" s="94"/>
      <c r="F884" s="95"/>
      <c r="G884" s="96"/>
    </row>
    <row r="885" ht="14.25" customHeight="1" spans="4:7">
      <c r="D885" s="93"/>
      <c r="E885" s="94"/>
      <c r="F885" s="95"/>
      <c r="G885" s="96"/>
    </row>
    <row r="886" ht="14.25" customHeight="1" spans="4:7">
      <c r="D886" s="93"/>
      <c r="E886" s="94"/>
      <c r="F886" s="95"/>
      <c r="G886" s="96"/>
    </row>
    <row r="887" ht="14.25" customHeight="1" spans="4:7">
      <c r="D887" s="93"/>
      <c r="E887" s="94"/>
      <c r="F887" s="95"/>
      <c r="G887" s="96"/>
    </row>
    <row r="888" ht="14.25" customHeight="1" spans="4:7">
      <c r="D888" s="93"/>
      <c r="E888" s="94"/>
      <c r="F888" s="95"/>
      <c r="G888" s="96"/>
    </row>
    <row r="889" ht="14.25" customHeight="1" spans="4:7">
      <c r="D889" s="93"/>
      <c r="E889" s="94"/>
      <c r="F889" s="95"/>
      <c r="G889" s="96"/>
    </row>
    <row r="890" ht="14.25" customHeight="1" spans="4:7">
      <c r="D890" s="93"/>
      <c r="E890" s="94"/>
      <c r="F890" s="95"/>
      <c r="G890" s="96"/>
    </row>
    <row r="891" ht="14.25" customHeight="1" spans="4:7">
      <c r="D891" s="93"/>
      <c r="E891" s="94"/>
      <c r="F891" s="95"/>
      <c r="G891" s="96"/>
    </row>
    <row r="892" ht="14.25" customHeight="1" spans="4:7">
      <c r="D892" s="93"/>
      <c r="E892" s="94"/>
      <c r="F892" s="95"/>
      <c r="G892" s="96"/>
    </row>
    <row r="893" ht="14.25" customHeight="1" spans="4:7">
      <c r="D893" s="93"/>
      <c r="E893" s="94"/>
      <c r="F893" s="95"/>
      <c r="G893" s="96"/>
    </row>
    <row r="894" ht="14.25" customHeight="1" spans="4:7">
      <c r="D894" s="93"/>
      <c r="E894" s="94"/>
      <c r="F894" s="95"/>
      <c r="G894" s="96"/>
    </row>
    <row r="895" ht="14.25" customHeight="1" spans="4:7">
      <c r="D895" s="93"/>
      <c r="E895" s="94"/>
      <c r="F895" s="95"/>
      <c r="G895" s="96"/>
    </row>
    <row r="896" ht="14.25" customHeight="1" spans="4:7">
      <c r="D896" s="93"/>
      <c r="E896" s="94"/>
      <c r="F896" s="95"/>
      <c r="G896" s="96"/>
    </row>
    <row r="897" ht="14.25" customHeight="1" spans="4:7">
      <c r="D897" s="93"/>
      <c r="E897" s="94"/>
      <c r="F897" s="95"/>
      <c r="G897" s="96"/>
    </row>
    <row r="898" ht="14.25" customHeight="1" spans="4:7">
      <c r="D898" s="93"/>
      <c r="E898" s="94"/>
      <c r="F898" s="95"/>
      <c r="G898" s="96"/>
    </row>
    <row r="899" ht="14.25" customHeight="1" spans="4:7">
      <c r="D899" s="93"/>
      <c r="E899" s="94"/>
      <c r="F899" s="95"/>
      <c r="G899" s="96"/>
    </row>
    <row r="900" ht="14.25" customHeight="1" spans="4:7">
      <c r="D900" s="93"/>
      <c r="E900" s="94"/>
      <c r="F900" s="95"/>
      <c r="G900" s="96"/>
    </row>
    <row r="901" ht="14.25" customHeight="1" spans="4:7">
      <c r="D901" s="93"/>
      <c r="E901" s="94"/>
      <c r="F901" s="95"/>
      <c r="G901" s="96"/>
    </row>
    <row r="902" ht="14.25" customHeight="1" spans="4:7">
      <c r="D902" s="93"/>
      <c r="E902" s="94"/>
      <c r="F902" s="95"/>
      <c r="G902" s="96"/>
    </row>
    <row r="903" ht="14.25" customHeight="1" spans="4:7">
      <c r="D903" s="93"/>
      <c r="E903" s="94"/>
      <c r="F903" s="95"/>
      <c r="G903" s="96"/>
    </row>
    <row r="904" ht="14.25" customHeight="1" spans="4:7">
      <c r="D904" s="93"/>
      <c r="E904" s="94"/>
      <c r="F904" s="95"/>
      <c r="G904" s="96"/>
    </row>
    <row r="905" ht="14.25" customHeight="1" spans="4:7">
      <c r="D905" s="93"/>
      <c r="E905" s="94"/>
      <c r="F905" s="95"/>
      <c r="G905" s="96"/>
    </row>
    <row r="906" ht="14.25" customHeight="1" spans="4:7">
      <c r="D906" s="93"/>
      <c r="E906" s="94"/>
      <c r="F906" s="95"/>
      <c r="G906" s="96"/>
    </row>
    <row r="907" ht="14.25" customHeight="1" spans="4:7">
      <c r="D907" s="93"/>
      <c r="E907" s="94"/>
      <c r="F907" s="95"/>
      <c r="G907" s="96"/>
    </row>
    <row r="908" ht="14.25" customHeight="1" spans="4:7">
      <c r="D908" s="93"/>
      <c r="E908" s="94"/>
      <c r="F908" s="95"/>
      <c r="G908" s="96"/>
    </row>
    <row r="909" ht="14.25" customHeight="1" spans="4:7">
      <c r="D909" s="93"/>
      <c r="E909" s="94"/>
      <c r="F909" s="95"/>
      <c r="G909" s="96"/>
    </row>
    <row r="910" ht="14.25" customHeight="1" spans="4:7">
      <c r="D910" s="93"/>
      <c r="E910" s="94"/>
      <c r="F910" s="95"/>
      <c r="G910" s="96"/>
    </row>
    <row r="911" ht="14.25" customHeight="1" spans="4:7">
      <c r="D911" s="93"/>
      <c r="E911" s="94"/>
      <c r="F911" s="95"/>
      <c r="G911" s="96"/>
    </row>
    <row r="912" ht="14.25" customHeight="1" spans="4:7">
      <c r="D912" s="93"/>
      <c r="E912" s="94"/>
      <c r="F912" s="95"/>
      <c r="G912" s="96"/>
    </row>
    <row r="913" ht="14.25" customHeight="1" spans="4:7">
      <c r="D913" s="93"/>
      <c r="E913" s="94"/>
      <c r="F913" s="95"/>
      <c r="G913" s="96"/>
    </row>
    <row r="914" ht="14.25" customHeight="1" spans="4:7">
      <c r="D914" s="93"/>
      <c r="E914" s="94"/>
      <c r="F914" s="95"/>
      <c r="G914" s="96"/>
    </row>
    <row r="915" ht="14.25" customHeight="1" spans="4:7">
      <c r="D915" s="93"/>
      <c r="E915" s="94"/>
      <c r="F915" s="95"/>
      <c r="G915" s="96"/>
    </row>
    <row r="916" ht="14.25" customHeight="1" spans="4:7">
      <c r="D916" s="93"/>
      <c r="E916" s="94"/>
      <c r="F916" s="95"/>
      <c r="G916" s="96"/>
    </row>
    <row r="917" ht="14.25" customHeight="1" spans="4:7">
      <c r="D917" s="93"/>
      <c r="E917" s="94"/>
      <c r="F917" s="95"/>
      <c r="G917" s="96"/>
    </row>
    <row r="918" ht="14.25" customHeight="1" spans="4:7">
      <c r="D918" s="93"/>
      <c r="E918" s="94"/>
      <c r="F918" s="95"/>
      <c r="G918" s="96"/>
    </row>
    <row r="919" ht="14.25" customHeight="1" spans="4:7">
      <c r="D919" s="93"/>
      <c r="E919" s="94"/>
      <c r="F919" s="95"/>
      <c r="G919" s="96"/>
    </row>
    <row r="920" ht="14.25" customHeight="1" spans="4:7">
      <c r="D920" s="93"/>
      <c r="E920" s="94"/>
      <c r="F920" s="95"/>
      <c r="G920" s="96"/>
    </row>
    <row r="921" ht="14.25" customHeight="1" spans="4:7">
      <c r="D921" s="93"/>
      <c r="E921" s="94"/>
      <c r="F921" s="95"/>
      <c r="G921" s="96"/>
    </row>
    <row r="922" ht="14.25" customHeight="1" spans="4:7">
      <c r="D922" s="93"/>
      <c r="E922" s="94"/>
      <c r="F922" s="95"/>
      <c r="G922" s="96"/>
    </row>
    <row r="923" ht="14.25" customHeight="1" spans="4:7">
      <c r="D923" s="93"/>
      <c r="E923" s="94"/>
      <c r="F923" s="95"/>
      <c r="G923" s="96"/>
    </row>
    <row r="924" ht="14.25" customHeight="1" spans="4:7">
      <c r="D924" s="93"/>
      <c r="E924" s="94"/>
      <c r="F924" s="95"/>
      <c r="G924" s="96"/>
    </row>
    <row r="925" ht="14.25" customHeight="1" spans="4:7">
      <c r="D925" s="93"/>
      <c r="E925" s="94"/>
      <c r="F925" s="95"/>
      <c r="G925" s="96"/>
    </row>
    <row r="926" ht="14.25" customHeight="1" spans="4:7">
      <c r="D926" s="93"/>
      <c r="E926" s="94"/>
      <c r="F926" s="95"/>
      <c r="G926" s="96"/>
    </row>
    <row r="927" ht="14.25" customHeight="1" spans="4:7">
      <c r="D927" s="93"/>
      <c r="E927" s="94"/>
      <c r="F927" s="95"/>
      <c r="G927" s="96"/>
    </row>
    <row r="928" ht="14.25" customHeight="1" spans="4:7">
      <c r="D928" s="93"/>
      <c r="E928" s="94"/>
      <c r="F928" s="95"/>
      <c r="G928" s="96"/>
    </row>
    <row r="929" ht="14.25" customHeight="1" spans="4:7">
      <c r="D929" s="93"/>
      <c r="E929" s="94"/>
      <c r="F929" s="95"/>
      <c r="G929" s="96"/>
    </row>
    <row r="930" ht="14.25" customHeight="1" spans="4:7">
      <c r="D930" s="93"/>
      <c r="E930" s="94"/>
      <c r="F930" s="95"/>
      <c r="G930" s="96"/>
    </row>
    <row r="931" ht="14.25" customHeight="1" spans="4:7">
      <c r="D931" s="93"/>
      <c r="E931" s="94"/>
      <c r="F931" s="95"/>
      <c r="G931" s="96"/>
    </row>
    <row r="932" ht="14.25" customHeight="1" spans="4:7">
      <c r="D932" s="93"/>
      <c r="E932" s="94"/>
      <c r="F932" s="95"/>
      <c r="G932" s="96"/>
    </row>
    <row r="933" ht="14.25" customHeight="1" spans="4:7">
      <c r="D933" s="93"/>
      <c r="E933" s="94"/>
      <c r="F933" s="95"/>
      <c r="G933" s="96"/>
    </row>
    <row r="934" ht="14.25" customHeight="1" spans="4:7">
      <c r="D934" s="93"/>
      <c r="E934" s="94"/>
      <c r="F934" s="95"/>
      <c r="G934" s="96"/>
    </row>
    <row r="935" ht="14.25" customHeight="1" spans="4:7">
      <c r="D935" s="93"/>
      <c r="E935" s="94"/>
      <c r="F935" s="95"/>
      <c r="G935" s="96"/>
    </row>
    <row r="936" ht="14.25" customHeight="1" spans="4:7">
      <c r="D936" s="93"/>
      <c r="E936" s="94"/>
      <c r="F936" s="95"/>
      <c r="G936" s="96"/>
    </row>
    <row r="937" ht="14.25" customHeight="1" spans="4:7">
      <c r="D937" s="93"/>
      <c r="E937" s="94"/>
      <c r="F937" s="95"/>
      <c r="G937" s="96"/>
    </row>
    <row r="938" ht="14.25" customHeight="1" spans="4:7">
      <c r="D938" s="93"/>
      <c r="E938" s="94"/>
      <c r="F938" s="95"/>
      <c r="G938" s="96"/>
    </row>
    <row r="939" ht="14.25" customHeight="1" spans="4:7">
      <c r="D939" s="93"/>
      <c r="E939" s="94"/>
      <c r="F939" s="95"/>
      <c r="G939" s="96"/>
    </row>
    <row r="940" ht="14.25" customHeight="1" spans="4:7">
      <c r="D940" s="93"/>
      <c r="E940" s="94"/>
      <c r="F940" s="95"/>
      <c r="G940" s="96"/>
    </row>
    <row r="941" ht="14.25" customHeight="1" spans="4:7">
      <c r="D941" s="93"/>
      <c r="E941" s="94"/>
      <c r="F941" s="95"/>
      <c r="G941" s="96"/>
    </row>
    <row r="942" ht="14.25" customHeight="1" spans="4:7">
      <c r="D942" s="93"/>
      <c r="E942" s="94"/>
      <c r="F942" s="95"/>
      <c r="G942" s="96"/>
    </row>
    <row r="943" ht="14.25" customHeight="1" spans="4:7">
      <c r="D943" s="93"/>
      <c r="E943" s="94"/>
      <c r="F943" s="95"/>
      <c r="G943" s="96"/>
    </row>
    <row r="944" ht="14.25" customHeight="1" spans="4:7">
      <c r="D944" s="93"/>
      <c r="E944" s="94"/>
      <c r="F944" s="95"/>
      <c r="G944" s="96"/>
    </row>
    <row r="945" ht="14.25" customHeight="1" spans="4:7">
      <c r="D945" s="93"/>
      <c r="E945" s="94"/>
      <c r="F945" s="95"/>
      <c r="G945" s="96"/>
    </row>
    <row r="946" ht="14.25" customHeight="1" spans="4:7">
      <c r="D946" s="93"/>
      <c r="E946" s="94"/>
      <c r="F946" s="95"/>
      <c r="G946" s="96"/>
    </row>
    <row r="947" ht="14.25" customHeight="1" spans="4:7">
      <c r="D947" s="93"/>
      <c r="E947" s="94"/>
      <c r="F947" s="95"/>
      <c r="G947" s="96"/>
    </row>
    <row r="948" ht="14.25" customHeight="1" spans="4:7">
      <c r="D948" s="93"/>
      <c r="E948" s="94"/>
      <c r="F948" s="95"/>
      <c r="G948" s="96"/>
    </row>
    <row r="949" ht="14.25" customHeight="1" spans="4:7">
      <c r="D949" s="93"/>
      <c r="E949" s="94"/>
      <c r="F949" s="95"/>
      <c r="G949" s="96"/>
    </row>
    <row r="950" ht="14.25" customHeight="1" spans="4:7">
      <c r="D950" s="93"/>
      <c r="E950" s="94"/>
      <c r="F950" s="95"/>
      <c r="G950" s="96"/>
    </row>
    <row r="951" ht="14.25" customHeight="1" spans="4:7">
      <c r="D951" s="93"/>
      <c r="E951" s="94"/>
      <c r="F951" s="95"/>
      <c r="G951" s="96"/>
    </row>
    <row r="952" ht="14.25" customHeight="1" spans="4:7">
      <c r="D952" s="93"/>
      <c r="E952" s="94"/>
      <c r="F952" s="95"/>
      <c r="G952" s="96"/>
    </row>
    <row r="953" ht="14.25" customHeight="1" spans="4:7">
      <c r="D953" s="93"/>
      <c r="E953" s="94"/>
      <c r="F953" s="95"/>
      <c r="G953" s="96"/>
    </row>
    <row r="954" ht="14.25" customHeight="1" spans="4:7">
      <c r="D954" s="93"/>
      <c r="E954" s="94"/>
      <c r="F954" s="95"/>
      <c r="G954" s="96"/>
    </row>
    <row r="955" ht="14.25" customHeight="1" spans="4:7">
      <c r="D955" s="93"/>
      <c r="E955" s="94"/>
      <c r="F955" s="95"/>
      <c r="G955" s="96"/>
    </row>
    <row r="956" ht="14.25" customHeight="1" spans="4:7">
      <c r="D956" s="93"/>
      <c r="E956" s="94"/>
      <c r="F956" s="95"/>
      <c r="G956" s="96"/>
    </row>
    <row r="957" ht="14.25" customHeight="1" spans="4:7">
      <c r="D957" s="93"/>
      <c r="E957" s="94"/>
      <c r="F957" s="95"/>
      <c r="G957" s="96"/>
    </row>
    <row r="958" ht="14.25" customHeight="1" spans="4:7">
      <c r="D958" s="93"/>
      <c r="E958" s="94"/>
      <c r="F958" s="95"/>
      <c r="G958" s="96"/>
    </row>
    <row r="959" ht="14.25" customHeight="1" spans="4:7">
      <c r="D959" s="93"/>
      <c r="E959" s="94"/>
      <c r="F959" s="95"/>
      <c r="G959" s="96"/>
    </row>
    <row r="960" ht="14.25" customHeight="1" spans="4:7">
      <c r="D960" s="93"/>
      <c r="E960" s="94"/>
      <c r="F960" s="95"/>
      <c r="G960" s="96"/>
    </row>
    <row r="961" ht="14.25" customHeight="1" spans="4:7">
      <c r="D961" s="93"/>
      <c r="E961" s="94"/>
      <c r="F961" s="95"/>
      <c r="G961" s="96"/>
    </row>
    <row r="962" ht="14.25" customHeight="1" spans="4:7">
      <c r="D962" s="93"/>
      <c r="E962" s="94"/>
      <c r="F962" s="95"/>
      <c r="G962" s="96"/>
    </row>
    <row r="963" ht="14.25" customHeight="1" spans="4:7">
      <c r="D963" s="93"/>
      <c r="E963" s="94"/>
      <c r="F963" s="95"/>
      <c r="G963" s="96"/>
    </row>
    <row r="964" ht="14.25" customHeight="1" spans="4:7">
      <c r="D964" s="93"/>
      <c r="E964" s="94"/>
      <c r="F964" s="95"/>
      <c r="G964" s="96"/>
    </row>
    <row r="965" ht="14.25" customHeight="1" spans="4:7">
      <c r="D965" s="93"/>
      <c r="E965" s="94"/>
      <c r="F965" s="95"/>
      <c r="G965" s="96"/>
    </row>
    <row r="966" ht="14.25" customHeight="1" spans="4:7">
      <c r="D966" s="93"/>
      <c r="E966" s="94"/>
      <c r="F966" s="95"/>
      <c r="G966" s="96"/>
    </row>
    <row r="967" ht="14.25" customHeight="1" spans="4:7">
      <c r="D967" s="93"/>
      <c r="E967" s="94"/>
      <c r="F967" s="95"/>
      <c r="G967" s="96"/>
    </row>
    <row r="968" ht="14.25" customHeight="1" spans="4:7">
      <c r="D968" s="93"/>
      <c r="E968" s="94"/>
      <c r="F968" s="95"/>
      <c r="G968" s="96"/>
    </row>
    <row r="969" ht="14.25" customHeight="1" spans="4:7">
      <c r="D969" s="93"/>
      <c r="E969" s="94"/>
      <c r="F969" s="95"/>
      <c r="G969" s="96"/>
    </row>
    <row r="970" ht="14.25" customHeight="1" spans="4:7">
      <c r="D970" s="93"/>
      <c r="E970" s="94"/>
      <c r="F970" s="95"/>
      <c r="G970" s="96"/>
    </row>
    <row r="971" ht="14.25" customHeight="1" spans="4:7">
      <c r="D971" s="93"/>
      <c r="E971" s="94"/>
      <c r="F971" s="95"/>
      <c r="G971" s="96"/>
    </row>
    <row r="972" ht="14.25" customHeight="1" spans="4:7">
      <c r="D972" s="93"/>
      <c r="E972" s="94"/>
      <c r="F972" s="95"/>
      <c r="G972" s="96"/>
    </row>
    <row r="973" ht="14.25" customHeight="1" spans="4:7">
      <c r="D973" s="93"/>
      <c r="E973" s="94"/>
      <c r="F973" s="95"/>
      <c r="G973" s="96"/>
    </row>
    <row r="974" ht="14.25" customHeight="1" spans="4:7">
      <c r="D974" s="93"/>
      <c r="E974" s="94"/>
      <c r="F974" s="95"/>
      <c r="G974" s="96"/>
    </row>
    <row r="975" ht="14.25" customHeight="1" spans="4:7">
      <c r="D975" s="93"/>
      <c r="E975" s="94"/>
      <c r="F975" s="95"/>
      <c r="G975" s="96"/>
    </row>
    <row r="976" ht="14.25" customHeight="1" spans="4:7">
      <c r="D976" s="93"/>
      <c r="E976" s="94"/>
      <c r="F976" s="95"/>
      <c r="G976" s="96"/>
    </row>
    <row r="977" ht="14.25" customHeight="1" spans="4:7">
      <c r="D977" s="93"/>
      <c r="E977" s="94"/>
      <c r="F977" s="95"/>
      <c r="G977" s="96"/>
    </row>
    <row r="978" ht="14.25" customHeight="1" spans="4:7">
      <c r="D978" s="93"/>
      <c r="E978" s="94"/>
      <c r="F978" s="95"/>
      <c r="G978" s="96"/>
    </row>
    <row r="979" ht="14.25" customHeight="1" spans="4:7">
      <c r="D979" s="93"/>
      <c r="E979" s="94"/>
      <c r="F979" s="95"/>
      <c r="G979" s="96"/>
    </row>
    <row r="980" ht="14.25" customHeight="1" spans="4:7">
      <c r="D980" s="93"/>
      <c r="E980" s="94"/>
      <c r="F980" s="95"/>
      <c r="G980" s="96"/>
    </row>
    <row r="981" ht="14.25" customHeight="1" spans="4:7">
      <c r="D981" s="93"/>
      <c r="E981" s="94"/>
      <c r="F981" s="95"/>
      <c r="G981" s="96"/>
    </row>
    <row r="982" ht="14.25" customHeight="1" spans="4:7">
      <c r="D982" s="93"/>
      <c r="E982" s="94"/>
      <c r="F982" s="95"/>
      <c r="G982" s="96"/>
    </row>
    <row r="983" ht="14.25" customHeight="1" spans="4:7">
      <c r="D983" s="93"/>
      <c r="E983" s="94"/>
      <c r="F983" s="95"/>
      <c r="G983" s="96"/>
    </row>
    <row r="984" ht="14.25" customHeight="1" spans="4:7">
      <c r="D984" s="93"/>
      <c r="E984" s="94"/>
      <c r="F984" s="95"/>
      <c r="G984" s="96"/>
    </row>
    <row r="985" ht="14.25" customHeight="1" spans="4:7">
      <c r="D985" s="93"/>
      <c r="E985" s="94"/>
      <c r="F985" s="95"/>
      <c r="G985" s="96"/>
    </row>
    <row r="986" ht="14.25" customHeight="1" spans="4:7">
      <c r="D986" s="93"/>
      <c r="E986" s="94"/>
      <c r="F986" s="95"/>
      <c r="G986" s="96"/>
    </row>
    <row r="987" ht="14.25" customHeight="1" spans="4:7">
      <c r="D987" s="93"/>
      <c r="E987" s="94"/>
      <c r="F987" s="95"/>
      <c r="G987" s="96"/>
    </row>
    <row r="988" ht="14.25" customHeight="1" spans="4:7">
      <c r="D988" s="93"/>
      <c r="E988" s="94"/>
      <c r="F988" s="95"/>
      <c r="G988" s="96"/>
    </row>
    <row r="989" ht="14.25" customHeight="1" spans="4:7">
      <c r="D989" s="93"/>
      <c r="E989" s="94"/>
      <c r="F989" s="95"/>
      <c r="G989" s="96"/>
    </row>
    <row r="990" ht="14.25" customHeight="1" spans="4:7">
      <c r="D990" s="93"/>
      <c r="E990" s="94"/>
      <c r="F990" s="95"/>
      <c r="G990" s="96"/>
    </row>
    <row r="991" ht="14.25" customHeight="1" spans="4:7">
      <c r="D991" s="93"/>
      <c r="E991" s="94"/>
      <c r="F991" s="95"/>
      <c r="G991" s="96"/>
    </row>
    <row r="992" ht="14.25" customHeight="1" spans="4:7">
      <c r="D992" s="93"/>
      <c r="E992" s="94"/>
      <c r="F992" s="95"/>
      <c r="G992" s="96"/>
    </row>
    <row r="993" ht="14.25" customHeight="1" spans="4:7">
      <c r="D993" s="93"/>
      <c r="E993" s="94"/>
      <c r="F993" s="95"/>
      <c r="G993" s="96"/>
    </row>
    <row r="994" ht="14.25" customHeight="1" spans="4:7">
      <c r="D994" s="93"/>
      <c r="E994" s="94"/>
      <c r="F994" s="95"/>
      <c r="G994" s="96"/>
    </row>
    <row r="995" ht="14.25" customHeight="1" spans="4:7">
      <c r="D995" s="93"/>
      <c r="E995" s="94"/>
      <c r="F995" s="95"/>
      <c r="G995" s="96"/>
    </row>
    <row r="996" ht="14.25" customHeight="1" spans="4:7">
      <c r="D996" s="93"/>
      <c r="E996" s="94"/>
      <c r="F996" s="95"/>
      <c r="G996" s="96"/>
    </row>
    <row r="997" ht="14.25" customHeight="1" spans="4:7">
      <c r="D997" s="93"/>
      <c r="E997" s="94"/>
      <c r="F997" s="95"/>
      <c r="G997" s="96"/>
    </row>
    <row r="998" ht="14.25" customHeight="1" spans="4:7">
      <c r="D998" s="93"/>
      <c r="E998" s="94"/>
      <c r="F998" s="95"/>
      <c r="G998" s="96"/>
    </row>
    <row r="999" ht="14.25" customHeight="1" spans="4:7">
      <c r="D999" s="93"/>
      <c r="E999" s="94"/>
      <c r="F999" s="95"/>
      <c r="G999" s="96"/>
    </row>
    <row r="1000" ht="14.25" customHeight="1" spans="4:7">
      <c r="D1000" s="93"/>
      <c r="E1000" s="94"/>
      <c r="F1000" s="95"/>
      <c r="G1000" s="96"/>
    </row>
    <row r="1001" ht="14.25" customHeight="1" spans="4:7">
      <c r="D1001" s="93"/>
      <c r="E1001" s="94"/>
      <c r="F1001" s="95"/>
      <c r="G1001" s="96"/>
    </row>
    <row r="1002" ht="14.25" customHeight="1" spans="4:7">
      <c r="D1002" s="93"/>
      <c r="E1002" s="94"/>
      <c r="F1002" s="95"/>
      <c r="G1002" s="96"/>
    </row>
    <row r="1003" ht="14.25" customHeight="1" spans="4:7">
      <c r="D1003" s="93"/>
      <c r="E1003" s="94"/>
      <c r="F1003" s="95"/>
      <c r="G1003" s="96"/>
    </row>
    <row r="1004" ht="14.25" customHeight="1" spans="4:7">
      <c r="D1004" s="93"/>
      <c r="E1004" s="94"/>
      <c r="F1004" s="95"/>
      <c r="G1004" s="96"/>
    </row>
    <row r="1005" ht="14.25" customHeight="1" spans="4:7">
      <c r="D1005" s="93"/>
      <c r="E1005" s="94"/>
      <c r="F1005" s="95"/>
      <c r="G1005" s="96"/>
    </row>
    <row r="1006" ht="14.25" customHeight="1" spans="4:7">
      <c r="D1006" s="93"/>
      <c r="E1006" s="94"/>
      <c r="F1006" s="95"/>
      <c r="G1006" s="96"/>
    </row>
    <row r="1007" ht="14.25" customHeight="1" spans="4:7">
      <c r="D1007" s="93"/>
      <c r="E1007" s="94"/>
      <c r="F1007" s="95"/>
      <c r="G1007" s="96"/>
    </row>
    <row r="1008" ht="14.25" customHeight="1" spans="4:7">
      <c r="D1008" s="93"/>
      <c r="E1008" s="94"/>
      <c r="F1008" s="95"/>
      <c r="G1008" s="96"/>
    </row>
    <row r="1009" ht="14.25" customHeight="1"/>
    <row r="1010" ht="14.25" customHeight="1"/>
  </sheetData>
  <mergeCells count="10">
    <mergeCell ref="D1:G1"/>
    <mergeCell ref="H1:K1"/>
    <mergeCell ref="L1:O1"/>
    <mergeCell ref="D4:O4"/>
    <mergeCell ref="A13:O13"/>
    <mergeCell ref="A22:O22"/>
    <mergeCell ref="A5:A12"/>
    <mergeCell ref="A14:A21"/>
    <mergeCell ref="A23:A31"/>
    <mergeCell ref="A1:B3"/>
  </mergeCells>
  <pageMargins left="0.7" right="0.7" top="0.75" bottom="0.75" header="0" footer="0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008"/>
  <sheetViews>
    <sheetView topLeftCell="A27" workbookViewId="0">
      <selection activeCell="C4" sqref="C4"/>
    </sheetView>
  </sheetViews>
  <sheetFormatPr defaultColWidth="14.4285714285714" defaultRowHeight="15" customHeight="1"/>
  <cols>
    <col min="1" max="2" width="10.7142857142857" customWidth="1"/>
    <col min="3" max="3" width="34.1428571428571" customWidth="1"/>
    <col min="4" max="4" width="9" customWidth="1"/>
    <col min="5" max="35" width="9.42857142857143" customWidth="1"/>
  </cols>
  <sheetData>
    <row r="1" ht="14.25" customHeight="1" spans="1:35">
      <c r="A1" s="17"/>
      <c r="B1" s="18"/>
      <c r="C1" s="19" t="s">
        <v>0</v>
      </c>
      <c r="D1" s="20">
        <v>2022</v>
      </c>
      <c r="E1" s="3"/>
      <c r="F1" s="3"/>
      <c r="G1" s="4"/>
      <c r="H1" s="20">
        <v>2023</v>
      </c>
      <c r="I1" s="3"/>
      <c r="J1" s="3"/>
      <c r="K1" s="4"/>
      <c r="L1" s="20">
        <v>2024</v>
      </c>
      <c r="M1" s="3"/>
      <c r="N1" s="3"/>
      <c r="O1" s="4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</row>
    <row r="2" ht="14.25" customHeight="1" spans="1:35">
      <c r="A2" s="21"/>
      <c r="B2" s="22"/>
      <c r="C2" s="19" t="s">
        <v>1</v>
      </c>
      <c r="D2" s="23" t="s">
        <v>2</v>
      </c>
      <c r="E2" s="24" t="s">
        <v>3</v>
      </c>
      <c r="F2" s="25" t="s">
        <v>4</v>
      </c>
      <c r="G2" s="26" t="s">
        <v>5</v>
      </c>
      <c r="H2" s="23" t="s">
        <v>2</v>
      </c>
      <c r="I2" s="24" t="s">
        <v>3</v>
      </c>
      <c r="J2" s="25" t="s">
        <v>4</v>
      </c>
      <c r="K2" s="26" t="s">
        <v>5</v>
      </c>
      <c r="L2" s="23" t="s">
        <v>2</v>
      </c>
      <c r="M2" s="24" t="s">
        <v>3</v>
      </c>
      <c r="N2" s="25" t="s">
        <v>4</v>
      </c>
      <c r="O2" s="26" t="s">
        <v>5</v>
      </c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</row>
    <row r="3" ht="14.25" customHeight="1" spans="1:35">
      <c r="A3" s="27"/>
      <c r="B3" s="28"/>
      <c r="C3" s="29" t="s">
        <v>6</v>
      </c>
      <c r="D3" s="105">
        <v>44697</v>
      </c>
      <c r="E3" s="106">
        <v>44779</v>
      </c>
      <c r="F3" s="122">
        <v>44840</v>
      </c>
      <c r="G3" s="107">
        <v>44937</v>
      </c>
      <c r="H3" s="105">
        <v>45051</v>
      </c>
      <c r="I3" s="106">
        <v>45155</v>
      </c>
      <c r="J3" s="125">
        <v>45266</v>
      </c>
      <c r="K3" s="107">
        <v>45317</v>
      </c>
      <c r="L3" s="116"/>
      <c r="M3" s="117"/>
      <c r="N3" s="118"/>
      <c r="O3" s="119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120"/>
      <c r="AI3" s="120"/>
    </row>
    <row r="4" ht="14.25" customHeight="1" spans="1:35">
      <c r="A4" s="35" t="s">
        <v>7</v>
      </c>
      <c r="B4" s="35" t="s">
        <v>8</v>
      </c>
      <c r="C4" s="35" t="s">
        <v>9</v>
      </c>
      <c r="D4" s="108"/>
      <c r="E4" s="3"/>
      <c r="F4" s="3"/>
      <c r="G4" s="3"/>
      <c r="H4" s="3"/>
      <c r="I4" s="3"/>
      <c r="J4" s="3"/>
      <c r="K4" s="3"/>
      <c r="L4" s="3"/>
      <c r="M4" s="3"/>
      <c r="N4" s="3"/>
      <c r="O4" s="4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1"/>
    </row>
    <row r="5" ht="23.25" customHeight="1" spans="1:35">
      <c r="A5" s="37" t="s">
        <v>10</v>
      </c>
      <c r="B5" s="38" t="s">
        <v>11</v>
      </c>
      <c r="C5" s="38" t="s">
        <v>12</v>
      </c>
      <c r="D5" s="39">
        <v>0</v>
      </c>
      <c r="E5" s="40">
        <v>0</v>
      </c>
      <c r="F5" s="41">
        <v>2</v>
      </c>
      <c r="G5" s="42">
        <v>0</v>
      </c>
      <c r="H5" s="39">
        <v>0</v>
      </c>
      <c r="I5" s="40">
        <v>0</v>
      </c>
      <c r="J5" s="41">
        <v>8</v>
      </c>
      <c r="K5" s="42">
        <v>0</v>
      </c>
      <c r="L5" s="39"/>
      <c r="M5" s="40"/>
      <c r="N5" s="41"/>
      <c r="O5" s="42"/>
      <c r="P5" s="11"/>
      <c r="Q5" s="11"/>
      <c r="R5" s="126"/>
      <c r="S5" s="127"/>
      <c r="T5" s="128"/>
      <c r="U5" s="128"/>
      <c r="V5" s="128"/>
      <c r="W5" s="128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</row>
    <row r="6" ht="22.5" customHeight="1" spans="1:35">
      <c r="A6" s="43"/>
      <c r="B6" s="44" t="s">
        <v>13</v>
      </c>
      <c r="C6" s="44" t="s">
        <v>14</v>
      </c>
      <c r="D6" s="6">
        <v>0</v>
      </c>
      <c r="E6" s="7">
        <v>0</v>
      </c>
      <c r="F6" s="25">
        <v>0</v>
      </c>
      <c r="G6" s="26">
        <v>2</v>
      </c>
      <c r="H6" s="6">
        <v>1</v>
      </c>
      <c r="I6" s="7">
        <v>2</v>
      </c>
      <c r="J6" s="25">
        <v>3</v>
      </c>
      <c r="K6" s="26">
        <v>0</v>
      </c>
      <c r="L6" s="6"/>
      <c r="M6" s="7"/>
      <c r="N6" s="25"/>
      <c r="O6" s="26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</row>
    <row r="7" ht="22.5" customHeight="1" spans="1:35">
      <c r="A7" s="43"/>
      <c r="B7" s="38" t="s">
        <v>15</v>
      </c>
      <c r="C7" s="38" t="s">
        <v>16</v>
      </c>
      <c r="D7" s="39">
        <v>1</v>
      </c>
      <c r="E7" s="40">
        <v>2</v>
      </c>
      <c r="F7" s="41">
        <v>8</v>
      </c>
      <c r="G7" s="42">
        <v>4</v>
      </c>
      <c r="H7" s="39">
        <v>8</v>
      </c>
      <c r="I7" s="40">
        <v>6</v>
      </c>
      <c r="J7" s="41">
        <v>0</v>
      </c>
      <c r="K7" s="42">
        <v>0</v>
      </c>
      <c r="L7" s="39"/>
      <c r="M7" s="40"/>
      <c r="N7" s="41"/>
      <c r="O7" s="42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</row>
    <row r="8" ht="22.5" customHeight="1" spans="1:35">
      <c r="A8" s="43"/>
      <c r="B8" s="44" t="s">
        <v>17</v>
      </c>
      <c r="C8" s="44" t="s">
        <v>18</v>
      </c>
      <c r="D8" s="6">
        <v>0</v>
      </c>
      <c r="E8" s="7">
        <v>3</v>
      </c>
      <c r="F8" s="25">
        <v>5</v>
      </c>
      <c r="G8" s="26">
        <v>2</v>
      </c>
      <c r="H8" s="6">
        <v>2</v>
      </c>
      <c r="I8" s="7">
        <v>2</v>
      </c>
      <c r="J8" s="25">
        <v>0</v>
      </c>
      <c r="K8" s="26">
        <v>5</v>
      </c>
      <c r="L8" s="6"/>
      <c r="M8" s="7"/>
      <c r="N8" s="25"/>
      <c r="O8" s="26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</row>
    <row r="9" ht="23.25" customHeight="1" spans="1:35">
      <c r="A9" s="43"/>
      <c r="B9" s="38" t="s">
        <v>19</v>
      </c>
      <c r="C9" s="38" t="s">
        <v>20</v>
      </c>
      <c r="D9" s="39">
        <v>9</v>
      </c>
      <c r="E9" s="40">
        <v>2</v>
      </c>
      <c r="F9" s="41">
        <v>11</v>
      </c>
      <c r="G9" s="42">
        <v>18</v>
      </c>
      <c r="H9" s="39">
        <v>48</v>
      </c>
      <c r="I9" s="40">
        <v>37</v>
      </c>
      <c r="J9" s="41">
        <v>73</v>
      </c>
      <c r="K9" s="42">
        <v>189</v>
      </c>
      <c r="L9" s="39"/>
      <c r="M9" s="40"/>
      <c r="N9" s="41"/>
      <c r="O9" s="42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</row>
    <row r="10" ht="24" customHeight="1" spans="1:35">
      <c r="A10" s="43"/>
      <c r="B10" s="44" t="s">
        <v>21</v>
      </c>
      <c r="C10" s="44" t="s">
        <v>22</v>
      </c>
      <c r="D10" s="6">
        <v>1</v>
      </c>
      <c r="E10" s="7">
        <v>57</v>
      </c>
      <c r="F10" s="25">
        <v>19</v>
      </c>
      <c r="G10" s="26">
        <v>64</v>
      </c>
      <c r="H10" s="6">
        <v>66</v>
      </c>
      <c r="I10" s="7">
        <v>71</v>
      </c>
      <c r="J10" s="25">
        <v>412</v>
      </c>
      <c r="K10" s="26">
        <v>786</v>
      </c>
      <c r="L10" s="6"/>
      <c r="M10" s="7"/>
      <c r="N10" s="25"/>
      <c r="O10" s="26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</row>
    <row r="11" ht="24.75" customHeight="1" spans="1:35">
      <c r="A11" s="43"/>
      <c r="B11" s="38" t="s">
        <v>23</v>
      </c>
      <c r="C11" s="38" t="s">
        <v>24</v>
      </c>
      <c r="D11" s="39">
        <v>0</v>
      </c>
      <c r="E11" s="40">
        <v>1</v>
      </c>
      <c r="F11" s="41">
        <v>0</v>
      </c>
      <c r="G11" s="42">
        <v>0</v>
      </c>
      <c r="H11" s="39">
        <v>3</v>
      </c>
      <c r="I11" s="40">
        <v>4</v>
      </c>
      <c r="J11" s="41">
        <v>19</v>
      </c>
      <c r="K11" s="42">
        <v>4</v>
      </c>
      <c r="L11" s="39"/>
      <c r="M11" s="40"/>
      <c r="N11" s="41"/>
      <c r="O11" s="42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</row>
    <row r="12" ht="23.25" customHeight="1" spans="1:35">
      <c r="A12" s="5"/>
      <c r="B12" s="44" t="s">
        <v>25</v>
      </c>
      <c r="C12" s="44" t="s">
        <v>26</v>
      </c>
      <c r="D12" s="6">
        <v>0</v>
      </c>
      <c r="E12" s="7">
        <v>1</v>
      </c>
      <c r="F12" s="25">
        <v>0</v>
      </c>
      <c r="G12" s="26">
        <v>0</v>
      </c>
      <c r="H12" s="6">
        <v>6</v>
      </c>
      <c r="I12" s="7">
        <v>4</v>
      </c>
      <c r="J12" s="25">
        <v>210</v>
      </c>
      <c r="K12" s="26">
        <v>362</v>
      </c>
      <c r="L12" s="6"/>
      <c r="M12" s="7"/>
      <c r="N12" s="25"/>
      <c r="O12" s="26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</row>
    <row r="13" ht="6" customHeight="1" spans="1:35">
      <c r="A13" s="45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4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</row>
    <row r="14" ht="25.5" customHeight="1" spans="1:35">
      <c r="A14" s="46" t="s">
        <v>27</v>
      </c>
      <c r="B14" s="38" t="s">
        <v>11</v>
      </c>
      <c r="C14" s="38" t="s">
        <v>12</v>
      </c>
      <c r="D14" s="39">
        <v>0</v>
      </c>
      <c r="E14" s="109">
        <v>0</v>
      </c>
      <c r="F14" s="41">
        <v>1</v>
      </c>
      <c r="G14" s="42">
        <v>0</v>
      </c>
      <c r="H14" s="39">
        <v>0</v>
      </c>
      <c r="I14" s="40">
        <v>0</v>
      </c>
      <c r="J14" s="41">
        <v>0</v>
      </c>
      <c r="K14" s="42">
        <v>0</v>
      </c>
      <c r="L14" s="39"/>
      <c r="M14" s="40"/>
      <c r="N14" s="41"/>
      <c r="O14" s="42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</row>
    <row r="15" ht="25.5" customHeight="1" spans="1:35">
      <c r="A15" s="43"/>
      <c r="B15" s="44" t="s">
        <v>28</v>
      </c>
      <c r="C15" s="44" t="s">
        <v>29</v>
      </c>
      <c r="D15" s="6">
        <v>22</v>
      </c>
      <c r="E15" s="110">
        <v>72</v>
      </c>
      <c r="F15" s="25">
        <v>39</v>
      </c>
      <c r="G15" s="26">
        <v>138</v>
      </c>
      <c r="H15" s="6">
        <v>162</v>
      </c>
      <c r="I15" s="7">
        <v>249</v>
      </c>
      <c r="J15" s="25">
        <v>878</v>
      </c>
      <c r="K15" s="26">
        <v>707</v>
      </c>
      <c r="L15" s="6"/>
      <c r="M15" s="7"/>
      <c r="N15" s="25"/>
      <c r="O15" s="26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</row>
    <row r="16" ht="22.5" customHeight="1" spans="1:35">
      <c r="A16" s="43"/>
      <c r="B16" s="38" t="s">
        <v>15</v>
      </c>
      <c r="C16" s="38" t="s">
        <v>16</v>
      </c>
      <c r="D16" s="39">
        <v>1</v>
      </c>
      <c r="E16" s="111">
        <v>1</v>
      </c>
      <c r="F16" s="41">
        <v>3</v>
      </c>
      <c r="G16" s="42">
        <v>1</v>
      </c>
      <c r="H16" s="39">
        <v>3</v>
      </c>
      <c r="I16" s="40">
        <v>9</v>
      </c>
      <c r="J16" s="41">
        <v>0</v>
      </c>
      <c r="K16" s="42">
        <v>0</v>
      </c>
      <c r="L16" s="39"/>
      <c r="M16" s="40"/>
      <c r="N16" s="41"/>
      <c r="O16" s="42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</row>
    <row r="17" ht="24" customHeight="1" spans="1:35">
      <c r="A17" s="43"/>
      <c r="B17" s="44" t="s">
        <v>17</v>
      </c>
      <c r="C17" s="44" t="s">
        <v>18</v>
      </c>
      <c r="D17" s="6">
        <v>10</v>
      </c>
      <c r="E17" s="110">
        <v>3</v>
      </c>
      <c r="F17" s="25">
        <v>26</v>
      </c>
      <c r="G17" s="26">
        <v>1</v>
      </c>
      <c r="H17" s="6">
        <v>0</v>
      </c>
      <c r="I17" s="7">
        <v>9</v>
      </c>
      <c r="J17" s="25">
        <v>0</v>
      </c>
      <c r="K17" s="26">
        <v>0</v>
      </c>
      <c r="L17" s="6"/>
      <c r="M17" s="7"/>
      <c r="N17" s="25"/>
      <c r="O17" s="26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</row>
    <row r="18" ht="25.5" customHeight="1" spans="1:35">
      <c r="A18" s="43"/>
      <c r="B18" s="38" t="s">
        <v>19</v>
      </c>
      <c r="C18" s="38" t="s">
        <v>20</v>
      </c>
      <c r="D18" s="39">
        <v>23</v>
      </c>
      <c r="E18" s="111">
        <v>19</v>
      </c>
      <c r="F18" s="41">
        <v>77</v>
      </c>
      <c r="G18" s="42">
        <v>8</v>
      </c>
      <c r="H18" s="39">
        <v>12</v>
      </c>
      <c r="I18" s="40">
        <v>12</v>
      </c>
      <c r="J18" s="41">
        <v>120</v>
      </c>
      <c r="K18" s="42">
        <v>87</v>
      </c>
      <c r="L18" s="39"/>
      <c r="M18" s="40"/>
      <c r="N18" s="41"/>
      <c r="O18" s="42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</row>
    <row r="19" ht="25.5" customHeight="1" spans="1:35">
      <c r="A19" s="43"/>
      <c r="B19" s="44" t="s">
        <v>21</v>
      </c>
      <c r="C19" s="44" t="s">
        <v>22</v>
      </c>
      <c r="D19" s="6">
        <v>9</v>
      </c>
      <c r="E19" s="112">
        <v>91</v>
      </c>
      <c r="F19" s="25">
        <v>492</v>
      </c>
      <c r="G19" s="26">
        <v>582</v>
      </c>
      <c r="H19" s="6">
        <v>321</v>
      </c>
      <c r="I19" s="7">
        <v>614</v>
      </c>
      <c r="J19" s="25">
        <v>2518</v>
      </c>
      <c r="K19" s="26">
        <v>1050</v>
      </c>
      <c r="L19" s="6"/>
      <c r="M19" s="7"/>
      <c r="N19" s="25"/>
      <c r="O19" s="26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</row>
    <row r="20" ht="26.25" customHeight="1" spans="1:35">
      <c r="A20" s="43"/>
      <c r="B20" s="38" t="s">
        <v>23</v>
      </c>
      <c r="C20" s="38" t="s">
        <v>24</v>
      </c>
      <c r="D20" s="39">
        <v>0</v>
      </c>
      <c r="E20" s="109">
        <v>5</v>
      </c>
      <c r="F20" s="41">
        <v>3</v>
      </c>
      <c r="G20" s="42">
        <v>2</v>
      </c>
      <c r="H20" s="39">
        <v>3</v>
      </c>
      <c r="I20" s="40">
        <v>1</v>
      </c>
      <c r="J20" s="41">
        <v>0</v>
      </c>
      <c r="K20" s="42">
        <v>0</v>
      </c>
      <c r="L20" s="39"/>
      <c r="M20" s="40"/>
      <c r="N20" s="41"/>
      <c r="O20" s="42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</row>
    <row r="21" ht="22.5" customHeight="1" spans="1:35">
      <c r="A21" s="5"/>
      <c r="B21" s="44" t="s">
        <v>25</v>
      </c>
      <c r="C21" s="44" t="s">
        <v>26</v>
      </c>
      <c r="D21" s="6">
        <v>7</v>
      </c>
      <c r="E21" s="110">
        <v>1</v>
      </c>
      <c r="F21" s="25">
        <v>23</v>
      </c>
      <c r="G21" s="26">
        <v>36</v>
      </c>
      <c r="H21" s="6">
        <v>36</v>
      </c>
      <c r="I21" s="7">
        <v>28</v>
      </c>
      <c r="J21" s="25">
        <v>0</v>
      </c>
      <c r="K21" s="26">
        <v>107</v>
      </c>
      <c r="L21" s="6"/>
      <c r="M21" s="7"/>
      <c r="N21" s="25"/>
      <c r="O21" s="26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</row>
    <row r="22" ht="6" customHeight="1" spans="1:35">
      <c r="A22" s="45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4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</row>
    <row r="23" ht="25.5" customHeight="1" spans="1:35">
      <c r="A23" s="51" t="s">
        <v>30</v>
      </c>
      <c r="B23" s="52" t="s">
        <v>11</v>
      </c>
      <c r="C23" s="52" t="s">
        <v>12</v>
      </c>
      <c r="D23" s="39">
        <f t="shared" ref="D23:O23" si="0">SUM(D5+D14)</f>
        <v>0</v>
      </c>
      <c r="E23" s="40">
        <f t="shared" si="0"/>
        <v>0</v>
      </c>
      <c r="F23" s="47">
        <f t="shared" si="0"/>
        <v>3</v>
      </c>
      <c r="G23" s="48">
        <f t="shared" si="0"/>
        <v>0</v>
      </c>
      <c r="H23" s="39">
        <f t="shared" si="0"/>
        <v>0</v>
      </c>
      <c r="I23" s="40">
        <f t="shared" si="0"/>
        <v>0</v>
      </c>
      <c r="J23" s="47">
        <f t="shared" si="0"/>
        <v>8</v>
      </c>
      <c r="K23" s="48">
        <f t="shared" si="0"/>
        <v>0</v>
      </c>
      <c r="L23" s="39">
        <f t="shared" si="0"/>
        <v>0</v>
      </c>
      <c r="M23" s="40">
        <f t="shared" si="0"/>
        <v>0</v>
      </c>
      <c r="N23" s="47">
        <f t="shared" si="0"/>
        <v>0</v>
      </c>
      <c r="O23" s="48">
        <f t="shared" si="0"/>
        <v>0</v>
      </c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</row>
    <row r="24" ht="24.75" customHeight="1" spans="1:35">
      <c r="A24" s="43"/>
      <c r="B24" s="44" t="s">
        <v>13</v>
      </c>
      <c r="C24" s="44" t="s">
        <v>14</v>
      </c>
      <c r="D24" s="6">
        <f t="shared" ref="D24:F24" si="1">SUM(D6)</f>
        <v>0</v>
      </c>
      <c r="E24" s="7">
        <f t="shared" si="1"/>
        <v>0</v>
      </c>
      <c r="F24" s="8">
        <f t="shared" si="1"/>
        <v>0</v>
      </c>
      <c r="G24" s="9">
        <f t="shared" ref="G24:I24" si="2">G5</f>
        <v>0</v>
      </c>
      <c r="H24" s="6">
        <f t="shared" si="2"/>
        <v>0</v>
      </c>
      <c r="I24" s="7">
        <f t="shared" si="2"/>
        <v>0</v>
      </c>
      <c r="J24" s="8">
        <f>J6</f>
        <v>3</v>
      </c>
      <c r="K24" s="9">
        <f t="shared" ref="K24:O24" si="3">K5</f>
        <v>0</v>
      </c>
      <c r="L24" s="6">
        <f t="shared" si="3"/>
        <v>0</v>
      </c>
      <c r="M24" s="7">
        <f t="shared" si="3"/>
        <v>0</v>
      </c>
      <c r="N24" s="8">
        <f t="shared" si="3"/>
        <v>0</v>
      </c>
      <c r="O24" s="9">
        <f t="shared" si="3"/>
        <v>0</v>
      </c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</row>
    <row r="25" ht="23.25" customHeight="1" spans="1:35">
      <c r="A25" s="43"/>
      <c r="B25" s="52" t="s">
        <v>28</v>
      </c>
      <c r="C25" s="52" t="s">
        <v>29</v>
      </c>
      <c r="D25" s="39">
        <f t="shared" ref="D25:O25" si="4">D15</f>
        <v>22</v>
      </c>
      <c r="E25" s="40">
        <f t="shared" si="4"/>
        <v>72</v>
      </c>
      <c r="F25" s="47">
        <f t="shared" si="4"/>
        <v>39</v>
      </c>
      <c r="G25" s="48">
        <f t="shared" si="4"/>
        <v>138</v>
      </c>
      <c r="H25" s="39">
        <f t="shared" si="4"/>
        <v>162</v>
      </c>
      <c r="I25" s="40">
        <f t="shared" si="4"/>
        <v>249</v>
      </c>
      <c r="J25" s="47">
        <f t="shared" si="4"/>
        <v>878</v>
      </c>
      <c r="K25" s="48">
        <f t="shared" si="4"/>
        <v>707</v>
      </c>
      <c r="L25" s="39">
        <f t="shared" si="4"/>
        <v>0</v>
      </c>
      <c r="M25" s="40">
        <f t="shared" si="4"/>
        <v>0</v>
      </c>
      <c r="N25" s="47">
        <f t="shared" si="4"/>
        <v>0</v>
      </c>
      <c r="O25" s="48">
        <f t="shared" si="4"/>
        <v>0</v>
      </c>
      <c r="P25" s="89">
        <f>SUM(D25:O25)</f>
        <v>2267</v>
      </c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</row>
    <row r="26" ht="22.5" customHeight="1" spans="1:35">
      <c r="A26" s="43"/>
      <c r="B26" s="44" t="s">
        <v>15</v>
      </c>
      <c r="C26" s="44" t="s">
        <v>16</v>
      </c>
      <c r="D26" s="6">
        <f t="shared" ref="D26:O26" si="5">SUM(D7+D16)</f>
        <v>2</v>
      </c>
      <c r="E26" s="7">
        <f t="shared" si="5"/>
        <v>3</v>
      </c>
      <c r="F26" s="8">
        <f t="shared" si="5"/>
        <v>11</v>
      </c>
      <c r="G26" s="9">
        <f t="shared" si="5"/>
        <v>5</v>
      </c>
      <c r="H26" s="6">
        <f t="shared" si="5"/>
        <v>11</v>
      </c>
      <c r="I26" s="7">
        <f t="shared" si="5"/>
        <v>15</v>
      </c>
      <c r="J26" s="8">
        <f t="shared" si="5"/>
        <v>0</v>
      </c>
      <c r="K26" s="9">
        <f t="shared" si="5"/>
        <v>0</v>
      </c>
      <c r="L26" s="6">
        <f t="shared" si="5"/>
        <v>0</v>
      </c>
      <c r="M26" s="7">
        <f t="shared" si="5"/>
        <v>0</v>
      </c>
      <c r="N26" s="8">
        <f t="shared" si="5"/>
        <v>0</v>
      </c>
      <c r="O26" s="9">
        <f t="shared" si="5"/>
        <v>0</v>
      </c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</row>
    <row r="27" ht="24.75" customHeight="1" spans="1:35">
      <c r="A27" s="43"/>
      <c r="B27" s="52" t="s">
        <v>17</v>
      </c>
      <c r="C27" s="52" t="s">
        <v>18</v>
      </c>
      <c r="D27" s="39">
        <f t="shared" ref="D27:O27" si="6">SUM(D8+D17)</f>
        <v>10</v>
      </c>
      <c r="E27" s="40">
        <f t="shared" si="6"/>
        <v>6</v>
      </c>
      <c r="F27" s="47">
        <f t="shared" si="6"/>
        <v>31</v>
      </c>
      <c r="G27" s="48">
        <f t="shared" si="6"/>
        <v>3</v>
      </c>
      <c r="H27" s="39">
        <f t="shared" si="6"/>
        <v>2</v>
      </c>
      <c r="I27" s="40">
        <f t="shared" si="6"/>
        <v>11</v>
      </c>
      <c r="J27" s="47">
        <f t="shared" si="6"/>
        <v>0</v>
      </c>
      <c r="K27" s="48">
        <f t="shared" si="6"/>
        <v>5</v>
      </c>
      <c r="L27" s="39">
        <f t="shared" si="6"/>
        <v>0</v>
      </c>
      <c r="M27" s="40">
        <f t="shared" si="6"/>
        <v>0</v>
      </c>
      <c r="N27" s="47">
        <f t="shared" si="6"/>
        <v>0</v>
      </c>
      <c r="O27" s="48">
        <f t="shared" si="6"/>
        <v>0</v>
      </c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</row>
    <row r="28" ht="24.75" customHeight="1" spans="1:35">
      <c r="A28" s="43"/>
      <c r="B28" s="44" t="s">
        <v>19</v>
      </c>
      <c r="C28" s="44" t="s">
        <v>20</v>
      </c>
      <c r="D28" s="6">
        <f t="shared" ref="D28:O28" si="7">SUM(D9+D18)</f>
        <v>32</v>
      </c>
      <c r="E28" s="7">
        <f t="shared" si="7"/>
        <v>21</v>
      </c>
      <c r="F28" s="8">
        <f t="shared" si="7"/>
        <v>88</v>
      </c>
      <c r="G28" s="9">
        <f t="shared" si="7"/>
        <v>26</v>
      </c>
      <c r="H28" s="6">
        <f t="shared" si="7"/>
        <v>60</v>
      </c>
      <c r="I28" s="7">
        <f t="shared" si="7"/>
        <v>49</v>
      </c>
      <c r="J28" s="8">
        <f t="shared" si="7"/>
        <v>193</v>
      </c>
      <c r="K28" s="9">
        <f t="shared" si="7"/>
        <v>276</v>
      </c>
      <c r="L28" s="6">
        <f t="shared" si="7"/>
        <v>0</v>
      </c>
      <c r="M28" s="7">
        <f t="shared" si="7"/>
        <v>0</v>
      </c>
      <c r="N28" s="8">
        <f t="shared" si="7"/>
        <v>0</v>
      </c>
      <c r="O28" s="9">
        <f t="shared" si="7"/>
        <v>0</v>
      </c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</row>
    <row r="29" ht="25.5" customHeight="1" spans="1:35">
      <c r="A29" s="43"/>
      <c r="B29" s="52" t="s">
        <v>21</v>
      </c>
      <c r="C29" s="52" t="s">
        <v>22</v>
      </c>
      <c r="D29" s="39">
        <f t="shared" ref="D29:H29" si="8">SUM(D10+D19)</f>
        <v>10</v>
      </c>
      <c r="E29" s="40">
        <f t="shared" si="8"/>
        <v>148</v>
      </c>
      <c r="F29" s="47">
        <f t="shared" si="8"/>
        <v>511</v>
      </c>
      <c r="G29" s="48">
        <f t="shared" si="8"/>
        <v>646</v>
      </c>
      <c r="H29" s="39">
        <f t="shared" si="8"/>
        <v>387</v>
      </c>
      <c r="I29" s="40">
        <v>685</v>
      </c>
      <c r="J29" s="47">
        <f t="shared" ref="J29:O29" si="9">SUM(J10+J19)</f>
        <v>2930</v>
      </c>
      <c r="K29" s="48">
        <f t="shared" si="9"/>
        <v>1836</v>
      </c>
      <c r="L29" s="39">
        <f t="shared" si="9"/>
        <v>0</v>
      </c>
      <c r="M29" s="40">
        <f t="shared" si="9"/>
        <v>0</v>
      </c>
      <c r="N29" s="47">
        <f t="shared" si="9"/>
        <v>0</v>
      </c>
      <c r="O29" s="48">
        <f t="shared" si="9"/>
        <v>0</v>
      </c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</row>
    <row r="30" ht="21.75" customHeight="1" spans="1:35">
      <c r="A30" s="43"/>
      <c r="B30" s="44" t="s">
        <v>23</v>
      </c>
      <c r="C30" s="44" t="s">
        <v>24</v>
      </c>
      <c r="D30" s="6">
        <f t="shared" ref="D30:O30" si="10">SUM(D11+D20)</f>
        <v>0</v>
      </c>
      <c r="E30" s="7">
        <f t="shared" si="10"/>
        <v>6</v>
      </c>
      <c r="F30" s="8">
        <f t="shared" si="10"/>
        <v>3</v>
      </c>
      <c r="G30" s="9">
        <f t="shared" si="10"/>
        <v>2</v>
      </c>
      <c r="H30" s="6">
        <f t="shared" si="10"/>
        <v>6</v>
      </c>
      <c r="I30" s="7">
        <f t="shared" si="10"/>
        <v>5</v>
      </c>
      <c r="J30" s="8">
        <f t="shared" si="10"/>
        <v>19</v>
      </c>
      <c r="K30" s="9">
        <f t="shared" si="10"/>
        <v>4</v>
      </c>
      <c r="L30" s="6">
        <f t="shared" si="10"/>
        <v>0</v>
      </c>
      <c r="M30" s="7">
        <f t="shared" si="10"/>
        <v>0</v>
      </c>
      <c r="N30" s="8">
        <f t="shared" si="10"/>
        <v>0</v>
      </c>
      <c r="O30" s="9">
        <f t="shared" si="10"/>
        <v>0</v>
      </c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</row>
    <row r="31" ht="24.75" customHeight="1" spans="1:35">
      <c r="A31" s="5"/>
      <c r="B31" s="52" t="s">
        <v>25</v>
      </c>
      <c r="C31" s="52" t="s">
        <v>26</v>
      </c>
      <c r="D31" s="39">
        <f t="shared" ref="D31:O31" si="11">SUM(D12+D21)</f>
        <v>7</v>
      </c>
      <c r="E31" s="40">
        <f t="shared" si="11"/>
        <v>2</v>
      </c>
      <c r="F31" s="47">
        <f t="shared" si="11"/>
        <v>23</v>
      </c>
      <c r="G31" s="48">
        <f t="shared" si="11"/>
        <v>36</v>
      </c>
      <c r="H31" s="39">
        <f t="shared" si="11"/>
        <v>42</v>
      </c>
      <c r="I31" s="40">
        <f t="shared" si="11"/>
        <v>32</v>
      </c>
      <c r="J31" s="47">
        <f t="shared" si="11"/>
        <v>210</v>
      </c>
      <c r="K31" s="48">
        <f t="shared" si="11"/>
        <v>469</v>
      </c>
      <c r="L31" s="39">
        <f t="shared" si="11"/>
        <v>0</v>
      </c>
      <c r="M31" s="40">
        <f t="shared" si="11"/>
        <v>0</v>
      </c>
      <c r="N31" s="47">
        <f t="shared" si="11"/>
        <v>0</v>
      </c>
      <c r="O31" s="48">
        <f t="shared" si="11"/>
        <v>0</v>
      </c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</row>
    <row r="32" customHeight="1" spans="1:35">
      <c r="A32" s="53"/>
      <c r="B32" s="53"/>
      <c r="C32" s="54" t="s">
        <v>30</v>
      </c>
      <c r="D32" s="55">
        <f t="shared" ref="D32:O32" si="12">SUM(D23:D31)</f>
        <v>83</v>
      </c>
      <c r="E32" s="56">
        <f t="shared" si="12"/>
        <v>258</v>
      </c>
      <c r="F32" s="90">
        <f t="shared" si="12"/>
        <v>709</v>
      </c>
      <c r="G32" s="57">
        <f t="shared" si="12"/>
        <v>856</v>
      </c>
      <c r="H32" s="55">
        <f t="shared" si="12"/>
        <v>670</v>
      </c>
      <c r="I32" s="56">
        <f t="shared" si="12"/>
        <v>1046</v>
      </c>
      <c r="J32" s="90">
        <f t="shared" si="12"/>
        <v>4241</v>
      </c>
      <c r="K32" s="57">
        <f t="shared" si="12"/>
        <v>3297</v>
      </c>
      <c r="L32" s="55">
        <f t="shared" si="12"/>
        <v>0</v>
      </c>
      <c r="M32" s="56">
        <f t="shared" si="12"/>
        <v>0</v>
      </c>
      <c r="N32" s="90">
        <f t="shared" si="12"/>
        <v>0</v>
      </c>
      <c r="O32" s="57">
        <f t="shared" si="12"/>
        <v>0</v>
      </c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</row>
    <row r="33" customHeight="1" spans="1:35">
      <c r="A33" s="58"/>
      <c r="B33" s="58"/>
      <c r="C33" s="54" t="s">
        <v>31</v>
      </c>
      <c r="D33" s="59">
        <f t="shared" ref="D33:O33" si="13">D32*40</f>
        <v>3320</v>
      </c>
      <c r="E33" s="60">
        <f t="shared" si="13"/>
        <v>10320</v>
      </c>
      <c r="F33" s="61">
        <f t="shared" si="13"/>
        <v>28360</v>
      </c>
      <c r="G33" s="62">
        <f t="shared" si="13"/>
        <v>34240</v>
      </c>
      <c r="H33" s="59">
        <f t="shared" si="13"/>
        <v>26800</v>
      </c>
      <c r="I33" s="60">
        <f t="shared" si="13"/>
        <v>41840</v>
      </c>
      <c r="J33" s="61">
        <f t="shared" si="13"/>
        <v>169640</v>
      </c>
      <c r="K33" s="62">
        <f t="shared" si="13"/>
        <v>131880</v>
      </c>
      <c r="L33" s="59">
        <f t="shared" si="13"/>
        <v>0</v>
      </c>
      <c r="M33" s="60">
        <f t="shared" si="13"/>
        <v>0</v>
      </c>
      <c r="N33" s="61">
        <f t="shared" si="13"/>
        <v>0</v>
      </c>
      <c r="O33" s="62">
        <f t="shared" si="13"/>
        <v>0</v>
      </c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</row>
    <row r="34" ht="31.5" customHeight="1" spans="1:35">
      <c r="A34" s="58"/>
      <c r="C34" s="63" t="s">
        <v>37</v>
      </c>
      <c r="D34" s="64"/>
      <c r="E34" s="64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</row>
    <row r="35" ht="15.75" customHeight="1" spans="1:35">
      <c r="A35" s="58"/>
      <c r="D35" s="67"/>
      <c r="E35" s="67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</row>
    <row r="36" ht="15.75" customHeight="1" spans="1:35">
      <c r="A36" s="58"/>
      <c r="B36" s="69" t="s">
        <v>32</v>
      </c>
      <c r="C36" s="70"/>
      <c r="D36" s="67"/>
      <c r="E36" s="67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</row>
    <row r="37" ht="15.75" customHeight="1" spans="1:35">
      <c r="A37" s="58"/>
      <c r="B37" s="71" t="s">
        <v>33</v>
      </c>
      <c r="C37" s="72" t="s">
        <v>38</v>
      </c>
      <c r="D37" s="67"/>
      <c r="E37" s="67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</row>
    <row r="38" customHeight="1" spans="1:35">
      <c r="A38" s="58"/>
      <c r="B38" s="71" t="s">
        <v>34</v>
      </c>
      <c r="C38" s="72" t="s">
        <v>39</v>
      </c>
      <c r="D38" s="67"/>
      <c r="E38" s="67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</row>
    <row r="39" customHeight="1" spans="1:35">
      <c r="A39" s="58"/>
      <c r="B39" s="71" t="s">
        <v>35</v>
      </c>
      <c r="C39" s="72" t="s">
        <v>40</v>
      </c>
      <c r="D39" s="67"/>
      <c r="E39" s="67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</row>
    <row r="40" customHeight="1" spans="1:35">
      <c r="A40" s="58"/>
      <c r="B40" s="71" t="s">
        <v>36</v>
      </c>
      <c r="C40" s="72" t="s">
        <v>41</v>
      </c>
      <c r="D40" s="67"/>
      <c r="E40" s="67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</row>
    <row r="41" customHeight="1" spans="1:35">
      <c r="A41" s="58"/>
      <c r="B41" s="58"/>
      <c r="C41" s="58"/>
      <c r="D41" s="67"/>
      <c r="E41" s="67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</row>
    <row r="42" ht="23.25" customHeight="1" spans="1:35">
      <c r="A42" s="58"/>
      <c r="B42" s="58"/>
      <c r="C42" s="58"/>
      <c r="D42" s="73">
        <v>2022</v>
      </c>
      <c r="E42" s="3"/>
      <c r="F42" s="3"/>
      <c r="G42" s="4"/>
      <c r="H42" s="74">
        <v>2023</v>
      </c>
      <c r="I42" s="3"/>
      <c r="J42" s="3"/>
      <c r="K42" s="4"/>
      <c r="L42" s="74">
        <v>2024</v>
      </c>
      <c r="M42" s="3"/>
      <c r="N42" s="3"/>
      <c r="O42" s="4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91"/>
      <c r="AE42" s="91"/>
      <c r="AF42" s="91"/>
      <c r="AG42" s="91"/>
      <c r="AH42" s="91"/>
      <c r="AI42" s="91"/>
    </row>
    <row r="43" ht="14.25" customHeight="1" spans="1:35">
      <c r="A43" s="58"/>
      <c r="B43" s="58"/>
      <c r="C43" s="58"/>
      <c r="D43" s="75" t="s">
        <v>42</v>
      </c>
      <c r="E43" s="76" t="s">
        <v>43</v>
      </c>
      <c r="F43" s="77" t="s">
        <v>44</v>
      </c>
      <c r="G43" s="78" t="s">
        <v>45</v>
      </c>
      <c r="H43" s="79" t="s">
        <v>46</v>
      </c>
      <c r="I43" s="76" t="s">
        <v>47</v>
      </c>
      <c r="J43" s="77" t="s">
        <v>48</v>
      </c>
      <c r="K43" s="78" t="s">
        <v>49</v>
      </c>
      <c r="L43" s="79" t="s">
        <v>50</v>
      </c>
      <c r="M43" s="76" t="s">
        <v>51</v>
      </c>
      <c r="N43" s="77" t="s">
        <v>52</v>
      </c>
      <c r="O43" s="78" t="s">
        <v>53</v>
      </c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2"/>
      <c r="AH43" s="92"/>
      <c r="AI43" s="92"/>
    </row>
    <row r="44" ht="14.25" customHeight="1" spans="3:35">
      <c r="C44" s="52" t="s">
        <v>11</v>
      </c>
      <c r="D44" s="11">
        <f t="shared" ref="D44:K44" si="14">D23/5*100</f>
        <v>0</v>
      </c>
      <c r="E44" s="11">
        <f t="shared" si="14"/>
        <v>0</v>
      </c>
      <c r="F44" s="11">
        <f t="shared" si="14"/>
        <v>60</v>
      </c>
      <c r="G44" s="11">
        <f t="shared" si="14"/>
        <v>0</v>
      </c>
      <c r="H44" s="11">
        <f t="shared" si="14"/>
        <v>0</v>
      </c>
      <c r="I44" s="11">
        <f t="shared" si="14"/>
        <v>0</v>
      </c>
      <c r="J44" s="11">
        <f t="shared" si="14"/>
        <v>160</v>
      </c>
      <c r="K44" s="11">
        <f t="shared" si="14"/>
        <v>0</v>
      </c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</row>
    <row r="45" ht="14.25" customHeight="1" spans="3:35">
      <c r="C45" s="44" t="s">
        <v>13</v>
      </c>
      <c r="D45" s="11">
        <f t="shared" ref="D45:K45" si="15">D24/5*100</f>
        <v>0</v>
      </c>
      <c r="E45" s="11">
        <f t="shared" si="15"/>
        <v>0</v>
      </c>
      <c r="F45" s="11">
        <f t="shared" si="15"/>
        <v>0</v>
      </c>
      <c r="G45" s="11">
        <f t="shared" si="15"/>
        <v>0</v>
      </c>
      <c r="H45" s="11">
        <f t="shared" si="15"/>
        <v>0</v>
      </c>
      <c r="I45" s="11">
        <f t="shared" si="15"/>
        <v>0</v>
      </c>
      <c r="J45" s="11">
        <f t="shared" si="15"/>
        <v>60</v>
      </c>
      <c r="K45" s="11">
        <f t="shared" si="15"/>
        <v>0</v>
      </c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/>
      <c r="AI45" s="68"/>
    </row>
    <row r="46" ht="14.25" customHeight="1" spans="3:35">
      <c r="C46" s="52" t="s">
        <v>28</v>
      </c>
      <c r="D46" s="11">
        <f t="shared" ref="D46:K46" si="16">D25/5*100</f>
        <v>440</v>
      </c>
      <c r="E46" s="11">
        <f t="shared" si="16"/>
        <v>1440</v>
      </c>
      <c r="F46" s="11">
        <f t="shared" si="16"/>
        <v>780</v>
      </c>
      <c r="G46" s="11">
        <f t="shared" si="16"/>
        <v>2760</v>
      </c>
      <c r="H46" s="11">
        <f t="shared" si="16"/>
        <v>3240</v>
      </c>
      <c r="I46" s="11">
        <f t="shared" si="16"/>
        <v>4980</v>
      </c>
      <c r="J46" s="11">
        <f t="shared" si="16"/>
        <v>17560</v>
      </c>
      <c r="K46" s="11">
        <f t="shared" si="16"/>
        <v>14140</v>
      </c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  <c r="AH46" s="68"/>
      <c r="AI46" s="68"/>
    </row>
    <row r="47" ht="14.25" customHeight="1" spans="3:35">
      <c r="C47" s="44" t="s">
        <v>15</v>
      </c>
      <c r="D47" s="11">
        <f t="shared" ref="D47:K47" si="17">D26/5*100</f>
        <v>40</v>
      </c>
      <c r="E47" s="11">
        <f t="shared" si="17"/>
        <v>60</v>
      </c>
      <c r="F47" s="11">
        <f t="shared" si="17"/>
        <v>220</v>
      </c>
      <c r="G47" s="11">
        <f t="shared" si="17"/>
        <v>100</v>
      </c>
      <c r="H47" s="11">
        <f t="shared" si="17"/>
        <v>220</v>
      </c>
      <c r="I47" s="11">
        <f t="shared" si="17"/>
        <v>300</v>
      </c>
      <c r="J47" s="11">
        <f t="shared" si="17"/>
        <v>0</v>
      </c>
      <c r="K47" s="11">
        <f t="shared" si="17"/>
        <v>0</v>
      </c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  <c r="AH47" s="68"/>
      <c r="AI47" s="68"/>
    </row>
    <row r="48" ht="14.25" customHeight="1" spans="3:35">
      <c r="C48" s="52" t="s">
        <v>17</v>
      </c>
      <c r="D48" s="11">
        <f t="shared" ref="D48:K48" si="18">D27/5*100</f>
        <v>200</v>
      </c>
      <c r="E48" s="11">
        <f t="shared" si="18"/>
        <v>120</v>
      </c>
      <c r="F48" s="11">
        <f t="shared" si="18"/>
        <v>620</v>
      </c>
      <c r="G48" s="11">
        <f t="shared" si="18"/>
        <v>60</v>
      </c>
      <c r="H48" s="11">
        <f t="shared" si="18"/>
        <v>40</v>
      </c>
      <c r="I48" s="11">
        <f t="shared" si="18"/>
        <v>220</v>
      </c>
      <c r="J48" s="11">
        <f t="shared" si="18"/>
        <v>0</v>
      </c>
      <c r="K48" s="11">
        <f t="shared" si="18"/>
        <v>100</v>
      </c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</row>
    <row r="49" ht="14.25" customHeight="1" spans="3:35">
      <c r="C49" s="44" t="s">
        <v>19</v>
      </c>
      <c r="D49" s="11">
        <f t="shared" ref="D49:K49" si="19">D28/5*100</f>
        <v>640</v>
      </c>
      <c r="E49" s="11">
        <f t="shared" si="19"/>
        <v>420</v>
      </c>
      <c r="F49" s="11">
        <f t="shared" si="19"/>
        <v>1760</v>
      </c>
      <c r="G49" s="11">
        <f t="shared" si="19"/>
        <v>520</v>
      </c>
      <c r="H49" s="11">
        <f t="shared" si="19"/>
        <v>1200</v>
      </c>
      <c r="I49" s="11">
        <f t="shared" si="19"/>
        <v>980</v>
      </c>
      <c r="J49" s="11">
        <f t="shared" si="19"/>
        <v>3860</v>
      </c>
      <c r="K49" s="11">
        <f t="shared" si="19"/>
        <v>5520</v>
      </c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</row>
    <row r="50" ht="14.25" customHeight="1" spans="3:35">
      <c r="C50" s="52" t="s">
        <v>21</v>
      </c>
      <c r="D50" s="11">
        <f t="shared" ref="D50:K50" si="20">D29/5*100</f>
        <v>200</v>
      </c>
      <c r="E50" s="11">
        <f t="shared" si="20"/>
        <v>2960</v>
      </c>
      <c r="F50" s="11">
        <f t="shared" si="20"/>
        <v>10220</v>
      </c>
      <c r="G50" s="11">
        <f t="shared" si="20"/>
        <v>12920</v>
      </c>
      <c r="H50" s="11">
        <f t="shared" si="20"/>
        <v>7740</v>
      </c>
      <c r="I50" s="11">
        <f t="shared" si="20"/>
        <v>13700</v>
      </c>
      <c r="J50" s="11">
        <f t="shared" si="20"/>
        <v>58600</v>
      </c>
      <c r="K50" s="11">
        <f t="shared" si="20"/>
        <v>36720</v>
      </c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/>
      <c r="AI50" s="68"/>
    </row>
    <row r="51" ht="14.25" customHeight="1" spans="3:35">
      <c r="C51" s="44" t="s">
        <v>23</v>
      </c>
      <c r="D51" s="11">
        <f t="shared" ref="D51:K51" si="21">D30/5*100</f>
        <v>0</v>
      </c>
      <c r="E51" s="11">
        <f t="shared" si="21"/>
        <v>120</v>
      </c>
      <c r="F51" s="11">
        <f t="shared" si="21"/>
        <v>60</v>
      </c>
      <c r="G51" s="11">
        <f t="shared" si="21"/>
        <v>40</v>
      </c>
      <c r="H51" s="11">
        <f t="shared" si="21"/>
        <v>120</v>
      </c>
      <c r="I51" s="11">
        <f t="shared" si="21"/>
        <v>100</v>
      </c>
      <c r="J51" s="11">
        <f t="shared" si="21"/>
        <v>380</v>
      </c>
      <c r="K51" s="11">
        <f t="shared" si="21"/>
        <v>80</v>
      </c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  <c r="AG51" s="68"/>
      <c r="AH51" s="68"/>
      <c r="AI51" s="68"/>
    </row>
    <row r="52" ht="14.25" customHeight="1" spans="3:35">
      <c r="C52" s="52" t="s">
        <v>25</v>
      </c>
      <c r="D52" s="11">
        <f t="shared" ref="D52:K52" si="22">D31/5*100</f>
        <v>140</v>
      </c>
      <c r="E52" s="11">
        <f t="shared" si="22"/>
        <v>40</v>
      </c>
      <c r="F52" s="11">
        <f t="shared" si="22"/>
        <v>460</v>
      </c>
      <c r="G52" s="11">
        <f t="shared" si="22"/>
        <v>720</v>
      </c>
      <c r="H52" s="11">
        <f t="shared" si="22"/>
        <v>840</v>
      </c>
      <c r="I52" s="11">
        <f t="shared" si="22"/>
        <v>640</v>
      </c>
      <c r="J52" s="11">
        <f t="shared" si="22"/>
        <v>4200</v>
      </c>
      <c r="K52" s="11">
        <f t="shared" si="22"/>
        <v>9380</v>
      </c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68"/>
      <c r="AI52" s="68"/>
    </row>
    <row r="53" ht="14.25" customHeight="1" spans="4:35"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68"/>
      <c r="AI53" s="68"/>
    </row>
    <row r="54" ht="14.25" customHeight="1" spans="4:35"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  <c r="AH54" s="68"/>
      <c r="AI54" s="68"/>
    </row>
    <row r="55" ht="14.25" customHeight="1" spans="4:35"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/>
      <c r="AI55" s="68"/>
    </row>
    <row r="56" ht="14.25" customHeight="1" spans="4:35"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68"/>
      <c r="AE56" s="68"/>
      <c r="AF56" s="68"/>
      <c r="AG56" s="68"/>
      <c r="AH56" s="68"/>
      <c r="AI56" s="68"/>
    </row>
    <row r="57" ht="14.25" customHeight="1" spans="4:35"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  <c r="AC57" s="68"/>
      <c r="AD57" s="68"/>
      <c r="AE57" s="68"/>
      <c r="AF57" s="68"/>
      <c r="AG57" s="68"/>
      <c r="AH57" s="68"/>
      <c r="AI57" s="68"/>
    </row>
    <row r="58" ht="14.25" customHeight="1" spans="4:35"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  <c r="AE58" s="68"/>
      <c r="AF58" s="68"/>
      <c r="AG58" s="68"/>
      <c r="AH58" s="68"/>
      <c r="AI58" s="68"/>
    </row>
    <row r="59" ht="14.25" customHeight="1" spans="4:35"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68"/>
      <c r="AI59" s="68"/>
    </row>
    <row r="60" ht="14.25" customHeight="1" spans="4:35"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  <c r="AB60" s="68"/>
      <c r="AC60" s="68"/>
      <c r="AD60" s="68"/>
      <c r="AE60" s="68"/>
      <c r="AF60" s="68"/>
      <c r="AG60" s="68"/>
      <c r="AH60" s="68"/>
      <c r="AI60" s="68"/>
    </row>
    <row r="61" ht="14.25" customHeight="1" spans="4:35"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  <c r="AB61" s="68"/>
      <c r="AC61" s="68"/>
      <c r="AD61" s="68"/>
      <c r="AE61" s="68"/>
      <c r="AF61" s="68"/>
      <c r="AG61" s="68"/>
      <c r="AH61" s="68"/>
      <c r="AI61" s="68"/>
    </row>
    <row r="62" ht="14.25" customHeight="1" spans="4:35"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  <c r="AB62" s="68"/>
      <c r="AC62" s="68"/>
      <c r="AD62" s="68"/>
      <c r="AE62" s="68"/>
      <c r="AF62" s="68"/>
      <c r="AG62" s="68"/>
      <c r="AH62" s="68"/>
      <c r="AI62" s="68"/>
    </row>
    <row r="63" ht="14.25" customHeight="1" spans="4:35"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  <c r="AH63" s="68"/>
      <c r="AI63" s="68"/>
    </row>
    <row r="64" ht="14.25" customHeight="1" spans="4:35"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  <c r="AB64" s="68"/>
      <c r="AC64" s="68"/>
      <c r="AD64" s="68"/>
      <c r="AE64" s="68"/>
      <c r="AF64" s="68"/>
      <c r="AG64" s="68"/>
      <c r="AH64" s="68"/>
      <c r="AI64" s="68"/>
    </row>
    <row r="65" ht="14.25" customHeight="1" spans="4:35"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  <c r="AH65" s="68"/>
      <c r="AI65" s="68"/>
    </row>
    <row r="66" ht="14.25" customHeight="1" spans="4:35"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  <c r="AH66" s="68"/>
      <c r="AI66" s="68"/>
    </row>
    <row r="67" ht="14.25" customHeight="1" spans="4:35"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  <c r="AB67" s="68"/>
      <c r="AC67" s="68"/>
      <c r="AD67" s="68"/>
      <c r="AE67" s="68"/>
      <c r="AF67" s="68"/>
      <c r="AG67" s="68"/>
      <c r="AH67" s="68"/>
      <c r="AI67" s="68"/>
    </row>
    <row r="68" ht="14.25" customHeight="1" spans="4:35"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  <c r="AH68" s="68"/>
      <c r="AI68" s="68"/>
    </row>
    <row r="69" ht="14.25" customHeight="1" spans="4:35"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  <c r="AH69" s="68"/>
      <c r="AI69" s="68"/>
    </row>
    <row r="70" ht="14.25" customHeight="1" spans="4:35"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  <c r="AB70" s="68"/>
      <c r="AC70" s="68"/>
      <c r="AD70" s="68"/>
      <c r="AE70" s="68"/>
      <c r="AF70" s="68"/>
      <c r="AG70" s="68"/>
      <c r="AH70" s="68"/>
      <c r="AI70" s="68"/>
    </row>
    <row r="71" ht="14.25" customHeight="1" spans="4:35"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  <c r="AB71" s="68"/>
      <c r="AC71" s="68"/>
      <c r="AD71" s="68"/>
      <c r="AE71" s="68"/>
      <c r="AF71" s="68"/>
      <c r="AG71" s="68"/>
      <c r="AH71" s="68"/>
      <c r="AI71" s="68"/>
    </row>
    <row r="72" ht="14.25" customHeight="1" spans="4:35"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  <c r="AB72" s="68"/>
      <c r="AC72" s="68"/>
      <c r="AD72" s="68"/>
      <c r="AE72" s="68"/>
      <c r="AF72" s="68"/>
      <c r="AG72" s="68"/>
      <c r="AH72" s="68"/>
      <c r="AI72" s="68"/>
    </row>
    <row r="73" ht="14.25" customHeight="1" spans="4:35"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  <c r="AE73" s="68"/>
      <c r="AF73" s="68"/>
      <c r="AG73" s="68"/>
      <c r="AH73" s="68"/>
      <c r="AI73" s="68"/>
    </row>
    <row r="74" ht="14.25" customHeight="1" spans="4:35"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  <c r="AB74" s="68"/>
      <c r="AC74" s="68"/>
      <c r="AD74" s="68"/>
      <c r="AE74" s="68"/>
      <c r="AF74" s="68"/>
      <c r="AG74" s="68"/>
      <c r="AH74" s="68"/>
      <c r="AI74" s="68"/>
    </row>
    <row r="75" ht="14.25" customHeight="1" spans="4:35"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68"/>
      <c r="AC75" s="68"/>
      <c r="AD75" s="68"/>
      <c r="AE75" s="68"/>
      <c r="AF75" s="68"/>
      <c r="AG75" s="68"/>
      <c r="AH75" s="68"/>
      <c r="AI75" s="68"/>
    </row>
    <row r="76" ht="14.25" customHeight="1" spans="4:35"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  <c r="AH76" s="68"/>
      <c r="AI76" s="68"/>
    </row>
    <row r="77" ht="14.25" customHeight="1" spans="4:35"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/>
      <c r="AI77" s="68"/>
    </row>
    <row r="78" ht="14.25" customHeight="1" spans="4:35"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  <c r="AC78" s="68"/>
      <c r="AD78" s="68"/>
      <c r="AE78" s="68"/>
      <c r="AF78" s="68"/>
      <c r="AG78" s="68"/>
      <c r="AH78" s="68"/>
      <c r="AI78" s="68"/>
    </row>
    <row r="79" ht="14.25" customHeight="1" spans="4:35"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68"/>
    </row>
    <row r="80" ht="14.25" customHeight="1" spans="4:35"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  <c r="AH80" s="68"/>
      <c r="AI80" s="68"/>
    </row>
    <row r="81" ht="14.25" customHeight="1" spans="4:35"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  <c r="AB81" s="68"/>
      <c r="AC81" s="68"/>
      <c r="AD81" s="68"/>
      <c r="AE81" s="68"/>
      <c r="AF81" s="68"/>
      <c r="AG81" s="68"/>
      <c r="AH81" s="68"/>
      <c r="AI81" s="68"/>
    </row>
    <row r="82" ht="14.25" customHeight="1" spans="4:35"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  <c r="AH82" s="68"/>
      <c r="AI82" s="68"/>
    </row>
    <row r="83" ht="14.25" customHeight="1" spans="4:35"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  <c r="AH83" s="68"/>
      <c r="AI83" s="68"/>
    </row>
    <row r="84" ht="14.25" customHeight="1" spans="4:35"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  <c r="AH84" s="68"/>
      <c r="AI84" s="68"/>
    </row>
    <row r="85" ht="14.25" customHeight="1" spans="4:35"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  <c r="AH85" s="68"/>
      <c r="AI85" s="68"/>
    </row>
    <row r="86" ht="14.25" customHeight="1" spans="4:35"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  <c r="AH86" s="68"/>
      <c r="AI86" s="68"/>
    </row>
    <row r="87" ht="14.25" customHeight="1" spans="4:35"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  <c r="AH87" s="68"/>
      <c r="AI87" s="68"/>
    </row>
    <row r="88" ht="14.25" customHeight="1" spans="4:35"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  <c r="AH88" s="68"/>
      <c r="AI88" s="68"/>
    </row>
    <row r="89" ht="14.25" customHeight="1" spans="4:35"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</row>
    <row r="90" ht="14.25" customHeight="1" spans="4:35"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  <c r="AH90" s="68"/>
      <c r="AI90" s="68"/>
    </row>
    <row r="91" ht="14.25" customHeight="1" spans="4:35"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</row>
    <row r="92" ht="14.25" customHeight="1" spans="4:35"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</row>
    <row r="93" ht="14.25" customHeight="1" spans="4:35"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  <c r="AH93" s="68"/>
      <c r="AI93" s="68"/>
    </row>
    <row r="94" ht="14.25" customHeight="1" spans="4:35"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  <c r="AH94" s="68"/>
      <c r="AI94" s="68"/>
    </row>
    <row r="95" ht="14.25" customHeight="1" spans="4:35"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  <c r="AH95" s="68"/>
      <c r="AI95" s="68"/>
    </row>
    <row r="96" ht="14.25" customHeight="1" spans="4:35"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  <c r="AH96" s="68"/>
      <c r="AI96" s="68"/>
    </row>
    <row r="97" ht="14.25" customHeight="1" spans="4:35"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  <c r="AH97" s="68"/>
      <c r="AI97" s="68"/>
    </row>
    <row r="98" ht="14.25" customHeight="1" spans="4:35"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  <c r="AH98" s="68"/>
      <c r="AI98" s="68"/>
    </row>
    <row r="99" ht="14.25" customHeight="1" spans="4:35"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  <c r="AH99" s="68"/>
      <c r="AI99" s="68"/>
    </row>
    <row r="100" ht="14.25" customHeight="1" spans="4:35"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  <c r="AH100" s="68"/>
      <c r="AI100" s="68"/>
    </row>
    <row r="101" ht="14.25" customHeight="1" spans="4:35"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  <c r="AH101" s="68"/>
      <c r="AI101" s="68"/>
    </row>
    <row r="102" ht="14.25" customHeight="1" spans="4:35"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  <c r="AH102" s="68"/>
      <c r="AI102" s="68"/>
    </row>
    <row r="103" ht="14.25" customHeight="1" spans="4:35"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  <c r="AH103" s="68"/>
      <c r="AI103" s="68"/>
    </row>
    <row r="104" ht="14.25" customHeight="1" spans="4:35"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</row>
    <row r="105" ht="14.25" customHeight="1" spans="4:35"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  <c r="AH105" s="68"/>
      <c r="AI105" s="68"/>
    </row>
    <row r="106" ht="14.25" customHeight="1" spans="4:35"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  <c r="AH106" s="68"/>
      <c r="AI106" s="68"/>
    </row>
    <row r="107" ht="14.25" customHeight="1" spans="4:35"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  <c r="AH107" s="68"/>
      <c r="AI107" s="68"/>
    </row>
    <row r="108" ht="14.25" customHeight="1" spans="4:35"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  <c r="AH108" s="68"/>
      <c r="AI108" s="68"/>
    </row>
    <row r="109" ht="14.25" customHeight="1" spans="4:35"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/>
      <c r="AG109" s="68"/>
      <c r="AH109" s="68"/>
      <c r="AI109" s="68"/>
    </row>
    <row r="110" ht="14.25" customHeight="1" spans="4:35"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8"/>
      <c r="AB110" s="68"/>
      <c r="AC110" s="68"/>
      <c r="AD110" s="68"/>
      <c r="AE110" s="68"/>
      <c r="AF110" s="68"/>
      <c r="AG110" s="68"/>
      <c r="AH110" s="68"/>
      <c r="AI110" s="68"/>
    </row>
    <row r="111" ht="14.25" customHeight="1" spans="4:35"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  <c r="AH111" s="68"/>
      <c r="AI111" s="68"/>
    </row>
    <row r="112" ht="14.25" customHeight="1" spans="4:35"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68"/>
      <c r="AB112" s="68"/>
      <c r="AC112" s="68"/>
      <c r="AD112" s="68"/>
      <c r="AE112" s="68"/>
      <c r="AF112" s="68"/>
      <c r="AG112" s="68"/>
      <c r="AH112" s="68"/>
      <c r="AI112" s="68"/>
    </row>
    <row r="113" ht="14.25" customHeight="1" spans="4:7">
      <c r="D113" s="93"/>
      <c r="E113" s="94"/>
      <c r="F113" s="95"/>
      <c r="G113" s="96"/>
    </row>
    <row r="114" ht="14.25" customHeight="1" spans="4:7">
      <c r="D114" s="93"/>
      <c r="E114" s="94"/>
      <c r="F114" s="95"/>
      <c r="G114" s="96"/>
    </row>
    <row r="115" ht="14.25" customHeight="1" spans="4:7">
      <c r="D115" s="93"/>
      <c r="E115" s="94"/>
      <c r="F115" s="95"/>
      <c r="G115" s="96"/>
    </row>
    <row r="116" ht="14.25" customHeight="1" spans="4:7">
      <c r="D116" s="93"/>
      <c r="E116" s="94"/>
      <c r="F116" s="95"/>
      <c r="G116" s="96"/>
    </row>
    <row r="117" ht="14.25" customHeight="1" spans="4:7">
      <c r="D117" s="93"/>
      <c r="E117" s="94"/>
      <c r="F117" s="95"/>
      <c r="G117" s="96"/>
    </row>
    <row r="118" ht="14.25" customHeight="1" spans="4:7">
      <c r="D118" s="93"/>
      <c r="E118" s="94"/>
      <c r="F118" s="95"/>
      <c r="G118" s="96"/>
    </row>
    <row r="119" ht="14.25" customHeight="1" spans="4:7">
      <c r="D119" s="93"/>
      <c r="E119" s="94"/>
      <c r="F119" s="95"/>
      <c r="G119" s="96"/>
    </row>
    <row r="120" ht="14.25" customHeight="1" spans="4:7">
      <c r="D120" s="93"/>
      <c r="E120" s="94"/>
      <c r="F120" s="95"/>
      <c r="G120" s="96"/>
    </row>
    <row r="121" ht="14.25" customHeight="1" spans="4:7">
      <c r="D121" s="93"/>
      <c r="E121" s="94"/>
      <c r="F121" s="95"/>
      <c r="G121" s="96"/>
    </row>
    <row r="122" ht="14.25" customHeight="1" spans="4:7">
      <c r="D122" s="93"/>
      <c r="E122" s="94"/>
      <c r="F122" s="95"/>
      <c r="G122" s="96"/>
    </row>
    <row r="123" ht="14.25" customHeight="1" spans="4:7">
      <c r="D123" s="93"/>
      <c r="E123" s="94"/>
      <c r="F123" s="95"/>
      <c r="G123" s="96"/>
    </row>
    <row r="124" ht="14.25" customHeight="1" spans="4:7">
      <c r="D124" s="93"/>
      <c r="E124" s="94"/>
      <c r="F124" s="95"/>
      <c r="G124" s="96"/>
    </row>
    <row r="125" ht="14.25" customHeight="1" spans="4:7">
      <c r="D125" s="93"/>
      <c r="E125" s="94"/>
      <c r="F125" s="95"/>
      <c r="G125" s="96"/>
    </row>
    <row r="126" ht="14.25" customHeight="1" spans="4:7">
      <c r="D126" s="93"/>
      <c r="E126" s="94"/>
      <c r="F126" s="95"/>
      <c r="G126" s="96"/>
    </row>
    <row r="127" ht="14.25" customHeight="1" spans="4:7">
      <c r="D127" s="93"/>
      <c r="E127" s="94"/>
      <c r="F127" s="95"/>
      <c r="G127" s="96"/>
    </row>
    <row r="128" ht="14.25" customHeight="1" spans="4:7">
      <c r="D128" s="93"/>
      <c r="E128" s="94"/>
      <c r="F128" s="95"/>
      <c r="G128" s="96"/>
    </row>
    <row r="129" ht="14.25" customHeight="1" spans="4:7">
      <c r="D129" s="93"/>
      <c r="E129" s="94"/>
      <c r="F129" s="95"/>
      <c r="G129" s="96"/>
    </row>
    <row r="130" ht="14.25" customHeight="1" spans="4:7">
      <c r="D130" s="93"/>
      <c r="E130" s="94"/>
      <c r="F130" s="95"/>
      <c r="G130" s="96"/>
    </row>
    <row r="131" ht="14.25" customHeight="1" spans="4:7">
      <c r="D131" s="93"/>
      <c r="E131" s="94"/>
      <c r="F131" s="95"/>
      <c r="G131" s="96"/>
    </row>
    <row r="132" ht="14.25" customHeight="1" spans="4:7">
      <c r="D132" s="93"/>
      <c r="E132" s="94"/>
      <c r="F132" s="95"/>
      <c r="G132" s="96"/>
    </row>
    <row r="133" ht="14.25" customHeight="1" spans="4:7">
      <c r="D133" s="93"/>
      <c r="E133" s="94"/>
      <c r="F133" s="95"/>
      <c r="G133" s="96"/>
    </row>
    <row r="134" ht="14.25" customHeight="1" spans="4:7">
      <c r="D134" s="93"/>
      <c r="E134" s="94"/>
      <c r="F134" s="95"/>
      <c r="G134" s="96"/>
    </row>
    <row r="135" ht="14.25" customHeight="1" spans="4:7">
      <c r="D135" s="93"/>
      <c r="E135" s="94"/>
      <c r="F135" s="95"/>
      <c r="G135" s="96"/>
    </row>
    <row r="136" ht="14.25" customHeight="1" spans="4:7">
      <c r="D136" s="93"/>
      <c r="E136" s="94"/>
      <c r="F136" s="95"/>
      <c r="G136" s="96"/>
    </row>
    <row r="137" ht="14.25" customHeight="1" spans="4:7">
      <c r="D137" s="93"/>
      <c r="E137" s="94"/>
      <c r="F137" s="95"/>
      <c r="G137" s="96"/>
    </row>
    <row r="138" ht="14.25" customHeight="1" spans="4:7">
      <c r="D138" s="93"/>
      <c r="E138" s="94"/>
      <c r="F138" s="95"/>
      <c r="G138" s="96"/>
    </row>
    <row r="139" ht="14.25" customHeight="1" spans="4:7">
      <c r="D139" s="93"/>
      <c r="E139" s="94"/>
      <c r="F139" s="95"/>
      <c r="G139" s="96"/>
    </row>
    <row r="140" ht="14.25" customHeight="1" spans="4:7">
      <c r="D140" s="93"/>
      <c r="E140" s="94"/>
      <c r="F140" s="95"/>
      <c r="G140" s="96"/>
    </row>
    <row r="141" ht="14.25" customHeight="1" spans="4:7">
      <c r="D141" s="93"/>
      <c r="E141" s="94"/>
      <c r="F141" s="95"/>
      <c r="G141" s="96"/>
    </row>
    <row r="142" ht="14.25" customHeight="1" spans="4:7">
      <c r="D142" s="93"/>
      <c r="E142" s="94"/>
      <c r="F142" s="95"/>
      <c r="G142" s="96"/>
    </row>
    <row r="143" ht="14.25" customHeight="1" spans="4:7">
      <c r="D143" s="93"/>
      <c r="E143" s="94"/>
      <c r="F143" s="95"/>
      <c r="G143" s="96"/>
    </row>
    <row r="144" ht="14.25" customHeight="1" spans="4:7">
      <c r="D144" s="93"/>
      <c r="E144" s="94"/>
      <c r="F144" s="95"/>
      <c r="G144" s="96"/>
    </row>
    <row r="145" ht="14.25" customHeight="1" spans="4:7">
      <c r="D145" s="93"/>
      <c r="E145" s="94"/>
      <c r="F145" s="95"/>
      <c r="G145" s="96"/>
    </row>
    <row r="146" ht="14.25" customHeight="1" spans="4:7">
      <c r="D146" s="93"/>
      <c r="E146" s="94"/>
      <c r="F146" s="95"/>
      <c r="G146" s="96"/>
    </row>
    <row r="147" ht="14.25" customHeight="1" spans="4:7">
      <c r="D147" s="93"/>
      <c r="E147" s="94"/>
      <c r="F147" s="95"/>
      <c r="G147" s="96"/>
    </row>
    <row r="148" ht="14.25" customHeight="1" spans="4:7">
      <c r="D148" s="93"/>
      <c r="E148" s="94"/>
      <c r="F148" s="95"/>
      <c r="G148" s="96"/>
    </row>
    <row r="149" ht="14.25" customHeight="1" spans="4:7">
      <c r="D149" s="93"/>
      <c r="E149" s="94"/>
      <c r="F149" s="95"/>
      <c r="G149" s="96"/>
    </row>
    <row r="150" ht="14.25" customHeight="1" spans="4:7">
      <c r="D150" s="93"/>
      <c r="E150" s="94"/>
      <c r="F150" s="95"/>
      <c r="G150" s="96"/>
    </row>
    <row r="151" ht="14.25" customHeight="1" spans="4:7">
      <c r="D151" s="93"/>
      <c r="E151" s="94"/>
      <c r="F151" s="95"/>
      <c r="G151" s="96"/>
    </row>
    <row r="152" ht="14.25" customHeight="1" spans="4:7">
      <c r="D152" s="93"/>
      <c r="E152" s="94"/>
      <c r="F152" s="95"/>
      <c r="G152" s="96"/>
    </row>
    <row r="153" ht="14.25" customHeight="1" spans="4:7">
      <c r="D153" s="93"/>
      <c r="E153" s="94"/>
      <c r="F153" s="95"/>
      <c r="G153" s="96"/>
    </row>
    <row r="154" ht="14.25" customHeight="1" spans="4:7">
      <c r="D154" s="93"/>
      <c r="E154" s="94"/>
      <c r="F154" s="95"/>
      <c r="G154" s="96"/>
    </row>
    <row r="155" ht="14.25" customHeight="1" spans="4:7">
      <c r="D155" s="93"/>
      <c r="E155" s="94"/>
      <c r="F155" s="95"/>
      <c r="G155" s="96"/>
    </row>
    <row r="156" ht="14.25" customHeight="1" spans="4:7">
      <c r="D156" s="93"/>
      <c r="E156" s="94"/>
      <c r="F156" s="95"/>
      <c r="G156" s="96"/>
    </row>
    <row r="157" ht="14.25" customHeight="1" spans="4:7">
      <c r="D157" s="93"/>
      <c r="E157" s="94"/>
      <c r="F157" s="95"/>
      <c r="G157" s="96"/>
    </row>
    <row r="158" ht="14.25" customHeight="1" spans="4:7">
      <c r="D158" s="93"/>
      <c r="E158" s="94"/>
      <c r="F158" s="95"/>
      <c r="G158" s="96"/>
    </row>
    <row r="159" ht="14.25" customHeight="1" spans="4:7">
      <c r="D159" s="93"/>
      <c r="E159" s="94"/>
      <c r="F159" s="95"/>
      <c r="G159" s="96"/>
    </row>
    <row r="160" ht="14.25" customHeight="1" spans="4:7">
      <c r="D160" s="93"/>
      <c r="E160" s="94"/>
      <c r="F160" s="95"/>
      <c r="G160" s="96"/>
    </row>
    <row r="161" ht="14.25" customHeight="1" spans="4:7">
      <c r="D161" s="93"/>
      <c r="E161" s="94"/>
      <c r="F161" s="95"/>
      <c r="G161" s="96"/>
    </row>
    <row r="162" ht="14.25" customHeight="1" spans="4:7">
      <c r="D162" s="93"/>
      <c r="E162" s="94"/>
      <c r="F162" s="95"/>
      <c r="G162" s="96"/>
    </row>
    <row r="163" ht="14.25" customHeight="1" spans="4:7">
      <c r="D163" s="93"/>
      <c r="E163" s="94"/>
      <c r="F163" s="95"/>
      <c r="G163" s="96"/>
    </row>
    <row r="164" ht="14.25" customHeight="1" spans="4:7">
      <c r="D164" s="93"/>
      <c r="E164" s="94"/>
      <c r="F164" s="95"/>
      <c r="G164" s="96"/>
    </row>
    <row r="165" ht="14.25" customHeight="1" spans="4:7">
      <c r="D165" s="93"/>
      <c r="E165" s="94"/>
      <c r="F165" s="95"/>
      <c r="G165" s="96"/>
    </row>
    <row r="166" ht="14.25" customHeight="1" spans="4:7">
      <c r="D166" s="93"/>
      <c r="E166" s="94"/>
      <c r="F166" s="95"/>
      <c r="G166" s="96"/>
    </row>
    <row r="167" ht="14.25" customHeight="1" spans="4:7">
      <c r="D167" s="93"/>
      <c r="E167" s="94"/>
      <c r="F167" s="95"/>
      <c r="G167" s="96"/>
    </row>
    <row r="168" ht="14.25" customHeight="1" spans="4:7">
      <c r="D168" s="93"/>
      <c r="E168" s="94"/>
      <c r="F168" s="95"/>
      <c r="G168" s="96"/>
    </row>
    <row r="169" ht="14.25" customHeight="1" spans="4:7">
      <c r="D169" s="93"/>
      <c r="E169" s="94"/>
      <c r="F169" s="95"/>
      <c r="G169" s="96"/>
    </row>
    <row r="170" ht="14.25" customHeight="1" spans="4:7">
      <c r="D170" s="93"/>
      <c r="E170" s="94"/>
      <c r="F170" s="95"/>
      <c r="G170" s="96"/>
    </row>
    <row r="171" ht="14.25" customHeight="1" spans="4:7">
      <c r="D171" s="93"/>
      <c r="E171" s="94"/>
      <c r="F171" s="95"/>
      <c r="G171" s="96"/>
    </row>
    <row r="172" ht="14.25" customHeight="1" spans="4:7">
      <c r="D172" s="93"/>
      <c r="E172" s="94"/>
      <c r="F172" s="95"/>
      <c r="G172" s="96"/>
    </row>
    <row r="173" ht="14.25" customHeight="1" spans="4:7">
      <c r="D173" s="93"/>
      <c r="E173" s="94"/>
      <c r="F173" s="95"/>
      <c r="G173" s="96"/>
    </row>
    <row r="174" ht="14.25" customHeight="1" spans="4:7">
      <c r="D174" s="93"/>
      <c r="E174" s="94"/>
      <c r="F174" s="95"/>
      <c r="G174" s="96"/>
    </row>
    <row r="175" ht="14.25" customHeight="1" spans="4:7">
      <c r="D175" s="93"/>
      <c r="E175" s="94"/>
      <c r="F175" s="95"/>
      <c r="G175" s="96"/>
    </row>
    <row r="176" ht="14.25" customHeight="1" spans="4:7">
      <c r="D176" s="93"/>
      <c r="E176" s="94"/>
      <c r="F176" s="95"/>
      <c r="G176" s="96"/>
    </row>
    <row r="177" ht="14.25" customHeight="1" spans="4:7">
      <c r="D177" s="93"/>
      <c r="E177" s="94"/>
      <c r="F177" s="95"/>
      <c r="G177" s="96"/>
    </row>
    <row r="178" ht="14.25" customHeight="1" spans="4:7">
      <c r="D178" s="93"/>
      <c r="E178" s="94"/>
      <c r="F178" s="95"/>
      <c r="G178" s="96"/>
    </row>
    <row r="179" ht="14.25" customHeight="1" spans="4:7">
      <c r="D179" s="93"/>
      <c r="E179" s="94"/>
      <c r="F179" s="95"/>
      <c r="G179" s="96"/>
    </row>
    <row r="180" ht="14.25" customHeight="1" spans="4:7">
      <c r="D180" s="93"/>
      <c r="E180" s="94"/>
      <c r="F180" s="95"/>
      <c r="G180" s="96"/>
    </row>
    <row r="181" ht="14.25" customHeight="1" spans="4:7">
      <c r="D181" s="93"/>
      <c r="E181" s="94"/>
      <c r="F181" s="95"/>
      <c r="G181" s="96"/>
    </row>
    <row r="182" ht="14.25" customHeight="1" spans="4:7">
      <c r="D182" s="93"/>
      <c r="E182" s="94"/>
      <c r="F182" s="95"/>
      <c r="G182" s="96"/>
    </row>
    <row r="183" ht="14.25" customHeight="1" spans="4:7">
      <c r="D183" s="93"/>
      <c r="E183" s="94"/>
      <c r="F183" s="95"/>
      <c r="G183" s="96"/>
    </row>
    <row r="184" ht="14.25" customHeight="1" spans="4:7">
      <c r="D184" s="93"/>
      <c r="E184" s="94"/>
      <c r="F184" s="95"/>
      <c r="G184" s="96"/>
    </row>
    <row r="185" ht="14.25" customHeight="1" spans="4:7">
      <c r="D185" s="93"/>
      <c r="E185" s="94"/>
      <c r="F185" s="95"/>
      <c r="G185" s="96"/>
    </row>
    <row r="186" ht="14.25" customHeight="1" spans="4:7">
      <c r="D186" s="93"/>
      <c r="E186" s="94"/>
      <c r="F186" s="95"/>
      <c r="G186" s="96"/>
    </row>
    <row r="187" ht="14.25" customHeight="1" spans="4:7">
      <c r="D187" s="93"/>
      <c r="E187" s="94"/>
      <c r="F187" s="95"/>
      <c r="G187" s="96"/>
    </row>
    <row r="188" ht="14.25" customHeight="1" spans="4:7">
      <c r="D188" s="93"/>
      <c r="E188" s="94"/>
      <c r="F188" s="95"/>
      <c r="G188" s="96"/>
    </row>
    <row r="189" ht="14.25" customHeight="1" spans="4:7">
      <c r="D189" s="93"/>
      <c r="E189" s="94"/>
      <c r="F189" s="95"/>
      <c r="G189" s="96"/>
    </row>
    <row r="190" ht="14.25" customHeight="1" spans="4:7">
      <c r="D190" s="93"/>
      <c r="E190" s="94"/>
      <c r="F190" s="95"/>
      <c r="G190" s="96"/>
    </row>
    <row r="191" ht="14.25" customHeight="1" spans="4:7">
      <c r="D191" s="93"/>
      <c r="E191" s="94"/>
      <c r="F191" s="95"/>
      <c r="G191" s="96"/>
    </row>
    <row r="192" ht="14.25" customHeight="1" spans="4:7">
      <c r="D192" s="93"/>
      <c r="E192" s="94"/>
      <c r="F192" s="95"/>
      <c r="G192" s="96"/>
    </row>
    <row r="193" ht="14.25" customHeight="1" spans="4:7">
      <c r="D193" s="93"/>
      <c r="E193" s="94"/>
      <c r="F193" s="95"/>
      <c r="G193" s="96"/>
    </row>
    <row r="194" ht="14.25" customHeight="1" spans="4:7">
      <c r="D194" s="93"/>
      <c r="E194" s="94"/>
      <c r="F194" s="95"/>
      <c r="G194" s="96"/>
    </row>
    <row r="195" ht="14.25" customHeight="1" spans="4:7">
      <c r="D195" s="93"/>
      <c r="E195" s="94"/>
      <c r="F195" s="95"/>
      <c r="G195" s="96"/>
    </row>
    <row r="196" ht="14.25" customHeight="1" spans="4:7">
      <c r="D196" s="93"/>
      <c r="E196" s="94"/>
      <c r="F196" s="95"/>
      <c r="G196" s="96"/>
    </row>
    <row r="197" ht="14.25" customHeight="1" spans="4:7">
      <c r="D197" s="93"/>
      <c r="E197" s="94"/>
      <c r="F197" s="95"/>
      <c r="G197" s="96"/>
    </row>
    <row r="198" ht="14.25" customHeight="1" spans="4:7">
      <c r="D198" s="93"/>
      <c r="E198" s="94"/>
      <c r="F198" s="95"/>
      <c r="G198" s="96"/>
    </row>
    <row r="199" ht="14.25" customHeight="1" spans="4:7">
      <c r="D199" s="93"/>
      <c r="E199" s="94"/>
      <c r="F199" s="95"/>
      <c r="G199" s="96"/>
    </row>
    <row r="200" ht="14.25" customHeight="1" spans="4:7">
      <c r="D200" s="93"/>
      <c r="E200" s="94"/>
      <c r="F200" s="95"/>
      <c r="G200" s="96"/>
    </row>
    <row r="201" ht="14.25" customHeight="1" spans="4:7">
      <c r="D201" s="93"/>
      <c r="E201" s="94"/>
      <c r="F201" s="95"/>
      <c r="G201" s="96"/>
    </row>
    <row r="202" ht="14.25" customHeight="1" spans="4:7">
      <c r="D202" s="93"/>
      <c r="E202" s="94"/>
      <c r="F202" s="95"/>
      <c r="G202" s="96"/>
    </row>
    <row r="203" ht="14.25" customHeight="1" spans="4:7">
      <c r="D203" s="93"/>
      <c r="E203" s="94"/>
      <c r="F203" s="95"/>
      <c r="G203" s="96"/>
    </row>
    <row r="204" ht="14.25" customHeight="1" spans="4:7">
      <c r="D204" s="93"/>
      <c r="E204" s="94"/>
      <c r="F204" s="95"/>
      <c r="G204" s="96"/>
    </row>
    <row r="205" ht="14.25" customHeight="1" spans="4:7">
      <c r="D205" s="93"/>
      <c r="E205" s="94"/>
      <c r="F205" s="95"/>
      <c r="G205" s="96"/>
    </row>
    <row r="206" ht="14.25" customHeight="1" spans="4:7">
      <c r="D206" s="93"/>
      <c r="E206" s="94"/>
      <c r="F206" s="95"/>
      <c r="G206" s="96"/>
    </row>
    <row r="207" ht="14.25" customHeight="1" spans="4:7">
      <c r="D207" s="93"/>
      <c r="E207" s="94"/>
      <c r="F207" s="95"/>
      <c r="G207" s="96"/>
    </row>
    <row r="208" ht="14.25" customHeight="1" spans="4:7">
      <c r="D208" s="93"/>
      <c r="E208" s="94"/>
      <c r="F208" s="95"/>
      <c r="G208" s="96"/>
    </row>
    <row r="209" ht="14.25" customHeight="1" spans="4:7">
      <c r="D209" s="93"/>
      <c r="E209" s="94"/>
      <c r="F209" s="95"/>
      <c r="G209" s="96"/>
    </row>
    <row r="210" ht="14.25" customHeight="1" spans="4:7">
      <c r="D210" s="93"/>
      <c r="E210" s="94"/>
      <c r="F210" s="95"/>
      <c r="G210" s="96"/>
    </row>
    <row r="211" ht="14.25" customHeight="1" spans="4:7">
      <c r="D211" s="93"/>
      <c r="E211" s="94"/>
      <c r="F211" s="95"/>
      <c r="G211" s="96"/>
    </row>
    <row r="212" ht="14.25" customHeight="1" spans="4:7">
      <c r="D212" s="93"/>
      <c r="E212" s="94"/>
      <c r="F212" s="95"/>
      <c r="G212" s="96"/>
    </row>
    <row r="213" ht="14.25" customHeight="1" spans="4:7">
      <c r="D213" s="93"/>
      <c r="E213" s="94"/>
      <c r="F213" s="95"/>
      <c r="G213" s="96"/>
    </row>
    <row r="214" ht="14.25" customHeight="1" spans="4:7">
      <c r="D214" s="93"/>
      <c r="E214" s="94"/>
      <c r="F214" s="95"/>
      <c r="G214" s="96"/>
    </row>
    <row r="215" ht="14.25" customHeight="1" spans="4:7">
      <c r="D215" s="93"/>
      <c r="E215" s="94"/>
      <c r="F215" s="95"/>
      <c r="G215" s="96"/>
    </row>
    <row r="216" ht="14.25" customHeight="1" spans="4:7">
      <c r="D216" s="93"/>
      <c r="E216" s="94"/>
      <c r="F216" s="95"/>
      <c r="G216" s="96"/>
    </row>
    <row r="217" ht="14.25" customHeight="1" spans="4:7">
      <c r="D217" s="93"/>
      <c r="E217" s="94"/>
      <c r="F217" s="95"/>
      <c r="G217" s="96"/>
    </row>
    <row r="218" ht="14.25" customHeight="1" spans="4:7">
      <c r="D218" s="93"/>
      <c r="E218" s="94"/>
      <c r="F218" s="95"/>
      <c r="G218" s="96"/>
    </row>
    <row r="219" ht="14.25" customHeight="1" spans="4:7">
      <c r="D219" s="93"/>
      <c r="E219" s="94"/>
      <c r="F219" s="95"/>
      <c r="G219" s="96"/>
    </row>
    <row r="220" ht="14.25" customHeight="1" spans="4:7">
      <c r="D220" s="93"/>
      <c r="E220" s="94"/>
      <c r="F220" s="95"/>
      <c r="G220" s="96"/>
    </row>
    <row r="221" ht="14.25" customHeight="1" spans="4:7">
      <c r="D221" s="93"/>
      <c r="E221" s="94"/>
      <c r="F221" s="95"/>
      <c r="G221" s="96"/>
    </row>
    <row r="222" ht="14.25" customHeight="1" spans="4:7">
      <c r="D222" s="93"/>
      <c r="E222" s="94"/>
      <c r="F222" s="95"/>
      <c r="G222" s="96"/>
    </row>
    <row r="223" ht="14.25" customHeight="1" spans="4:7">
      <c r="D223" s="93"/>
      <c r="E223" s="94"/>
      <c r="F223" s="95"/>
      <c r="G223" s="96"/>
    </row>
    <row r="224" ht="14.25" customHeight="1" spans="4:7">
      <c r="D224" s="93"/>
      <c r="E224" s="94"/>
      <c r="F224" s="95"/>
      <c r="G224" s="96"/>
    </row>
    <row r="225" ht="14.25" customHeight="1" spans="4:7">
      <c r="D225" s="93"/>
      <c r="E225" s="94"/>
      <c r="F225" s="95"/>
      <c r="G225" s="96"/>
    </row>
    <row r="226" ht="14.25" customHeight="1" spans="4:7">
      <c r="D226" s="93"/>
      <c r="E226" s="94"/>
      <c r="F226" s="95"/>
      <c r="G226" s="96"/>
    </row>
    <row r="227" ht="14.25" customHeight="1" spans="4:7">
      <c r="D227" s="93"/>
      <c r="E227" s="94"/>
      <c r="F227" s="95"/>
      <c r="G227" s="96"/>
    </row>
    <row r="228" ht="14.25" customHeight="1" spans="4:7">
      <c r="D228" s="93"/>
      <c r="E228" s="94"/>
      <c r="F228" s="95"/>
      <c r="G228" s="96"/>
    </row>
    <row r="229" ht="14.25" customHeight="1" spans="4:7">
      <c r="D229" s="93"/>
      <c r="E229" s="94"/>
      <c r="F229" s="95"/>
      <c r="G229" s="96"/>
    </row>
    <row r="230" ht="14.25" customHeight="1" spans="4:7">
      <c r="D230" s="93"/>
      <c r="E230" s="94"/>
      <c r="F230" s="95"/>
      <c r="G230" s="96"/>
    </row>
    <row r="231" ht="14.25" customHeight="1" spans="4:7">
      <c r="D231" s="93"/>
      <c r="E231" s="94"/>
      <c r="F231" s="95"/>
      <c r="G231" s="96"/>
    </row>
    <row r="232" ht="14.25" customHeight="1" spans="4:7">
      <c r="D232" s="93"/>
      <c r="E232" s="94"/>
      <c r="F232" s="95"/>
      <c r="G232" s="96"/>
    </row>
    <row r="233" ht="14.25" customHeight="1" spans="4:7">
      <c r="D233" s="93"/>
      <c r="E233" s="94"/>
      <c r="F233" s="95"/>
      <c r="G233" s="96"/>
    </row>
    <row r="234" ht="14.25" customHeight="1" spans="4:7">
      <c r="D234" s="93"/>
      <c r="E234" s="94"/>
      <c r="F234" s="95"/>
      <c r="G234" s="96"/>
    </row>
    <row r="235" ht="14.25" customHeight="1" spans="4:7">
      <c r="D235" s="93"/>
      <c r="E235" s="94"/>
      <c r="F235" s="95"/>
      <c r="G235" s="96"/>
    </row>
    <row r="236" ht="14.25" customHeight="1" spans="4:7">
      <c r="D236" s="93"/>
      <c r="E236" s="94"/>
      <c r="F236" s="95"/>
      <c r="G236" s="96"/>
    </row>
    <row r="237" ht="14.25" customHeight="1" spans="4:7">
      <c r="D237" s="93"/>
      <c r="E237" s="94"/>
      <c r="F237" s="95"/>
      <c r="G237" s="96"/>
    </row>
    <row r="238" ht="14.25" customHeight="1" spans="4:7">
      <c r="D238" s="93"/>
      <c r="E238" s="94"/>
      <c r="F238" s="95"/>
      <c r="G238" s="96"/>
    </row>
    <row r="239" ht="14.25" customHeight="1" spans="4:7">
      <c r="D239" s="93"/>
      <c r="E239" s="94"/>
      <c r="F239" s="95"/>
      <c r="G239" s="96"/>
    </row>
    <row r="240" ht="14.25" customHeight="1" spans="4:7">
      <c r="D240" s="93"/>
      <c r="E240" s="94"/>
      <c r="F240" s="95"/>
      <c r="G240" s="96"/>
    </row>
    <row r="241" ht="14.25" customHeight="1" spans="4:7">
      <c r="D241" s="93"/>
      <c r="E241" s="94"/>
      <c r="F241" s="95"/>
      <c r="G241" s="96"/>
    </row>
    <row r="242" ht="14.25" customHeight="1" spans="4:7">
      <c r="D242" s="93"/>
      <c r="E242" s="94"/>
      <c r="F242" s="95"/>
      <c r="G242" s="96"/>
    </row>
    <row r="243" ht="14.25" customHeight="1" spans="4:7">
      <c r="D243" s="93"/>
      <c r="E243" s="94"/>
      <c r="F243" s="95"/>
      <c r="G243" s="96"/>
    </row>
    <row r="244" ht="14.25" customHeight="1" spans="4:7">
      <c r="D244" s="93"/>
      <c r="E244" s="94"/>
      <c r="F244" s="95"/>
      <c r="G244" s="96"/>
    </row>
    <row r="245" ht="14.25" customHeight="1" spans="4:7">
      <c r="D245" s="93"/>
      <c r="E245" s="94"/>
      <c r="F245" s="95"/>
      <c r="G245" s="96"/>
    </row>
    <row r="246" ht="14.25" customHeight="1" spans="4:7">
      <c r="D246" s="93"/>
      <c r="E246" s="94"/>
      <c r="F246" s="95"/>
      <c r="G246" s="96"/>
    </row>
    <row r="247" ht="14.25" customHeight="1" spans="4:7">
      <c r="D247" s="93"/>
      <c r="E247" s="94"/>
      <c r="F247" s="95"/>
      <c r="G247" s="96"/>
    </row>
    <row r="248" ht="14.25" customHeight="1" spans="4:7">
      <c r="D248" s="93"/>
      <c r="E248" s="94"/>
      <c r="F248" s="95"/>
      <c r="G248" s="96"/>
    </row>
    <row r="249" ht="14.25" customHeight="1" spans="4:7">
      <c r="D249" s="93"/>
      <c r="E249" s="94"/>
      <c r="F249" s="95"/>
      <c r="G249" s="96"/>
    </row>
    <row r="250" ht="14.25" customHeight="1" spans="4:7">
      <c r="D250" s="93"/>
      <c r="E250" s="94"/>
      <c r="F250" s="95"/>
      <c r="G250" s="96"/>
    </row>
    <row r="251" ht="14.25" customHeight="1" spans="4:7">
      <c r="D251" s="93"/>
      <c r="E251" s="94"/>
      <c r="F251" s="95"/>
      <c r="G251" s="96"/>
    </row>
    <row r="252" ht="14.25" customHeight="1" spans="4:7">
      <c r="D252" s="93"/>
      <c r="E252" s="94"/>
      <c r="F252" s="95"/>
      <c r="G252" s="96"/>
    </row>
    <row r="253" ht="14.25" customHeight="1" spans="4:7">
      <c r="D253" s="93"/>
      <c r="E253" s="94"/>
      <c r="F253" s="95"/>
      <c r="G253" s="96"/>
    </row>
    <row r="254" ht="14.25" customHeight="1" spans="4:7">
      <c r="D254" s="93"/>
      <c r="E254" s="94"/>
      <c r="F254" s="95"/>
      <c r="G254" s="96"/>
    </row>
    <row r="255" ht="14.25" customHeight="1" spans="4:7">
      <c r="D255" s="93"/>
      <c r="E255" s="94"/>
      <c r="F255" s="95"/>
      <c r="G255" s="96"/>
    </row>
    <row r="256" ht="14.25" customHeight="1" spans="4:7">
      <c r="D256" s="93"/>
      <c r="E256" s="94"/>
      <c r="F256" s="95"/>
      <c r="G256" s="96"/>
    </row>
    <row r="257" ht="14.25" customHeight="1" spans="4:7">
      <c r="D257" s="93"/>
      <c r="E257" s="94"/>
      <c r="F257" s="95"/>
      <c r="G257" s="96"/>
    </row>
    <row r="258" ht="14.25" customHeight="1" spans="4:7">
      <c r="D258" s="93"/>
      <c r="E258" s="94"/>
      <c r="F258" s="95"/>
      <c r="G258" s="96"/>
    </row>
    <row r="259" ht="14.25" customHeight="1" spans="4:7">
      <c r="D259" s="93"/>
      <c r="E259" s="94"/>
      <c r="F259" s="95"/>
      <c r="G259" s="96"/>
    </row>
    <row r="260" ht="14.25" customHeight="1" spans="4:7">
      <c r="D260" s="93"/>
      <c r="E260" s="94"/>
      <c r="F260" s="95"/>
      <c r="G260" s="96"/>
    </row>
    <row r="261" ht="14.25" customHeight="1" spans="4:7">
      <c r="D261" s="93"/>
      <c r="E261" s="94"/>
      <c r="F261" s="95"/>
      <c r="G261" s="96"/>
    </row>
    <row r="262" ht="14.25" customHeight="1" spans="4:7">
      <c r="D262" s="93"/>
      <c r="E262" s="94"/>
      <c r="F262" s="95"/>
      <c r="G262" s="96"/>
    </row>
    <row r="263" ht="14.25" customHeight="1" spans="4:7">
      <c r="D263" s="93"/>
      <c r="E263" s="94"/>
      <c r="F263" s="95"/>
      <c r="G263" s="96"/>
    </row>
    <row r="264" ht="14.25" customHeight="1" spans="4:7">
      <c r="D264" s="93"/>
      <c r="E264" s="94"/>
      <c r="F264" s="95"/>
      <c r="G264" s="96"/>
    </row>
    <row r="265" ht="14.25" customHeight="1" spans="4:7">
      <c r="D265" s="93"/>
      <c r="E265" s="94"/>
      <c r="F265" s="95"/>
      <c r="G265" s="96"/>
    </row>
    <row r="266" ht="14.25" customHeight="1" spans="4:7">
      <c r="D266" s="93"/>
      <c r="E266" s="94"/>
      <c r="F266" s="95"/>
      <c r="G266" s="96"/>
    </row>
    <row r="267" ht="14.25" customHeight="1" spans="4:7">
      <c r="D267" s="93"/>
      <c r="E267" s="94"/>
      <c r="F267" s="95"/>
      <c r="G267" s="96"/>
    </row>
    <row r="268" ht="14.25" customHeight="1" spans="4:7">
      <c r="D268" s="93"/>
      <c r="E268" s="94"/>
      <c r="F268" s="95"/>
      <c r="G268" s="96"/>
    </row>
    <row r="269" ht="14.25" customHeight="1" spans="4:7">
      <c r="D269" s="93"/>
      <c r="E269" s="94"/>
      <c r="F269" s="95"/>
      <c r="G269" s="96"/>
    </row>
    <row r="270" ht="14.25" customHeight="1" spans="4:7">
      <c r="D270" s="93"/>
      <c r="E270" s="94"/>
      <c r="F270" s="95"/>
      <c r="G270" s="96"/>
    </row>
    <row r="271" ht="14.25" customHeight="1" spans="4:7">
      <c r="D271" s="93"/>
      <c r="E271" s="94"/>
      <c r="F271" s="95"/>
      <c r="G271" s="96"/>
    </row>
    <row r="272" ht="14.25" customHeight="1" spans="4:7">
      <c r="D272" s="93"/>
      <c r="E272" s="94"/>
      <c r="F272" s="95"/>
      <c r="G272" s="96"/>
    </row>
    <row r="273" ht="14.25" customHeight="1" spans="4:7">
      <c r="D273" s="93"/>
      <c r="E273" s="94"/>
      <c r="F273" s="95"/>
      <c r="G273" s="96"/>
    </row>
    <row r="274" ht="14.25" customHeight="1" spans="4:7">
      <c r="D274" s="93"/>
      <c r="E274" s="94"/>
      <c r="F274" s="95"/>
      <c r="G274" s="96"/>
    </row>
    <row r="275" ht="14.25" customHeight="1" spans="4:7">
      <c r="D275" s="93"/>
      <c r="E275" s="94"/>
      <c r="F275" s="95"/>
      <c r="G275" s="96"/>
    </row>
    <row r="276" ht="14.25" customHeight="1" spans="4:7">
      <c r="D276" s="93"/>
      <c r="E276" s="94"/>
      <c r="F276" s="95"/>
      <c r="G276" s="96"/>
    </row>
    <row r="277" ht="14.25" customHeight="1" spans="4:7">
      <c r="D277" s="93"/>
      <c r="E277" s="94"/>
      <c r="F277" s="95"/>
      <c r="G277" s="96"/>
    </row>
    <row r="278" ht="14.25" customHeight="1" spans="4:7">
      <c r="D278" s="93"/>
      <c r="E278" s="94"/>
      <c r="F278" s="95"/>
      <c r="G278" s="96"/>
    </row>
    <row r="279" ht="14.25" customHeight="1" spans="4:7">
      <c r="D279" s="93"/>
      <c r="E279" s="94"/>
      <c r="F279" s="95"/>
      <c r="G279" s="96"/>
    </row>
    <row r="280" ht="14.25" customHeight="1" spans="4:7">
      <c r="D280" s="93"/>
      <c r="E280" s="94"/>
      <c r="F280" s="95"/>
      <c r="G280" s="96"/>
    </row>
    <row r="281" ht="14.25" customHeight="1" spans="4:7">
      <c r="D281" s="93"/>
      <c r="E281" s="94"/>
      <c r="F281" s="95"/>
      <c r="G281" s="96"/>
    </row>
    <row r="282" ht="14.25" customHeight="1" spans="4:7">
      <c r="D282" s="93"/>
      <c r="E282" s="94"/>
      <c r="F282" s="95"/>
      <c r="G282" s="96"/>
    </row>
    <row r="283" ht="14.25" customHeight="1" spans="4:7">
      <c r="D283" s="93"/>
      <c r="E283" s="94"/>
      <c r="F283" s="95"/>
      <c r="G283" s="96"/>
    </row>
    <row r="284" ht="14.25" customHeight="1" spans="4:7">
      <c r="D284" s="93"/>
      <c r="E284" s="94"/>
      <c r="F284" s="95"/>
      <c r="G284" s="96"/>
    </row>
    <row r="285" ht="14.25" customHeight="1" spans="4:7">
      <c r="D285" s="93"/>
      <c r="E285" s="94"/>
      <c r="F285" s="95"/>
      <c r="G285" s="96"/>
    </row>
    <row r="286" ht="14.25" customHeight="1" spans="4:7">
      <c r="D286" s="93"/>
      <c r="E286" s="94"/>
      <c r="F286" s="95"/>
      <c r="G286" s="96"/>
    </row>
    <row r="287" ht="14.25" customHeight="1" spans="4:7">
      <c r="D287" s="93"/>
      <c r="E287" s="94"/>
      <c r="F287" s="95"/>
      <c r="G287" s="96"/>
    </row>
    <row r="288" ht="14.25" customHeight="1" spans="4:7">
      <c r="D288" s="93"/>
      <c r="E288" s="94"/>
      <c r="F288" s="95"/>
      <c r="G288" s="96"/>
    </row>
    <row r="289" ht="14.25" customHeight="1" spans="4:7">
      <c r="D289" s="93"/>
      <c r="E289" s="94"/>
      <c r="F289" s="95"/>
      <c r="G289" s="96"/>
    </row>
    <row r="290" ht="14.25" customHeight="1" spans="4:7">
      <c r="D290" s="93"/>
      <c r="E290" s="94"/>
      <c r="F290" s="95"/>
      <c r="G290" s="96"/>
    </row>
    <row r="291" ht="14.25" customHeight="1" spans="4:7">
      <c r="D291" s="93"/>
      <c r="E291" s="94"/>
      <c r="F291" s="95"/>
      <c r="G291" s="96"/>
    </row>
    <row r="292" ht="14.25" customHeight="1" spans="4:7">
      <c r="D292" s="93"/>
      <c r="E292" s="94"/>
      <c r="F292" s="95"/>
      <c r="G292" s="96"/>
    </row>
    <row r="293" ht="14.25" customHeight="1" spans="4:7">
      <c r="D293" s="93"/>
      <c r="E293" s="94"/>
      <c r="F293" s="95"/>
      <c r="G293" s="96"/>
    </row>
    <row r="294" ht="14.25" customHeight="1" spans="4:7">
      <c r="D294" s="93"/>
      <c r="E294" s="94"/>
      <c r="F294" s="95"/>
      <c r="G294" s="96"/>
    </row>
    <row r="295" ht="14.25" customHeight="1" spans="4:7">
      <c r="D295" s="93"/>
      <c r="E295" s="94"/>
      <c r="F295" s="95"/>
      <c r="G295" s="96"/>
    </row>
    <row r="296" ht="14.25" customHeight="1" spans="4:7">
      <c r="D296" s="93"/>
      <c r="E296" s="94"/>
      <c r="F296" s="95"/>
      <c r="G296" s="96"/>
    </row>
    <row r="297" ht="14.25" customHeight="1" spans="4:7">
      <c r="D297" s="93"/>
      <c r="E297" s="94"/>
      <c r="F297" s="95"/>
      <c r="G297" s="96"/>
    </row>
    <row r="298" ht="14.25" customHeight="1" spans="4:7">
      <c r="D298" s="93"/>
      <c r="E298" s="94"/>
      <c r="F298" s="95"/>
      <c r="G298" s="96"/>
    </row>
    <row r="299" ht="14.25" customHeight="1" spans="4:7">
      <c r="D299" s="93"/>
      <c r="E299" s="94"/>
      <c r="F299" s="95"/>
      <c r="G299" s="96"/>
    </row>
    <row r="300" ht="14.25" customHeight="1" spans="4:7">
      <c r="D300" s="93"/>
      <c r="E300" s="94"/>
      <c r="F300" s="95"/>
      <c r="G300" s="96"/>
    </row>
    <row r="301" ht="14.25" customHeight="1" spans="4:7">
      <c r="D301" s="93"/>
      <c r="E301" s="94"/>
      <c r="F301" s="95"/>
      <c r="G301" s="96"/>
    </row>
    <row r="302" ht="14.25" customHeight="1" spans="4:7">
      <c r="D302" s="93"/>
      <c r="E302" s="94"/>
      <c r="F302" s="95"/>
      <c r="G302" s="96"/>
    </row>
    <row r="303" ht="14.25" customHeight="1" spans="4:7">
      <c r="D303" s="93"/>
      <c r="E303" s="94"/>
      <c r="F303" s="95"/>
      <c r="G303" s="96"/>
    </row>
    <row r="304" ht="14.25" customHeight="1" spans="4:7">
      <c r="D304" s="93"/>
      <c r="E304" s="94"/>
      <c r="F304" s="95"/>
      <c r="G304" s="96"/>
    </row>
    <row r="305" ht="14.25" customHeight="1" spans="4:7">
      <c r="D305" s="93"/>
      <c r="E305" s="94"/>
      <c r="F305" s="95"/>
      <c r="G305" s="96"/>
    </row>
    <row r="306" ht="14.25" customHeight="1" spans="4:7">
      <c r="D306" s="93"/>
      <c r="E306" s="94"/>
      <c r="F306" s="95"/>
      <c r="G306" s="96"/>
    </row>
    <row r="307" ht="14.25" customHeight="1" spans="4:7">
      <c r="D307" s="93"/>
      <c r="E307" s="94"/>
      <c r="F307" s="95"/>
      <c r="G307" s="96"/>
    </row>
    <row r="308" ht="14.25" customHeight="1" spans="4:7">
      <c r="D308" s="93"/>
      <c r="E308" s="94"/>
      <c r="F308" s="95"/>
      <c r="G308" s="96"/>
    </row>
    <row r="309" ht="14.25" customHeight="1" spans="4:7">
      <c r="D309" s="93"/>
      <c r="E309" s="94"/>
      <c r="F309" s="95"/>
      <c r="G309" s="96"/>
    </row>
    <row r="310" ht="14.25" customHeight="1" spans="4:7">
      <c r="D310" s="93"/>
      <c r="E310" s="94"/>
      <c r="F310" s="95"/>
      <c r="G310" s="96"/>
    </row>
    <row r="311" ht="14.25" customHeight="1" spans="4:7">
      <c r="D311" s="93"/>
      <c r="E311" s="94"/>
      <c r="F311" s="95"/>
      <c r="G311" s="96"/>
    </row>
    <row r="312" ht="14.25" customHeight="1" spans="4:7">
      <c r="D312" s="93"/>
      <c r="E312" s="94"/>
      <c r="F312" s="95"/>
      <c r="G312" s="96"/>
    </row>
    <row r="313" ht="14.25" customHeight="1" spans="4:7">
      <c r="D313" s="93"/>
      <c r="E313" s="94"/>
      <c r="F313" s="95"/>
      <c r="G313" s="96"/>
    </row>
    <row r="314" ht="14.25" customHeight="1" spans="4:7">
      <c r="D314" s="93"/>
      <c r="E314" s="94"/>
      <c r="F314" s="95"/>
      <c r="G314" s="96"/>
    </row>
    <row r="315" ht="14.25" customHeight="1" spans="4:7">
      <c r="D315" s="93"/>
      <c r="E315" s="94"/>
      <c r="F315" s="95"/>
      <c r="G315" s="96"/>
    </row>
    <row r="316" ht="14.25" customHeight="1" spans="4:7">
      <c r="D316" s="93"/>
      <c r="E316" s="94"/>
      <c r="F316" s="95"/>
      <c r="G316" s="96"/>
    </row>
    <row r="317" ht="14.25" customHeight="1" spans="4:7">
      <c r="D317" s="93"/>
      <c r="E317" s="94"/>
      <c r="F317" s="95"/>
      <c r="G317" s="96"/>
    </row>
    <row r="318" ht="14.25" customHeight="1" spans="4:7">
      <c r="D318" s="93"/>
      <c r="E318" s="94"/>
      <c r="F318" s="95"/>
      <c r="G318" s="96"/>
    </row>
    <row r="319" ht="14.25" customHeight="1" spans="4:7">
      <c r="D319" s="93"/>
      <c r="E319" s="94"/>
      <c r="F319" s="95"/>
      <c r="G319" s="96"/>
    </row>
    <row r="320" ht="14.25" customHeight="1" spans="4:7">
      <c r="D320" s="93"/>
      <c r="E320" s="94"/>
      <c r="F320" s="95"/>
      <c r="G320" s="96"/>
    </row>
    <row r="321" ht="14.25" customHeight="1" spans="4:7">
      <c r="D321" s="93"/>
      <c r="E321" s="94"/>
      <c r="F321" s="95"/>
      <c r="G321" s="96"/>
    </row>
    <row r="322" ht="14.25" customHeight="1" spans="4:7">
      <c r="D322" s="93"/>
      <c r="E322" s="94"/>
      <c r="F322" s="95"/>
      <c r="G322" s="96"/>
    </row>
    <row r="323" ht="14.25" customHeight="1" spans="4:7">
      <c r="D323" s="93"/>
      <c r="E323" s="94"/>
      <c r="F323" s="95"/>
      <c r="G323" s="96"/>
    </row>
    <row r="324" ht="14.25" customHeight="1" spans="4:7">
      <c r="D324" s="93"/>
      <c r="E324" s="94"/>
      <c r="F324" s="95"/>
      <c r="G324" s="96"/>
    </row>
    <row r="325" ht="14.25" customHeight="1" spans="4:7">
      <c r="D325" s="93"/>
      <c r="E325" s="94"/>
      <c r="F325" s="95"/>
      <c r="G325" s="96"/>
    </row>
    <row r="326" ht="14.25" customHeight="1" spans="4:7">
      <c r="D326" s="93"/>
      <c r="E326" s="94"/>
      <c r="F326" s="95"/>
      <c r="G326" s="96"/>
    </row>
    <row r="327" ht="14.25" customHeight="1" spans="4:7">
      <c r="D327" s="93"/>
      <c r="E327" s="94"/>
      <c r="F327" s="95"/>
      <c r="G327" s="96"/>
    </row>
    <row r="328" ht="14.25" customHeight="1" spans="4:7">
      <c r="D328" s="93"/>
      <c r="E328" s="94"/>
      <c r="F328" s="95"/>
      <c r="G328" s="96"/>
    </row>
    <row r="329" ht="14.25" customHeight="1" spans="4:7">
      <c r="D329" s="93"/>
      <c r="E329" s="94"/>
      <c r="F329" s="95"/>
      <c r="G329" s="96"/>
    </row>
    <row r="330" ht="14.25" customHeight="1" spans="4:7">
      <c r="D330" s="93"/>
      <c r="E330" s="94"/>
      <c r="F330" s="95"/>
      <c r="G330" s="96"/>
    </row>
    <row r="331" ht="14.25" customHeight="1" spans="4:7">
      <c r="D331" s="93"/>
      <c r="E331" s="94"/>
      <c r="F331" s="95"/>
      <c r="G331" s="96"/>
    </row>
    <row r="332" ht="14.25" customHeight="1" spans="4:7">
      <c r="D332" s="93"/>
      <c r="E332" s="94"/>
      <c r="F332" s="95"/>
      <c r="G332" s="96"/>
    </row>
    <row r="333" ht="14.25" customHeight="1" spans="4:7">
      <c r="D333" s="93"/>
      <c r="E333" s="94"/>
      <c r="F333" s="95"/>
      <c r="G333" s="96"/>
    </row>
    <row r="334" ht="14.25" customHeight="1" spans="4:7">
      <c r="D334" s="93"/>
      <c r="E334" s="94"/>
      <c r="F334" s="95"/>
      <c r="G334" s="96"/>
    </row>
    <row r="335" ht="14.25" customHeight="1" spans="4:7">
      <c r="D335" s="93"/>
      <c r="E335" s="94"/>
      <c r="F335" s="95"/>
      <c r="G335" s="96"/>
    </row>
    <row r="336" ht="14.25" customHeight="1" spans="4:7">
      <c r="D336" s="93"/>
      <c r="E336" s="94"/>
      <c r="F336" s="95"/>
      <c r="G336" s="96"/>
    </row>
    <row r="337" ht="14.25" customHeight="1" spans="4:7">
      <c r="D337" s="93"/>
      <c r="E337" s="94"/>
      <c r="F337" s="95"/>
      <c r="G337" s="96"/>
    </row>
    <row r="338" ht="14.25" customHeight="1" spans="4:7">
      <c r="D338" s="93"/>
      <c r="E338" s="94"/>
      <c r="F338" s="95"/>
      <c r="G338" s="96"/>
    </row>
    <row r="339" ht="14.25" customHeight="1" spans="4:7">
      <c r="D339" s="93"/>
      <c r="E339" s="94"/>
      <c r="F339" s="95"/>
      <c r="G339" s="96"/>
    </row>
    <row r="340" ht="14.25" customHeight="1" spans="4:7">
      <c r="D340" s="93"/>
      <c r="E340" s="94"/>
      <c r="F340" s="95"/>
      <c r="G340" s="96"/>
    </row>
    <row r="341" ht="14.25" customHeight="1" spans="4:7">
      <c r="D341" s="93"/>
      <c r="E341" s="94"/>
      <c r="F341" s="95"/>
      <c r="G341" s="96"/>
    </row>
    <row r="342" ht="14.25" customHeight="1" spans="4:7">
      <c r="D342" s="93"/>
      <c r="E342" s="94"/>
      <c r="F342" s="95"/>
      <c r="G342" s="96"/>
    </row>
    <row r="343" ht="14.25" customHeight="1" spans="4:7">
      <c r="D343" s="93"/>
      <c r="E343" s="94"/>
      <c r="F343" s="95"/>
      <c r="G343" s="96"/>
    </row>
    <row r="344" ht="14.25" customHeight="1" spans="4:7">
      <c r="D344" s="93"/>
      <c r="E344" s="94"/>
      <c r="F344" s="95"/>
      <c r="G344" s="96"/>
    </row>
    <row r="345" ht="14.25" customHeight="1" spans="4:7">
      <c r="D345" s="93"/>
      <c r="E345" s="94"/>
      <c r="F345" s="95"/>
      <c r="G345" s="96"/>
    </row>
    <row r="346" ht="14.25" customHeight="1" spans="4:7">
      <c r="D346" s="93"/>
      <c r="E346" s="94"/>
      <c r="F346" s="95"/>
      <c r="G346" s="96"/>
    </row>
    <row r="347" ht="14.25" customHeight="1" spans="4:7">
      <c r="D347" s="93"/>
      <c r="E347" s="94"/>
      <c r="F347" s="95"/>
      <c r="G347" s="96"/>
    </row>
    <row r="348" ht="14.25" customHeight="1" spans="4:7">
      <c r="D348" s="93"/>
      <c r="E348" s="94"/>
      <c r="F348" s="95"/>
      <c r="G348" s="96"/>
    </row>
    <row r="349" ht="14.25" customHeight="1" spans="4:7">
      <c r="D349" s="93"/>
      <c r="E349" s="94"/>
      <c r="F349" s="95"/>
      <c r="G349" s="96"/>
    </row>
    <row r="350" ht="14.25" customHeight="1" spans="4:7">
      <c r="D350" s="93"/>
      <c r="E350" s="94"/>
      <c r="F350" s="95"/>
      <c r="G350" s="96"/>
    </row>
    <row r="351" ht="14.25" customHeight="1" spans="4:7">
      <c r="D351" s="93"/>
      <c r="E351" s="94"/>
      <c r="F351" s="95"/>
      <c r="G351" s="96"/>
    </row>
    <row r="352" ht="14.25" customHeight="1" spans="4:7">
      <c r="D352" s="93"/>
      <c r="E352" s="94"/>
      <c r="F352" s="95"/>
      <c r="G352" s="96"/>
    </row>
    <row r="353" ht="14.25" customHeight="1" spans="4:7">
      <c r="D353" s="93"/>
      <c r="E353" s="94"/>
      <c r="F353" s="95"/>
      <c r="G353" s="96"/>
    </row>
    <row r="354" ht="14.25" customHeight="1" spans="4:7">
      <c r="D354" s="93"/>
      <c r="E354" s="94"/>
      <c r="F354" s="95"/>
      <c r="G354" s="96"/>
    </row>
    <row r="355" ht="14.25" customHeight="1" spans="4:7">
      <c r="D355" s="93"/>
      <c r="E355" s="94"/>
      <c r="F355" s="95"/>
      <c r="G355" s="96"/>
    </row>
    <row r="356" ht="14.25" customHeight="1" spans="4:7">
      <c r="D356" s="93"/>
      <c r="E356" s="94"/>
      <c r="F356" s="95"/>
      <c r="G356" s="96"/>
    </row>
    <row r="357" ht="14.25" customHeight="1" spans="4:7">
      <c r="D357" s="93"/>
      <c r="E357" s="94"/>
      <c r="F357" s="95"/>
      <c r="G357" s="96"/>
    </row>
    <row r="358" ht="14.25" customHeight="1" spans="4:7">
      <c r="D358" s="93"/>
      <c r="E358" s="94"/>
      <c r="F358" s="95"/>
      <c r="G358" s="96"/>
    </row>
    <row r="359" ht="14.25" customHeight="1" spans="4:7">
      <c r="D359" s="93"/>
      <c r="E359" s="94"/>
      <c r="F359" s="95"/>
      <c r="G359" s="96"/>
    </row>
    <row r="360" ht="14.25" customHeight="1" spans="4:7">
      <c r="D360" s="93"/>
      <c r="E360" s="94"/>
      <c r="F360" s="95"/>
      <c r="G360" s="96"/>
    </row>
    <row r="361" ht="14.25" customHeight="1" spans="4:7">
      <c r="D361" s="93"/>
      <c r="E361" s="94"/>
      <c r="F361" s="95"/>
      <c r="G361" s="96"/>
    </row>
    <row r="362" ht="14.25" customHeight="1" spans="4:7">
      <c r="D362" s="93"/>
      <c r="E362" s="94"/>
      <c r="F362" s="95"/>
      <c r="G362" s="96"/>
    </row>
    <row r="363" ht="14.25" customHeight="1" spans="4:7">
      <c r="D363" s="93"/>
      <c r="E363" s="94"/>
      <c r="F363" s="95"/>
      <c r="G363" s="96"/>
    </row>
    <row r="364" ht="14.25" customHeight="1" spans="4:7">
      <c r="D364" s="93"/>
      <c r="E364" s="94"/>
      <c r="F364" s="95"/>
      <c r="G364" s="96"/>
    </row>
    <row r="365" ht="14.25" customHeight="1" spans="4:7">
      <c r="D365" s="93"/>
      <c r="E365" s="94"/>
      <c r="F365" s="95"/>
      <c r="G365" s="96"/>
    </row>
    <row r="366" ht="14.25" customHeight="1" spans="4:7">
      <c r="D366" s="93"/>
      <c r="E366" s="94"/>
      <c r="F366" s="95"/>
      <c r="G366" s="96"/>
    </row>
    <row r="367" ht="14.25" customHeight="1" spans="4:7">
      <c r="D367" s="93"/>
      <c r="E367" s="94"/>
      <c r="F367" s="95"/>
      <c r="G367" s="96"/>
    </row>
    <row r="368" ht="14.25" customHeight="1" spans="4:7">
      <c r="D368" s="93"/>
      <c r="E368" s="94"/>
      <c r="F368" s="95"/>
      <c r="G368" s="96"/>
    </row>
    <row r="369" ht="14.25" customHeight="1" spans="4:7">
      <c r="D369" s="93"/>
      <c r="E369" s="94"/>
      <c r="F369" s="95"/>
      <c r="G369" s="96"/>
    </row>
    <row r="370" ht="14.25" customHeight="1" spans="4:7">
      <c r="D370" s="93"/>
      <c r="E370" s="94"/>
      <c r="F370" s="95"/>
      <c r="G370" s="96"/>
    </row>
    <row r="371" ht="14.25" customHeight="1" spans="4:7">
      <c r="D371" s="93"/>
      <c r="E371" s="94"/>
      <c r="F371" s="95"/>
      <c r="G371" s="96"/>
    </row>
    <row r="372" ht="14.25" customHeight="1" spans="4:7">
      <c r="D372" s="93"/>
      <c r="E372" s="94"/>
      <c r="F372" s="95"/>
      <c r="G372" s="96"/>
    </row>
    <row r="373" ht="14.25" customHeight="1" spans="4:7">
      <c r="D373" s="93"/>
      <c r="E373" s="94"/>
      <c r="F373" s="95"/>
      <c r="G373" s="96"/>
    </row>
    <row r="374" ht="14.25" customHeight="1" spans="4:7">
      <c r="D374" s="93"/>
      <c r="E374" s="94"/>
      <c r="F374" s="95"/>
      <c r="G374" s="96"/>
    </row>
    <row r="375" ht="14.25" customHeight="1" spans="4:7">
      <c r="D375" s="93"/>
      <c r="E375" s="94"/>
      <c r="F375" s="95"/>
      <c r="G375" s="96"/>
    </row>
    <row r="376" ht="14.25" customHeight="1" spans="4:7">
      <c r="D376" s="93"/>
      <c r="E376" s="94"/>
      <c r="F376" s="95"/>
      <c r="G376" s="96"/>
    </row>
    <row r="377" ht="14.25" customHeight="1" spans="4:7">
      <c r="D377" s="93"/>
      <c r="E377" s="94"/>
      <c r="F377" s="95"/>
      <c r="G377" s="96"/>
    </row>
    <row r="378" ht="14.25" customHeight="1" spans="4:7">
      <c r="D378" s="93"/>
      <c r="E378" s="94"/>
      <c r="F378" s="95"/>
      <c r="G378" s="96"/>
    </row>
    <row r="379" ht="14.25" customHeight="1" spans="4:7">
      <c r="D379" s="93"/>
      <c r="E379" s="94"/>
      <c r="F379" s="95"/>
      <c r="G379" s="96"/>
    </row>
    <row r="380" ht="14.25" customHeight="1" spans="4:7">
      <c r="D380" s="93"/>
      <c r="E380" s="94"/>
      <c r="F380" s="95"/>
      <c r="G380" s="96"/>
    </row>
    <row r="381" ht="14.25" customHeight="1" spans="4:7">
      <c r="D381" s="93"/>
      <c r="E381" s="94"/>
      <c r="F381" s="95"/>
      <c r="G381" s="96"/>
    </row>
    <row r="382" ht="14.25" customHeight="1" spans="4:7">
      <c r="D382" s="93"/>
      <c r="E382" s="94"/>
      <c r="F382" s="95"/>
      <c r="G382" s="96"/>
    </row>
    <row r="383" ht="14.25" customHeight="1" spans="4:7">
      <c r="D383" s="93"/>
      <c r="E383" s="94"/>
      <c r="F383" s="95"/>
      <c r="G383" s="96"/>
    </row>
    <row r="384" ht="14.25" customHeight="1" spans="4:7">
      <c r="D384" s="93"/>
      <c r="E384" s="94"/>
      <c r="F384" s="95"/>
      <c r="G384" s="96"/>
    </row>
    <row r="385" ht="14.25" customHeight="1" spans="4:7">
      <c r="D385" s="93"/>
      <c r="E385" s="94"/>
      <c r="F385" s="95"/>
      <c r="G385" s="96"/>
    </row>
    <row r="386" ht="14.25" customHeight="1" spans="4:7">
      <c r="D386" s="93"/>
      <c r="E386" s="94"/>
      <c r="F386" s="95"/>
      <c r="G386" s="96"/>
    </row>
    <row r="387" ht="14.25" customHeight="1" spans="4:7">
      <c r="D387" s="93"/>
      <c r="E387" s="94"/>
      <c r="F387" s="95"/>
      <c r="G387" s="96"/>
    </row>
    <row r="388" ht="14.25" customHeight="1" spans="4:7">
      <c r="D388" s="93"/>
      <c r="E388" s="94"/>
      <c r="F388" s="95"/>
      <c r="G388" s="96"/>
    </row>
    <row r="389" ht="14.25" customHeight="1" spans="4:7">
      <c r="D389" s="93"/>
      <c r="E389" s="94"/>
      <c r="F389" s="95"/>
      <c r="G389" s="96"/>
    </row>
    <row r="390" ht="14.25" customHeight="1" spans="4:7">
      <c r="D390" s="93"/>
      <c r="E390" s="94"/>
      <c r="F390" s="95"/>
      <c r="G390" s="96"/>
    </row>
    <row r="391" ht="14.25" customHeight="1" spans="4:7">
      <c r="D391" s="93"/>
      <c r="E391" s="94"/>
      <c r="F391" s="95"/>
      <c r="G391" s="96"/>
    </row>
    <row r="392" ht="14.25" customHeight="1" spans="4:7">
      <c r="D392" s="93"/>
      <c r="E392" s="94"/>
      <c r="F392" s="95"/>
      <c r="G392" s="96"/>
    </row>
    <row r="393" ht="14.25" customHeight="1" spans="4:7">
      <c r="D393" s="93"/>
      <c r="E393" s="94"/>
      <c r="F393" s="95"/>
      <c r="G393" s="96"/>
    </row>
    <row r="394" ht="14.25" customHeight="1" spans="4:7">
      <c r="D394" s="93"/>
      <c r="E394" s="94"/>
      <c r="F394" s="95"/>
      <c r="G394" s="96"/>
    </row>
    <row r="395" ht="14.25" customHeight="1" spans="4:7">
      <c r="D395" s="93"/>
      <c r="E395" s="94"/>
      <c r="F395" s="95"/>
      <c r="G395" s="96"/>
    </row>
    <row r="396" ht="14.25" customHeight="1" spans="4:7">
      <c r="D396" s="93"/>
      <c r="E396" s="94"/>
      <c r="F396" s="95"/>
      <c r="G396" s="96"/>
    </row>
    <row r="397" ht="14.25" customHeight="1" spans="4:7">
      <c r="D397" s="93"/>
      <c r="E397" s="94"/>
      <c r="F397" s="95"/>
      <c r="G397" s="96"/>
    </row>
    <row r="398" ht="14.25" customHeight="1" spans="4:7">
      <c r="D398" s="93"/>
      <c r="E398" s="94"/>
      <c r="F398" s="95"/>
      <c r="G398" s="96"/>
    </row>
    <row r="399" ht="14.25" customHeight="1" spans="4:7">
      <c r="D399" s="93"/>
      <c r="E399" s="94"/>
      <c r="F399" s="95"/>
      <c r="G399" s="96"/>
    </row>
    <row r="400" ht="14.25" customHeight="1" spans="4:7">
      <c r="D400" s="93"/>
      <c r="E400" s="94"/>
      <c r="F400" s="95"/>
      <c r="G400" s="96"/>
    </row>
    <row r="401" ht="14.25" customHeight="1" spans="4:7">
      <c r="D401" s="93"/>
      <c r="E401" s="94"/>
      <c r="F401" s="95"/>
      <c r="G401" s="96"/>
    </row>
    <row r="402" ht="14.25" customHeight="1" spans="4:7">
      <c r="D402" s="93"/>
      <c r="E402" s="94"/>
      <c r="F402" s="95"/>
      <c r="G402" s="96"/>
    </row>
    <row r="403" ht="14.25" customHeight="1" spans="4:7">
      <c r="D403" s="93"/>
      <c r="E403" s="94"/>
      <c r="F403" s="95"/>
      <c r="G403" s="96"/>
    </row>
    <row r="404" ht="14.25" customHeight="1" spans="4:7">
      <c r="D404" s="93"/>
      <c r="E404" s="94"/>
      <c r="F404" s="95"/>
      <c r="G404" s="96"/>
    </row>
    <row r="405" ht="14.25" customHeight="1" spans="4:7">
      <c r="D405" s="93"/>
      <c r="E405" s="94"/>
      <c r="F405" s="95"/>
      <c r="G405" s="96"/>
    </row>
    <row r="406" ht="14.25" customHeight="1" spans="4:7">
      <c r="D406" s="93"/>
      <c r="E406" s="94"/>
      <c r="F406" s="95"/>
      <c r="G406" s="96"/>
    </row>
    <row r="407" ht="14.25" customHeight="1" spans="4:7">
      <c r="D407" s="93"/>
      <c r="E407" s="94"/>
      <c r="F407" s="95"/>
      <c r="G407" s="96"/>
    </row>
    <row r="408" ht="14.25" customHeight="1" spans="4:7">
      <c r="D408" s="93"/>
      <c r="E408" s="94"/>
      <c r="F408" s="95"/>
      <c r="G408" s="96"/>
    </row>
    <row r="409" ht="14.25" customHeight="1" spans="4:7">
      <c r="D409" s="93"/>
      <c r="E409" s="94"/>
      <c r="F409" s="95"/>
      <c r="G409" s="96"/>
    </row>
    <row r="410" ht="14.25" customHeight="1" spans="4:7">
      <c r="D410" s="93"/>
      <c r="E410" s="94"/>
      <c r="F410" s="95"/>
      <c r="G410" s="96"/>
    </row>
    <row r="411" ht="14.25" customHeight="1" spans="4:7">
      <c r="D411" s="93"/>
      <c r="E411" s="94"/>
      <c r="F411" s="95"/>
      <c r="G411" s="96"/>
    </row>
    <row r="412" ht="14.25" customHeight="1" spans="4:7">
      <c r="D412" s="93"/>
      <c r="E412" s="94"/>
      <c r="F412" s="95"/>
      <c r="G412" s="96"/>
    </row>
    <row r="413" ht="14.25" customHeight="1" spans="4:7">
      <c r="D413" s="93"/>
      <c r="E413" s="94"/>
      <c r="F413" s="95"/>
      <c r="G413" s="96"/>
    </row>
    <row r="414" ht="14.25" customHeight="1" spans="4:7">
      <c r="D414" s="93"/>
      <c r="E414" s="94"/>
      <c r="F414" s="95"/>
      <c r="G414" s="96"/>
    </row>
    <row r="415" ht="14.25" customHeight="1" spans="4:7">
      <c r="D415" s="93"/>
      <c r="E415" s="94"/>
      <c r="F415" s="95"/>
      <c r="G415" s="96"/>
    </row>
    <row r="416" ht="14.25" customHeight="1" spans="4:7">
      <c r="D416" s="93"/>
      <c r="E416" s="94"/>
      <c r="F416" s="95"/>
      <c r="G416" s="96"/>
    </row>
    <row r="417" ht="14.25" customHeight="1" spans="4:7">
      <c r="D417" s="93"/>
      <c r="E417" s="94"/>
      <c r="F417" s="95"/>
      <c r="G417" s="96"/>
    </row>
    <row r="418" ht="14.25" customHeight="1" spans="4:7">
      <c r="D418" s="93"/>
      <c r="E418" s="94"/>
      <c r="F418" s="95"/>
      <c r="G418" s="96"/>
    </row>
    <row r="419" ht="14.25" customHeight="1" spans="4:7">
      <c r="D419" s="93"/>
      <c r="E419" s="94"/>
      <c r="F419" s="95"/>
      <c r="G419" s="96"/>
    </row>
    <row r="420" ht="14.25" customHeight="1" spans="4:7">
      <c r="D420" s="93"/>
      <c r="E420" s="94"/>
      <c r="F420" s="95"/>
      <c r="G420" s="96"/>
    </row>
    <row r="421" ht="14.25" customHeight="1" spans="4:7">
      <c r="D421" s="93"/>
      <c r="E421" s="94"/>
      <c r="F421" s="95"/>
      <c r="G421" s="96"/>
    </row>
    <row r="422" ht="14.25" customHeight="1" spans="4:7">
      <c r="D422" s="93"/>
      <c r="E422" s="94"/>
      <c r="F422" s="95"/>
      <c r="G422" s="96"/>
    </row>
    <row r="423" ht="14.25" customHeight="1" spans="4:7">
      <c r="D423" s="93"/>
      <c r="E423" s="94"/>
      <c r="F423" s="95"/>
      <c r="G423" s="96"/>
    </row>
    <row r="424" ht="14.25" customHeight="1" spans="4:7">
      <c r="D424" s="93"/>
      <c r="E424" s="94"/>
      <c r="F424" s="95"/>
      <c r="G424" s="96"/>
    </row>
    <row r="425" ht="14.25" customHeight="1" spans="4:7">
      <c r="D425" s="93"/>
      <c r="E425" s="94"/>
      <c r="F425" s="95"/>
      <c r="G425" s="96"/>
    </row>
    <row r="426" ht="14.25" customHeight="1" spans="4:7">
      <c r="D426" s="93"/>
      <c r="E426" s="94"/>
      <c r="F426" s="95"/>
      <c r="G426" s="96"/>
    </row>
    <row r="427" ht="14.25" customHeight="1" spans="4:7">
      <c r="D427" s="93"/>
      <c r="E427" s="94"/>
      <c r="F427" s="95"/>
      <c r="G427" s="96"/>
    </row>
    <row r="428" ht="14.25" customHeight="1" spans="4:7">
      <c r="D428" s="93"/>
      <c r="E428" s="94"/>
      <c r="F428" s="95"/>
      <c r="G428" s="96"/>
    </row>
    <row r="429" ht="14.25" customHeight="1" spans="4:7">
      <c r="D429" s="93"/>
      <c r="E429" s="94"/>
      <c r="F429" s="95"/>
      <c r="G429" s="96"/>
    </row>
    <row r="430" ht="14.25" customHeight="1" spans="4:7">
      <c r="D430" s="93"/>
      <c r="E430" s="94"/>
      <c r="F430" s="95"/>
      <c r="G430" s="96"/>
    </row>
    <row r="431" ht="14.25" customHeight="1" spans="4:7">
      <c r="D431" s="93"/>
      <c r="E431" s="94"/>
      <c r="F431" s="95"/>
      <c r="G431" s="96"/>
    </row>
    <row r="432" ht="14.25" customHeight="1" spans="4:7">
      <c r="D432" s="93"/>
      <c r="E432" s="94"/>
      <c r="F432" s="95"/>
      <c r="G432" s="96"/>
    </row>
    <row r="433" ht="14.25" customHeight="1" spans="4:7">
      <c r="D433" s="93"/>
      <c r="E433" s="94"/>
      <c r="F433" s="95"/>
      <c r="G433" s="96"/>
    </row>
    <row r="434" ht="14.25" customHeight="1" spans="4:7">
      <c r="D434" s="93"/>
      <c r="E434" s="94"/>
      <c r="F434" s="95"/>
      <c r="G434" s="96"/>
    </row>
    <row r="435" ht="14.25" customHeight="1" spans="4:7">
      <c r="D435" s="93"/>
      <c r="E435" s="94"/>
      <c r="F435" s="95"/>
      <c r="G435" s="96"/>
    </row>
    <row r="436" ht="14.25" customHeight="1" spans="4:7">
      <c r="D436" s="93"/>
      <c r="E436" s="94"/>
      <c r="F436" s="95"/>
      <c r="G436" s="96"/>
    </row>
    <row r="437" ht="14.25" customHeight="1" spans="4:7">
      <c r="D437" s="93"/>
      <c r="E437" s="94"/>
      <c r="F437" s="95"/>
      <c r="G437" s="96"/>
    </row>
    <row r="438" ht="14.25" customHeight="1" spans="4:7">
      <c r="D438" s="93"/>
      <c r="E438" s="94"/>
      <c r="F438" s="95"/>
      <c r="G438" s="96"/>
    </row>
    <row r="439" ht="14.25" customHeight="1" spans="4:7">
      <c r="D439" s="93"/>
      <c r="E439" s="94"/>
      <c r="F439" s="95"/>
      <c r="G439" s="96"/>
    </row>
    <row r="440" ht="14.25" customHeight="1" spans="4:7">
      <c r="D440" s="93"/>
      <c r="E440" s="94"/>
      <c r="F440" s="95"/>
      <c r="G440" s="96"/>
    </row>
    <row r="441" ht="14.25" customHeight="1" spans="4:7">
      <c r="D441" s="93"/>
      <c r="E441" s="94"/>
      <c r="F441" s="95"/>
      <c r="G441" s="96"/>
    </row>
    <row r="442" ht="14.25" customHeight="1" spans="4:7">
      <c r="D442" s="93"/>
      <c r="E442" s="94"/>
      <c r="F442" s="95"/>
      <c r="G442" s="96"/>
    </row>
    <row r="443" ht="14.25" customHeight="1" spans="4:7">
      <c r="D443" s="93"/>
      <c r="E443" s="94"/>
      <c r="F443" s="95"/>
      <c r="G443" s="96"/>
    </row>
    <row r="444" ht="14.25" customHeight="1" spans="4:7">
      <c r="D444" s="93"/>
      <c r="E444" s="94"/>
      <c r="F444" s="95"/>
      <c r="G444" s="96"/>
    </row>
    <row r="445" ht="14.25" customHeight="1" spans="4:7">
      <c r="D445" s="93"/>
      <c r="E445" s="94"/>
      <c r="F445" s="95"/>
      <c r="G445" s="96"/>
    </row>
    <row r="446" ht="14.25" customHeight="1" spans="4:7">
      <c r="D446" s="93"/>
      <c r="E446" s="94"/>
      <c r="F446" s="95"/>
      <c r="G446" s="96"/>
    </row>
    <row r="447" ht="14.25" customHeight="1" spans="4:7">
      <c r="D447" s="93"/>
      <c r="E447" s="94"/>
      <c r="F447" s="95"/>
      <c r="G447" s="96"/>
    </row>
    <row r="448" ht="14.25" customHeight="1" spans="4:7">
      <c r="D448" s="93"/>
      <c r="E448" s="94"/>
      <c r="F448" s="95"/>
      <c r="G448" s="96"/>
    </row>
    <row r="449" ht="14.25" customHeight="1" spans="4:7">
      <c r="D449" s="93"/>
      <c r="E449" s="94"/>
      <c r="F449" s="95"/>
      <c r="G449" s="96"/>
    </row>
    <row r="450" ht="14.25" customHeight="1" spans="4:7">
      <c r="D450" s="93"/>
      <c r="E450" s="94"/>
      <c r="F450" s="95"/>
      <c r="G450" s="96"/>
    </row>
    <row r="451" ht="14.25" customHeight="1" spans="4:7">
      <c r="D451" s="93"/>
      <c r="E451" s="94"/>
      <c r="F451" s="95"/>
      <c r="G451" s="96"/>
    </row>
    <row r="452" ht="14.25" customHeight="1" spans="4:7">
      <c r="D452" s="93"/>
      <c r="E452" s="94"/>
      <c r="F452" s="95"/>
      <c r="G452" s="96"/>
    </row>
    <row r="453" ht="14.25" customHeight="1" spans="4:7">
      <c r="D453" s="93"/>
      <c r="E453" s="94"/>
      <c r="F453" s="95"/>
      <c r="G453" s="96"/>
    </row>
    <row r="454" ht="14.25" customHeight="1" spans="4:7">
      <c r="D454" s="93"/>
      <c r="E454" s="94"/>
      <c r="F454" s="95"/>
      <c r="G454" s="96"/>
    </row>
    <row r="455" ht="14.25" customHeight="1" spans="4:7">
      <c r="D455" s="93"/>
      <c r="E455" s="94"/>
      <c r="F455" s="95"/>
      <c r="G455" s="96"/>
    </row>
    <row r="456" ht="14.25" customHeight="1" spans="4:7">
      <c r="D456" s="93"/>
      <c r="E456" s="94"/>
      <c r="F456" s="95"/>
      <c r="G456" s="96"/>
    </row>
    <row r="457" ht="14.25" customHeight="1" spans="4:7">
      <c r="D457" s="93"/>
      <c r="E457" s="94"/>
      <c r="F457" s="95"/>
      <c r="G457" s="96"/>
    </row>
    <row r="458" ht="14.25" customHeight="1" spans="4:7">
      <c r="D458" s="93"/>
      <c r="E458" s="94"/>
      <c r="F458" s="95"/>
      <c r="G458" s="96"/>
    </row>
    <row r="459" ht="14.25" customHeight="1" spans="4:7">
      <c r="D459" s="93"/>
      <c r="E459" s="94"/>
      <c r="F459" s="95"/>
      <c r="G459" s="96"/>
    </row>
    <row r="460" ht="14.25" customHeight="1" spans="4:7">
      <c r="D460" s="93"/>
      <c r="E460" s="94"/>
      <c r="F460" s="95"/>
      <c r="G460" s="96"/>
    </row>
    <row r="461" ht="14.25" customHeight="1" spans="4:7">
      <c r="D461" s="93"/>
      <c r="E461" s="94"/>
      <c r="F461" s="95"/>
      <c r="G461" s="96"/>
    </row>
    <row r="462" ht="14.25" customHeight="1" spans="4:7">
      <c r="D462" s="93"/>
      <c r="E462" s="94"/>
      <c r="F462" s="95"/>
      <c r="G462" s="96"/>
    </row>
    <row r="463" ht="14.25" customHeight="1" spans="4:7">
      <c r="D463" s="93"/>
      <c r="E463" s="94"/>
      <c r="F463" s="95"/>
      <c r="G463" s="96"/>
    </row>
    <row r="464" ht="14.25" customHeight="1" spans="4:7">
      <c r="D464" s="93"/>
      <c r="E464" s="94"/>
      <c r="F464" s="95"/>
      <c r="G464" s="96"/>
    </row>
    <row r="465" ht="14.25" customHeight="1" spans="4:7">
      <c r="D465" s="93"/>
      <c r="E465" s="94"/>
      <c r="F465" s="95"/>
      <c r="G465" s="96"/>
    </row>
    <row r="466" ht="14.25" customHeight="1" spans="4:7">
      <c r="D466" s="93"/>
      <c r="E466" s="94"/>
      <c r="F466" s="95"/>
      <c r="G466" s="96"/>
    </row>
    <row r="467" ht="14.25" customHeight="1" spans="4:7">
      <c r="D467" s="93"/>
      <c r="E467" s="94"/>
      <c r="F467" s="95"/>
      <c r="G467" s="96"/>
    </row>
    <row r="468" ht="14.25" customHeight="1" spans="4:7">
      <c r="D468" s="93"/>
      <c r="E468" s="94"/>
      <c r="F468" s="95"/>
      <c r="G468" s="96"/>
    </row>
    <row r="469" ht="14.25" customHeight="1" spans="4:7">
      <c r="D469" s="93"/>
      <c r="E469" s="94"/>
      <c r="F469" s="95"/>
      <c r="G469" s="96"/>
    </row>
    <row r="470" ht="14.25" customHeight="1" spans="4:7">
      <c r="D470" s="93"/>
      <c r="E470" s="94"/>
      <c r="F470" s="95"/>
      <c r="G470" s="96"/>
    </row>
    <row r="471" ht="14.25" customHeight="1" spans="4:7">
      <c r="D471" s="93"/>
      <c r="E471" s="94"/>
      <c r="F471" s="95"/>
      <c r="G471" s="96"/>
    </row>
    <row r="472" ht="14.25" customHeight="1" spans="4:7">
      <c r="D472" s="93"/>
      <c r="E472" s="94"/>
      <c r="F472" s="95"/>
      <c r="G472" s="96"/>
    </row>
    <row r="473" ht="14.25" customHeight="1" spans="4:7">
      <c r="D473" s="93"/>
      <c r="E473" s="94"/>
      <c r="F473" s="95"/>
      <c r="G473" s="96"/>
    </row>
    <row r="474" ht="14.25" customHeight="1" spans="4:7">
      <c r="D474" s="93"/>
      <c r="E474" s="94"/>
      <c r="F474" s="95"/>
      <c r="G474" s="96"/>
    </row>
    <row r="475" ht="14.25" customHeight="1" spans="4:7">
      <c r="D475" s="93"/>
      <c r="E475" s="94"/>
      <c r="F475" s="95"/>
      <c r="G475" s="96"/>
    </row>
    <row r="476" ht="14.25" customHeight="1" spans="4:7">
      <c r="D476" s="93"/>
      <c r="E476" s="94"/>
      <c r="F476" s="95"/>
      <c r="G476" s="96"/>
    </row>
    <row r="477" ht="14.25" customHeight="1" spans="4:7">
      <c r="D477" s="93"/>
      <c r="E477" s="94"/>
      <c r="F477" s="95"/>
      <c r="G477" s="96"/>
    </row>
    <row r="478" ht="14.25" customHeight="1" spans="4:7">
      <c r="D478" s="93"/>
      <c r="E478" s="94"/>
      <c r="F478" s="95"/>
      <c r="G478" s="96"/>
    </row>
    <row r="479" ht="14.25" customHeight="1" spans="4:7">
      <c r="D479" s="93"/>
      <c r="E479" s="94"/>
      <c r="F479" s="95"/>
      <c r="G479" s="96"/>
    </row>
    <row r="480" ht="14.25" customHeight="1" spans="4:7">
      <c r="D480" s="93"/>
      <c r="E480" s="94"/>
      <c r="F480" s="95"/>
      <c r="G480" s="96"/>
    </row>
    <row r="481" ht="14.25" customHeight="1" spans="4:7">
      <c r="D481" s="93"/>
      <c r="E481" s="94"/>
      <c r="F481" s="95"/>
      <c r="G481" s="96"/>
    </row>
    <row r="482" ht="14.25" customHeight="1" spans="4:7">
      <c r="D482" s="93"/>
      <c r="E482" s="94"/>
      <c r="F482" s="95"/>
      <c r="G482" s="96"/>
    </row>
    <row r="483" ht="14.25" customHeight="1" spans="4:7">
      <c r="D483" s="93"/>
      <c r="E483" s="94"/>
      <c r="F483" s="95"/>
      <c r="G483" s="96"/>
    </row>
    <row r="484" ht="14.25" customHeight="1" spans="4:7">
      <c r="D484" s="93"/>
      <c r="E484" s="94"/>
      <c r="F484" s="95"/>
      <c r="G484" s="96"/>
    </row>
    <row r="485" ht="14.25" customHeight="1" spans="4:7">
      <c r="D485" s="93"/>
      <c r="E485" s="94"/>
      <c r="F485" s="95"/>
      <c r="G485" s="96"/>
    </row>
    <row r="486" ht="14.25" customHeight="1" spans="4:7">
      <c r="D486" s="93"/>
      <c r="E486" s="94"/>
      <c r="F486" s="95"/>
      <c r="G486" s="96"/>
    </row>
    <row r="487" ht="14.25" customHeight="1" spans="4:7">
      <c r="D487" s="93"/>
      <c r="E487" s="94"/>
      <c r="F487" s="95"/>
      <c r="G487" s="96"/>
    </row>
    <row r="488" ht="14.25" customHeight="1" spans="4:7">
      <c r="D488" s="93"/>
      <c r="E488" s="94"/>
      <c r="F488" s="95"/>
      <c r="G488" s="96"/>
    </row>
    <row r="489" ht="14.25" customHeight="1" spans="4:7">
      <c r="D489" s="93"/>
      <c r="E489" s="94"/>
      <c r="F489" s="95"/>
      <c r="G489" s="96"/>
    </row>
    <row r="490" ht="14.25" customHeight="1" spans="4:7">
      <c r="D490" s="93"/>
      <c r="E490" s="94"/>
      <c r="F490" s="95"/>
      <c r="G490" s="96"/>
    </row>
    <row r="491" ht="14.25" customHeight="1" spans="4:7">
      <c r="D491" s="93"/>
      <c r="E491" s="94"/>
      <c r="F491" s="95"/>
      <c r="G491" s="96"/>
    </row>
    <row r="492" ht="14.25" customHeight="1" spans="4:7">
      <c r="D492" s="93"/>
      <c r="E492" s="94"/>
      <c r="F492" s="95"/>
      <c r="G492" s="96"/>
    </row>
    <row r="493" ht="14.25" customHeight="1" spans="4:7">
      <c r="D493" s="93"/>
      <c r="E493" s="94"/>
      <c r="F493" s="95"/>
      <c r="G493" s="96"/>
    </row>
    <row r="494" ht="14.25" customHeight="1" spans="4:7">
      <c r="D494" s="93"/>
      <c r="E494" s="94"/>
      <c r="F494" s="95"/>
      <c r="G494" s="96"/>
    </row>
    <row r="495" ht="14.25" customHeight="1" spans="4:7">
      <c r="D495" s="93"/>
      <c r="E495" s="94"/>
      <c r="F495" s="95"/>
      <c r="G495" s="96"/>
    </row>
    <row r="496" ht="14.25" customHeight="1" spans="4:7">
      <c r="D496" s="93"/>
      <c r="E496" s="94"/>
      <c r="F496" s="95"/>
      <c r="G496" s="96"/>
    </row>
    <row r="497" ht="14.25" customHeight="1" spans="4:7">
      <c r="D497" s="93"/>
      <c r="E497" s="94"/>
      <c r="F497" s="95"/>
      <c r="G497" s="96"/>
    </row>
    <row r="498" ht="14.25" customHeight="1" spans="4:7">
      <c r="D498" s="93"/>
      <c r="E498" s="94"/>
      <c r="F498" s="95"/>
      <c r="G498" s="96"/>
    </row>
    <row r="499" ht="14.25" customHeight="1" spans="4:7">
      <c r="D499" s="93"/>
      <c r="E499" s="94"/>
      <c r="F499" s="95"/>
      <c r="G499" s="96"/>
    </row>
    <row r="500" ht="14.25" customHeight="1" spans="4:7">
      <c r="D500" s="93"/>
      <c r="E500" s="94"/>
      <c r="F500" s="95"/>
      <c r="G500" s="96"/>
    </row>
    <row r="501" ht="14.25" customHeight="1" spans="4:7">
      <c r="D501" s="93"/>
      <c r="E501" s="94"/>
      <c r="F501" s="95"/>
      <c r="G501" s="96"/>
    </row>
    <row r="502" ht="14.25" customHeight="1" spans="4:7">
      <c r="D502" s="93"/>
      <c r="E502" s="94"/>
      <c r="F502" s="95"/>
      <c r="G502" s="96"/>
    </row>
    <row r="503" ht="14.25" customHeight="1" spans="4:7">
      <c r="D503" s="93"/>
      <c r="E503" s="94"/>
      <c r="F503" s="95"/>
      <c r="G503" s="96"/>
    </row>
    <row r="504" ht="14.25" customHeight="1" spans="4:7">
      <c r="D504" s="93"/>
      <c r="E504" s="94"/>
      <c r="F504" s="95"/>
      <c r="G504" s="96"/>
    </row>
    <row r="505" ht="14.25" customHeight="1" spans="4:7">
      <c r="D505" s="93"/>
      <c r="E505" s="94"/>
      <c r="F505" s="95"/>
      <c r="G505" s="96"/>
    </row>
    <row r="506" ht="14.25" customHeight="1" spans="4:7">
      <c r="D506" s="93"/>
      <c r="E506" s="94"/>
      <c r="F506" s="95"/>
      <c r="G506" s="96"/>
    </row>
    <row r="507" ht="14.25" customHeight="1" spans="4:7">
      <c r="D507" s="93"/>
      <c r="E507" s="94"/>
      <c r="F507" s="95"/>
      <c r="G507" s="96"/>
    </row>
    <row r="508" ht="14.25" customHeight="1" spans="4:7">
      <c r="D508" s="93"/>
      <c r="E508" s="94"/>
      <c r="F508" s="95"/>
      <c r="G508" s="96"/>
    </row>
    <row r="509" ht="14.25" customHeight="1" spans="4:7">
      <c r="D509" s="93"/>
      <c r="E509" s="94"/>
      <c r="F509" s="95"/>
      <c r="G509" s="96"/>
    </row>
    <row r="510" ht="14.25" customHeight="1" spans="4:7">
      <c r="D510" s="93"/>
      <c r="E510" s="94"/>
      <c r="F510" s="95"/>
      <c r="G510" s="96"/>
    </row>
    <row r="511" ht="14.25" customHeight="1" spans="4:7">
      <c r="D511" s="93"/>
      <c r="E511" s="94"/>
      <c r="F511" s="95"/>
      <c r="G511" s="96"/>
    </row>
    <row r="512" ht="14.25" customHeight="1" spans="4:7">
      <c r="D512" s="93"/>
      <c r="E512" s="94"/>
      <c r="F512" s="95"/>
      <c r="G512" s="96"/>
    </row>
    <row r="513" ht="14.25" customHeight="1" spans="4:7">
      <c r="D513" s="93"/>
      <c r="E513" s="94"/>
      <c r="F513" s="95"/>
      <c r="G513" s="96"/>
    </row>
    <row r="514" ht="14.25" customHeight="1" spans="4:7">
      <c r="D514" s="93"/>
      <c r="E514" s="94"/>
      <c r="F514" s="95"/>
      <c r="G514" s="96"/>
    </row>
    <row r="515" ht="14.25" customHeight="1" spans="4:7">
      <c r="D515" s="93"/>
      <c r="E515" s="94"/>
      <c r="F515" s="95"/>
      <c r="G515" s="96"/>
    </row>
    <row r="516" ht="14.25" customHeight="1" spans="4:7">
      <c r="D516" s="93"/>
      <c r="E516" s="94"/>
      <c r="F516" s="95"/>
      <c r="G516" s="96"/>
    </row>
    <row r="517" ht="14.25" customHeight="1" spans="4:7">
      <c r="D517" s="93"/>
      <c r="E517" s="94"/>
      <c r="F517" s="95"/>
      <c r="G517" s="96"/>
    </row>
    <row r="518" ht="14.25" customHeight="1" spans="4:7">
      <c r="D518" s="93"/>
      <c r="E518" s="94"/>
      <c r="F518" s="95"/>
      <c r="G518" s="96"/>
    </row>
    <row r="519" ht="14.25" customHeight="1" spans="4:7">
      <c r="D519" s="93"/>
      <c r="E519" s="94"/>
      <c r="F519" s="95"/>
      <c r="G519" s="96"/>
    </row>
    <row r="520" ht="14.25" customHeight="1" spans="4:7">
      <c r="D520" s="93"/>
      <c r="E520" s="94"/>
      <c r="F520" s="95"/>
      <c r="G520" s="96"/>
    </row>
    <row r="521" ht="14.25" customHeight="1" spans="4:7">
      <c r="D521" s="93"/>
      <c r="E521" s="94"/>
      <c r="F521" s="95"/>
      <c r="G521" s="96"/>
    </row>
    <row r="522" ht="14.25" customHeight="1" spans="4:7">
      <c r="D522" s="93"/>
      <c r="E522" s="94"/>
      <c r="F522" s="95"/>
      <c r="G522" s="96"/>
    </row>
    <row r="523" ht="14.25" customHeight="1" spans="4:7">
      <c r="D523" s="93"/>
      <c r="E523" s="94"/>
      <c r="F523" s="95"/>
      <c r="G523" s="96"/>
    </row>
    <row r="524" ht="14.25" customHeight="1" spans="4:7">
      <c r="D524" s="93"/>
      <c r="E524" s="94"/>
      <c r="F524" s="95"/>
      <c r="G524" s="96"/>
    </row>
    <row r="525" ht="14.25" customHeight="1" spans="4:7">
      <c r="D525" s="93"/>
      <c r="E525" s="94"/>
      <c r="F525" s="95"/>
      <c r="G525" s="96"/>
    </row>
    <row r="526" ht="14.25" customHeight="1" spans="4:7">
      <c r="D526" s="93"/>
      <c r="E526" s="94"/>
      <c r="F526" s="95"/>
      <c r="G526" s="96"/>
    </row>
    <row r="527" ht="14.25" customHeight="1" spans="4:7">
      <c r="D527" s="93"/>
      <c r="E527" s="94"/>
      <c r="F527" s="95"/>
      <c r="G527" s="96"/>
    </row>
    <row r="528" ht="14.25" customHeight="1" spans="4:7">
      <c r="D528" s="93"/>
      <c r="E528" s="94"/>
      <c r="F528" s="95"/>
      <c r="G528" s="96"/>
    </row>
    <row r="529" ht="14.25" customHeight="1" spans="4:7">
      <c r="D529" s="93"/>
      <c r="E529" s="94"/>
      <c r="F529" s="95"/>
      <c r="G529" s="96"/>
    </row>
    <row r="530" ht="14.25" customHeight="1" spans="4:7">
      <c r="D530" s="93"/>
      <c r="E530" s="94"/>
      <c r="F530" s="95"/>
      <c r="G530" s="96"/>
    </row>
    <row r="531" ht="14.25" customHeight="1" spans="4:7">
      <c r="D531" s="93"/>
      <c r="E531" s="94"/>
      <c r="F531" s="95"/>
      <c r="G531" s="96"/>
    </row>
    <row r="532" ht="14.25" customHeight="1" spans="4:7">
      <c r="D532" s="93"/>
      <c r="E532" s="94"/>
      <c r="F532" s="95"/>
      <c r="G532" s="96"/>
    </row>
    <row r="533" ht="14.25" customHeight="1" spans="4:7">
      <c r="D533" s="93"/>
      <c r="E533" s="94"/>
      <c r="F533" s="95"/>
      <c r="G533" s="96"/>
    </row>
    <row r="534" ht="14.25" customHeight="1" spans="4:7">
      <c r="D534" s="93"/>
      <c r="E534" s="94"/>
      <c r="F534" s="95"/>
      <c r="G534" s="96"/>
    </row>
    <row r="535" ht="14.25" customHeight="1" spans="4:7">
      <c r="D535" s="93"/>
      <c r="E535" s="94"/>
      <c r="F535" s="95"/>
      <c r="G535" s="96"/>
    </row>
    <row r="536" ht="14.25" customHeight="1" spans="4:7">
      <c r="D536" s="93"/>
      <c r="E536" s="94"/>
      <c r="F536" s="95"/>
      <c r="G536" s="96"/>
    </row>
    <row r="537" ht="14.25" customHeight="1" spans="4:7">
      <c r="D537" s="93"/>
      <c r="E537" s="94"/>
      <c r="F537" s="95"/>
      <c r="G537" s="96"/>
    </row>
    <row r="538" ht="14.25" customHeight="1" spans="4:7">
      <c r="D538" s="93"/>
      <c r="E538" s="94"/>
      <c r="F538" s="95"/>
      <c r="G538" s="96"/>
    </row>
    <row r="539" ht="14.25" customHeight="1" spans="4:7">
      <c r="D539" s="93"/>
      <c r="E539" s="94"/>
      <c r="F539" s="95"/>
      <c r="G539" s="96"/>
    </row>
    <row r="540" ht="14.25" customHeight="1" spans="4:7">
      <c r="D540" s="93"/>
      <c r="E540" s="94"/>
      <c r="F540" s="95"/>
      <c r="G540" s="96"/>
    </row>
    <row r="541" ht="14.25" customHeight="1" spans="4:7">
      <c r="D541" s="93"/>
      <c r="E541" s="94"/>
      <c r="F541" s="95"/>
      <c r="G541" s="96"/>
    </row>
    <row r="542" ht="14.25" customHeight="1" spans="4:7">
      <c r="D542" s="93"/>
      <c r="E542" s="94"/>
      <c r="F542" s="95"/>
      <c r="G542" s="96"/>
    </row>
    <row r="543" ht="14.25" customHeight="1" spans="4:7">
      <c r="D543" s="93"/>
      <c r="E543" s="94"/>
      <c r="F543" s="95"/>
      <c r="G543" s="96"/>
    </row>
    <row r="544" ht="14.25" customHeight="1" spans="4:7">
      <c r="D544" s="93"/>
      <c r="E544" s="94"/>
      <c r="F544" s="95"/>
      <c r="G544" s="96"/>
    </row>
    <row r="545" ht="14.25" customHeight="1" spans="4:7">
      <c r="D545" s="93"/>
      <c r="E545" s="94"/>
      <c r="F545" s="95"/>
      <c r="G545" s="96"/>
    </row>
    <row r="546" ht="14.25" customHeight="1" spans="4:7">
      <c r="D546" s="93"/>
      <c r="E546" s="94"/>
      <c r="F546" s="95"/>
      <c r="G546" s="96"/>
    </row>
    <row r="547" ht="14.25" customHeight="1" spans="4:7">
      <c r="D547" s="93"/>
      <c r="E547" s="94"/>
      <c r="F547" s="95"/>
      <c r="G547" s="96"/>
    </row>
    <row r="548" ht="14.25" customHeight="1" spans="4:7">
      <c r="D548" s="93"/>
      <c r="E548" s="94"/>
      <c r="F548" s="95"/>
      <c r="G548" s="96"/>
    </row>
    <row r="549" ht="14.25" customHeight="1" spans="4:7">
      <c r="D549" s="93"/>
      <c r="E549" s="94"/>
      <c r="F549" s="95"/>
      <c r="G549" s="96"/>
    </row>
    <row r="550" ht="14.25" customHeight="1" spans="4:7">
      <c r="D550" s="93"/>
      <c r="E550" s="94"/>
      <c r="F550" s="95"/>
      <c r="G550" s="96"/>
    </row>
    <row r="551" ht="14.25" customHeight="1" spans="4:7">
      <c r="D551" s="93"/>
      <c r="E551" s="94"/>
      <c r="F551" s="95"/>
      <c r="G551" s="96"/>
    </row>
    <row r="552" ht="14.25" customHeight="1" spans="4:7">
      <c r="D552" s="93"/>
      <c r="E552" s="94"/>
      <c r="F552" s="95"/>
      <c r="G552" s="96"/>
    </row>
    <row r="553" ht="14.25" customHeight="1" spans="4:7">
      <c r="D553" s="93"/>
      <c r="E553" s="94"/>
      <c r="F553" s="95"/>
      <c r="G553" s="96"/>
    </row>
    <row r="554" ht="14.25" customHeight="1" spans="4:7">
      <c r="D554" s="93"/>
      <c r="E554" s="94"/>
      <c r="F554" s="95"/>
      <c r="G554" s="96"/>
    </row>
    <row r="555" ht="14.25" customHeight="1" spans="4:7">
      <c r="D555" s="93"/>
      <c r="E555" s="94"/>
      <c r="F555" s="95"/>
      <c r="G555" s="96"/>
    </row>
    <row r="556" ht="14.25" customHeight="1" spans="4:7">
      <c r="D556" s="93"/>
      <c r="E556" s="94"/>
      <c r="F556" s="95"/>
      <c r="G556" s="96"/>
    </row>
    <row r="557" ht="14.25" customHeight="1" spans="4:7">
      <c r="D557" s="93"/>
      <c r="E557" s="94"/>
      <c r="F557" s="95"/>
      <c r="G557" s="96"/>
    </row>
    <row r="558" ht="14.25" customHeight="1" spans="4:7">
      <c r="D558" s="93"/>
      <c r="E558" s="94"/>
      <c r="F558" s="95"/>
      <c r="G558" s="96"/>
    </row>
    <row r="559" ht="14.25" customHeight="1" spans="4:7">
      <c r="D559" s="93"/>
      <c r="E559" s="94"/>
      <c r="F559" s="95"/>
      <c r="G559" s="96"/>
    </row>
    <row r="560" ht="14.25" customHeight="1" spans="4:7">
      <c r="D560" s="93"/>
      <c r="E560" s="94"/>
      <c r="F560" s="95"/>
      <c r="G560" s="96"/>
    </row>
    <row r="561" ht="14.25" customHeight="1" spans="4:7">
      <c r="D561" s="93"/>
      <c r="E561" s="94"/>
      <c r="F561" s="95"/>
      <c r="G561" s="96"/>
    </row>
    <row r="562" ht="14.25" customHeight="1" spans="4:7">
      <c r="D562" s="93"/>
      <c r="E562" s="94"/>
      <c r="F562" s="95"/>
      <c r="G562" s="96"/>
    </row>
    <row r="563" ht="14.25" customHeight="1" spans="4:7">
      <c r="D563" s="93"/>
      <c r="E563" s="94"/>
      <c r="F563" s="95"/>
      <c r="G563" s="96"/>
    </row>
    <row r="564" ht="14.25" customHeight="1" spans="4:7">
      <c r="D564" s="93"/>
      <c r="E564" s="94"/>
      <c r="F564" s="95"/>
      <c r="G564" s="96"/>
    </row>
    <row r="565" ht="14.25" customHeight="1" spans="4:7">
      <c r="D565" s="93"/>
      <c r="E565" s="94"/>
      <c r="F565" s="95"/>
      <c r="G565" s="96"/>
    </row>
    <row r="566" ht="14.25" customHeight="1" spans="4:7">
      <c r="D566" s="93"/>
      <c r="E566" s="94"/>
      <c r="F566" s="95"/>
      <c r="G566" s="96"/>
    </row>
    <row r="567" ht="14.25" customHeight="1" spans="4:7">
      <c r="D567" s="93"/>
      <c r="E567" s="94"/>
      <c r="F567" s="95"/>
      <c r="G567" s="96"/>
    </row>
    <row r="568" ht="14.25" customHeight="1" spans="4:7">
      <c r="D568" s="93"/>
      <c r="E568" s="94"/>
      <c r="F568" s="95"/>
      <c r="G568" s="96"/>
    </row>
    <row r="569" ht="14.25" customHeight="1" spans="4:7">
      <c r="D569" s="93"/>
      <c r="E569" s="94"/>
      <c r="F569" s="95"/>
      <c r="G569" s="96"/>
    </row>
    <row r="570" ht="14.25" customHeight="1" spans="4:7">
      <c r="D570" s="93"/>
      <c r="E570" s="94"/>
      <c r="F570" s="95"/>
      <c r="G570" s="96"/>
    </row>
    <row r="571" ht="14.25" customHeight="1" spans="4:7">
      <c r="D571" s="93"/>
      <c r="E571" s="94"/>
      <c r="F571" s="95"/>
      <c r="G571" s="96"/>
    </row>
    <row r="572" ht="14.25" customHeight="1" spans="4:7">
      <c r="D572" s="93"/>
      <c r="E572" s="94"/>
      <c r="F572" s="95"/>
      <c r="G572" s="96"/>
    </row>
    <row r="573" ht="14.25" customHeight="1" spans="4:7">
      <c r="D573" s="93"/>
      <c r="E573" s="94"/>
      <c r="F573" s="95"/>
      <c r="G573" s="96"/>
    </row>
    <row r="574" ht="14.25" customHeight="1" spans="4:7">
      <c r="D574" s="93"/>
      <c r="E574" s="94"/>
      <c r="F574" s="95"/>
      <c r="G574" s="96"/>
    </row>
    <row r="575" ht="14.25" customHeight="1" spans="4:7">
      <c r="D575" s="93"/>
      <c r="E575" s="94"/>
      <c r="F575" s="95"/>
      <c r="G575" s="96"/>
    </row>
    <row r="576" ht="14.25" customHeight="1" spans="4:7">
      <c r="D576" s="93"/>
      <c r="E576" s="94"/>
      <c r="F576" s="95"/>
      <c r="G576" s="96"/>
    </row>
    <row r="577" ht="14.25" customHeight="1" spans="4:7">
      <c r="D577" s="93"/>
      <c r="E577" s="94"/>
      <c r="F577" s="95"/>
      <c r="G577" s="96"/>
    </row>
    <row r="578" ht="14.25" customHeight="1" spans="4:7">
      <c r="D578" s="93"/>
      <c r="E578" s="94"/>
      <c r="F578" s="95"/>
      <c r="G578" s="96"/>
    </row>
    <row r="579" ht="14.25" customHeight="1" spans="4:7">
      <c r="D579" s="93"/>
      <c r="E579" s="94"/>
      <c r="F579" s="95"/>
      <c r="G579" s="96"/>
    </row>
    <row r="580" ht="14.25" customHeight="1" spans="4:7">
      <c r="D580" s="93"/>
      <c r="E580" s="94"/>
      <c r="F580" s="95"/>
      <c r="G580" s="96"/>
    </row>
    <row r="581" ht="14.25" customHeight="1" spans="4:7">
      <c r="D581" s="93"/>
      <c r="E581" s="94"/>
      <c r="F581" s="95"/>
      <c r="G581" s="96"/>
    </row>
    <row r="582" ht="14.25" customHeight="1" spans="4:7">
      <c r="D582" s="93"/>
      <c r="E582" s="94"/>
      <c r="F582" s="95"/>
      <c r="G582" s="96"/>
    </row>
    <row r="583" ht="14.25" customHeight="1" spans="4:7">
      <c r="D583" s="93"/>
      <c r="E583" s="94"/>
      <c r="F583" s="95"/>
      <c r="G583" s="96"/>
    </row>
    <row r="584" ht="14.25" customHeight="1" spans="4:7">
      <c r="D584" s="93"/>
      <c r="E584" s="94"/>
      <c r="F584" s="95"/>
      <c r="G584" s="96"/>
    </row>
    <row r="585" ht="14.25" customHeight="1" spans="4:7">
      <c r="D585" s="93"/>
      <c r="E585" s="94"/>
      <c r="F585" s="95"/>
      <c r="G585" s="96"/>
    </row>
    <row r="586" ht="14.25" customHeight="1" spans="4:7">
      <c r="D586" s="93"/>
      <c r="E586" s="94"/>
      <c r="F586" s="95"/>
      <c r="G586" s="96"/>
    </row>
    <row r="587" ht="14.25" customHeight="1" spans="4:7">
      <c r="D587" s="93"/>
      <c r="E587" s="94"/>
      <c r="F587" s="95"/>
      <c r="G587" s="96"/>
    </row>
    <row r="588" ht="14.25" customHeight="1" spans="4:7">
      <c r="D588" s="93"/>
      <c r="E588" s="94"/>
      <c r="F588" s="95"/>
      <c r="G588" s="96"/>
    </row>
    <row r="589" ht="14.25" customHeight="1" spans="4:7">
      <c r="D589" s="93"/>
      <c r="E589" s="94"/>
      <c r="F589" s="95"/>
      <c r="G589" s="96"/>
    </row>
    <row r="590" ht="14.25" customHeight="1" spans="4:7">
      <c r="D590" s="93"/>
      <c r="E590" s="94"/>
      <c r="F590" s="95"/>
      <c r="G590" s="96"/>
    </row>
    <row r="591" ht="14.25" customHeight="1" spans="4:7">
      <c r="D591" s="93"/>
      <c r="E591" s="94"/>
      <c r="F591" s="95"/>
      <c r="G591" s="96"/>
    </row>
    <row r="592" ht="14.25" customHeight="1" spans="4:7">
      <c r="D592" s="93"/>
      <c r="E592" s="94"/>
      <c r="F592" s="95"/>
      <c r="G592" s="96"/>
    </row>
    <row r="593" ht="14.25" customHeight="1" spans="4:7">
      <c r="D593" s="93"/>
      <c r="E593" s="94"/>
      <c r="F593" s="95"/>
      <c r="G593" s="96"/>
    </row>
    <row r="594" ht="14.25" customHeight="1" spans="4:7">
      <c r="D594" s="93"/>
      <c r="E594" s="94"/>
      <c r="F594" s="95"/>
      <c r="G594" s="96"/>
    </row>
    <row r="595" ht="14.25" customHeight="1" spans="4:7">
      <c r="D595" s="93"/>
      <c r="E595" s="94"/>
      <c r="F595" s="95"/>
      <c r="G595" s="96"/>
    </row>
    <row r="596" ht="14.25" customHeight="1" spans="4:7">
      <c r="D596" s="93"/>
      <c r="E596" s="94"/>
      <c r="F596" s="95"/>
      <c r="G596" s="96"/>
    </row>
    <row r="597" ht="14.25" customHeight="1" spans="4:7">
      <c r="D597" s="93"/>
      <c r="E597" s="94"/>
      <c r="F597" s="95"/>
      <c r="G597" s="96"/>
    </row>
    <row r="598" ht="14.25" customHeight="1" spans="4:7">
      <c r="D598" s="93"/>
      <c r="E598" s="94"/>
      <c r="F598" s="95"/>
      <c r="G598" s="96"/>
    </row>
    <row r="599" ht="14.25" customHeight="1" spans="4:7">
      <c r="D599" s="93"/>
      <c r="E599" s="94"/>
      <c r="F599" s="95"/>
      <c r="G599" s="96"/>
    </row>
    <row r="600" ht="14.25" customHeight="1" spans="4:7">
      <c r="D600" s="93"/>
      <c r="E600" s="94"/>
      <c r="F600" s="95"/>
      <c r="G600" s="96"/>
    </row>
    <row r="601" ht="14.25" customHeight="1" spans="4:7">
      <c r="D601" s="93"/>
      <c r="E601" s="94"/>
      <c r="F601" s="95"/>
      <c r="G601" s="96"/>
    </row>
    <row r="602" ht="14.25" customHeight="1" spans="4:7">
      <c r="D602" s="93"/>
      <c r="E602" s="94"/>
      <c r="F602" s="95"/>
      <c r="G602" s="96"/>
    </row>
    <row r="603" ht="14.25" customHeight="1" spans="4:7">
      <c r="D603" s="93"/>
      <c r="E603" s="94"/>
      <c r="F603" s="95"/>
      <c r="G603" s="96"/>
    </row>
    <row r="604" ht="14.25" customHeight="1" spans="4:7">
      <c r="D604" s="93"/>
      <c r="E604" s="94"/>
      <c r="F604" s="95"/>
      <c r="G604" s="96"/>
    </row>
    <row r="605" ht="14.25" customHeight="1" spans="4:7">
      <c r="D605" s="93"/>
      <c r="E605" s="94"/>
      <c r="F605" s="95"/>
      <c r="G605" s="96"/>
    </row>
    <row r="606" ht="14.25" customHeight="1" spans="4:7">
      <c r="D606" s="93"/>
      <c r="E606" s="94"/>
      <c r="F606" s="95"/>
      <c r="G606" s="96"/>
    </row>
    <row r="607" ht="14.25" customHeight="1" spans="4:7">
      <c r="D607" s="93"/>
      <c r="E607" s="94"/>
      <c r="F607" s="95"/>
      <c r="G607" s="96"/>
    </row>
    <row r="608" ht="14.25" customHeight="1" spans="4:7">
      <c r="D608" s="93"/>
      <c r="E608" s="94"/>
      <c r="F608" s="95"/>
      <c r="G608" s="96"/>
    </row>
    <row r="609" ht="14.25" customHeight="1" spans="4:7">
      <c r="D609" s="93"/>
      <c r="E609" s="94"/>
      <c r="F609" s="95"/>
      <c r="G609" s="96"/>
    </row>
    <row r="610" ht="14.25" customHeight="1" spans="4:7">
      <c r="D610" s="93"/>
      <c r="E610" s="94"/>
      <c r="F610" s="95"/>
      <c r="G610" s="96"/>
    </row>
    <row r="611" ht="14.25" customHeight="1" spans="4:7">
      <c r="D611" s="93"/>
      <c r="E611" s="94"/>
      <c r="F611" s="95"/>
      <c r="G611" s="96"/>
    </row>
    <row r="612" ht="14.25" customHeight="1" spans="4:7">
      <c r="D612" s="93"/>
      <c r="E612" s="94"/>
      <c r="F612" s="95"/>
      <c r="G612" s="96"/>
    </row>
    <row r="613" ht="14.25" customHeight="1" spans="4:7">
      <c r="D613" s="93"/>
      <c r="E613" s="94"/>
      <c r="F613" s="95"/>
      <c r="G613" s="96"/>
    </row>
    <row r="614" ht="14.25" customHeight="1" spans="4:7">
      <c r="D614" s="93"/>
      <c r="E614" s="94"/>
      <c r="F614" s="95"/>
      <c r="G614" s="96"/>
    </row>
    <row r="615" ht="14.25" customHeight="1" spans="4:7">
      <c r="D615" s="93"/>
      <c r="E615" s="94"/>
      <c r="F615" s="95"/>
      <c r="G615" s="96"/>
    </row>
    <row r="616" ht="14.25" customHeight="1" spans="4:7">
      <c r="D616" s="93"/>
      <c r="E616" s="94"/>
      <c r="F616" s="95"/>
      <c r="G616" s="96"/>
    </row>
    <row r="617" ht="14.25" customHeight="1" spans="4:7">
      <c r="D617" s="93"/>
      <c r="E617" s="94"/>
      <c r="F617" s="95"/>
      <c r="G617" s="96"/>
    </row>
    <row r="618" ht="14.25" customHeight="1" spans="4:7">
      <c r="D618" s="93"/>
      <c r="E618" s="94"/>
      <c r="F618" s="95"/>
      <c r="G618" s="96"/>
    </row>
    <row r="619" ht="14.25" customHeight="1" spans="4:7">
      <c r="D619" s="93"/>
      <c r="E619" s="94"/>
      <c r="F619" s="95"/>
      <c r="G619" s="96"/>
    </row>
    <row r="620" ht="14.25" customHeight="1" spans="4:7">
      <c r="D620" s="93"/>
      <c r="E620" s="94"/>
      <c r="F620" s="95"/>
      <c r="G620" s="96"/>
    </row>
    <row r="621" ht="14.25" customHeight="1" spans="4:7">
      <c r="D621" s="93"/>
      <c r="E621" s="94"/>
      <c r="F621" s="95"/>
      <c r="G621" s="96"/>
    </row>
    <row r="622" ht="14.25" customHeight="1" spans="4:7">
      <c r="D622" s="93"/>
      <c r="E622" s="94"/>
      <c r="F622" s="95"/>
      <c r="G622" s="96"/>
    </row>
    <row r="623" ht="14.25" customHeight="1" spans="4:7">
      <c r="D623" s="93"/>
      <c r="E623" s="94"/>
      <c r="F623" s="95"/>
      <c r="G623" s="96"/>
    </row>
    <row r="624" ht="14.25" customHeight="1" spans="4:7">
      <c r="D624" s="93"/>
      <c r="E624" s="94"/>
      <c r="F624" s="95"/>
      <c r="G624" s="96"/>
    </row>
    <row r="625" ht="14.25" customHeight="1" spans="4:7">
      <c r="D625" s="93"/>
      <c r="E625" s="94"/>
      <c r="F625" s="95"/>
      <c r="G625" s="96"/>
    </row>
    <row r="626" ht="14.25" customHeight="1" spans="4:7">
      <c r="D626" s="93"/>
      <c r="E626" s="94"/>
      <c r="F626" s="95"/>
      <c r="G626" s="96"/>
    </row>
    <row r="627" ht="14.25" customHeight="1" spans="4:7">
      <c r="D627" s="93"/>
      <c r="E627" s="94"/>
      <c r="F627" s="95"/>
      <c r="G627" s="96"/>
    </row>
    <row r="628" ht="14.25" customHeight="1" spans="4:7">
      <c r="D628" s="93"/>
      <c r="E628" s="94"/>
      <c r="F628" s="95"/>
      <c r="G628" s="96"/>
    </row>
    <row r="629" ht="14.25" customHeight="1" spans="4:7">
      <c r="D629" s="93"/>
      <c r="E629" s="94"/>
      <c r="F629" s="95"/>
      <c r="G629" s="96"/>
    </row>
    <row r="630" ht="14.25" customHeight="1" spans="4:7">
      <c r="D630" s="93"/>
      <c r="E630" s="94"/>
      <c r="F630" s="95"/>
      <c r="G630" s="96"/>
    </row>
    <row r="631" ht="14.25" customHeight="1" spans="4:7">
      <c r="D631" s="93"/>
      <c r="E631" s="94"/>
      <c r="F631" s="95"/>
      <c r="G631" s="96"/>
    </row>
    <row r="632" ht="14.25" customHeight="1" spans="4:7">
      <c r="D632" s="93"/>
      <c r="E632" s="94"/>
      <c r="F632" s="95"/>
      <c r="G632" s="96"/>
    </row>
    <row r="633" ht="14.25" customHeight="1" spans="4:7">
      <c r="D633" s="93"/>
      <c r="E633" s="94"/>
      <c r="F633" s="95"/>
      <c r="G633" s="96"/>
    </row>
    <row r="634" ht="14.25" customHeight="1" spans="4:7">
      <c r="D634" s="93"/>
      <c r="E634" s="94"/>
      <c r="F634" s="95"/>
      <c r="G634" s="96"/>
    </row>
    <row r="635" ht="14.25" customHeight="1" spans="4:7">
      <c r="D635" s="93"/>
      <c r="E635" s="94"/>
      <c r="F635" s="95"/>
      <c r="G635" s="96"/>
    </row>
    <row r="636" ht="14.25" customHeight="1" spans="4:7">
      <c r="D636" s="93"/>
      <c r="E636" s="94"/>
      <c r="F636" s="95"/>
      <c r="G636" s="96"/>
    </row>
    <row r="637" ht="14.25" customHeight="1" spans="4:7">
      <c r="D637" s="93"/>
      <c r="E637" s="94"/>
      <c r="F637" s="95"/>
      <c r="G637" s="96"/>
    </row>
    <row r="638" ht="14.25" customHeight="1" spans="4:7">
      <c r="D638" s="93"/>
      <c r="E638" s="94"/>
      <c r="F638" s="95"/>
      <c r="G638" s="96"/>
    </row>
    <row r="639" ht="14.25" customHeight="1" spans="4:7">
      <c r="D639" s="93"/>
      <c r="E639" s="94"/>
      <c r="F639" s="95"/>
      <c r="G639" s="96"/>
    </row>
    <row r="640" ht="14.25" customHeight="1" spans="4:7">
      <c r="D640" s="93"/>
      <c r="E640" s="94"/>
      <c r="F640" s="95"/>
      <c r="G640" s="96"/>
    </row>
    <row r="641" ht="14.25" customHeight="1" spans="4:7">
      <c r="D641" s="93"/>
      <c r="E641" s="94"/>
      <c r="F641" s="95"/>
      <c r="G641" s="96"/>
    </row>
    <row r="642" ht="14.25" customHeight="1" spans="4:7">
      <c r="D642" s="93"/>
      <c r="E642" s="94"/>
      <c r="F642" s="95"/>
      <c r="G642" s="96"/>
    </row>
    <row r="643" ht="14.25" customHeight="1" spans="4:7">
      <c r="D643" s="93"/>
      <c r="E643" s="94"/>
      <c r="F643" s="95"/>
      <c r="G643" s="96"/>
    </row>
    <row r="644" ht="14.25" customHeight="1" spans="4:7">
      <c r="D644" s="93"/>
      <c r="E644" s="94"/>
      <c r="F644" s="95"/>
      <c r="G644" s="96"/>
    </row>
    <row r="645" ht="14.25" customHeight="1" spans="4:7">
      <c r="D645" s="93"/>
      <c r="E645" s="94"/>
      <c r="F645" s="95"/>
      <c r="G645" s="96"/>
    </row>
    <row r="646" ht="14.25" customHeight="1" spans="4:7">
      <c r="D646" s="93"/>
      <c r="E646" s="94"/>
      <c r="F646" s="95"/>
      <c r="G646" s="96"/>
    </row>
    <row r="647" ht="14.25" customHeight="1" spans="4:7">
      <c r="D647" s="93"/>
      <c r="E647" s="94"/>
      <c r="F647" s="95"/>
      <c r="G647" s="96"/>
    </row>
    <row r="648" ht="14.25" customHeight="1" spans="4:7">
      <c r="D648" s="93"/>
      <c r="E648" s="94"/>
      <c r="F648" s="95"/>
      <c r="G648" s="96"/>
    </row>
    <row r="649" ht="14.25" customHeight="1" spans="4:7">
      <c r="D649" s="93"/>
      <c r="E649" s="94"/>
      <c r="F649" s="95"/>
      <c r="G649" s="96"/>
    </row>
    <row r="650" ht="14.25" customHeight="1" spans="4:7">
      <c r="D650" s="93"/>
      <c r="E650" s="94"/>
      <c r="F650" s="95"/>
      <c r="G650" s="96"/>
    </row>
    <row r="651" ht="14.25" customHeight="1" spans="4:7">
      <c r="D651" s="93"/>
      <c r="E651" s="94"/>
      <c r="F651" s="95"/>
      <c r="G651" s="96"/>
    </row>
    <row r="652" ht="14.25" customHeight="1" spans="4:7">
      <c r="D652" s="93"/>
      <c r="E652" s="94"/>
      <c r="F652" s="95"/>
      <c r="G652" s="96"/>
    </row>
    <row r="653" ht="14.25" customHeight="1" spans="4:7">
      <c r="D653" s="93"/>
      <c r="E653" s="94"/>
      <c r="F653" s="95"/>
      <c r="G653" s="96"/>
    </row>
    <row r="654" ht="14.25" customHeight="1" spans="4:7">
      <c r="D654" s="93"/>
      <c r="E654" s="94"/>
      <c r="F654" s="95"/>
      <c r="G654" s="96"/>
    </row>
    <row r="655" ht="14.25" customHeight="1" spans="4:7">
      <c r="D655" s="93"/>
      <c r="E655" s="94"/>
      <c r="F655" s="95"/>
      <c r="G655" s="96"/>
    </row>
    <row r="656" ht="14.25" customHeight="1" spans="4:7">
      <c r="D656" s="93"/>
      <c r="E656" s="94"/>
      <c r="F656" s="95"/>
      <c r="G656" s="96"/>
    </row>
    <row r="657" ht="14.25" customHeight="1" spans="4:7">
      <c r="D657" s="93"/>
      <c r="E657" s="94"/>
      <c r="F657" s="95"/>
      <c r="G657" s="96"/>
    </row>
    <row r="658" ht="14.25" customHeight="1" spans="4:7">
      <c r="D658" s="93"/>
      <c r="E658" s="94"/>
      <c r="F658" s="95"/>
      <c r="G658" s="96"/>
    </row>
    <row r="659" ht="14.25" customHeight="1" spans="4:7">
      <c r="D659" s="93"/>
      <c r="E659" s="94"/>
      <c r="F659" s="95"/>
      <c r="G659" s="96"/>
    </row>
    <row r="660" ht="14.25" customHeight="1" spans="4:7">
      <c r="D660" s="93"/>
      <c r="E660" s="94"/>
      <c r="F660" s="95"/>
      <c r="G660" s="96"/>
    </row>
    <row r="661" ht="14.25" customHeight="1" spans="4:7">
      <c r="D661" s="93"/>
      <c r="E661" s="94"/>
      <c r="F661" s="95"/>
      <c r="G661" s="96"/>
    </row>
    <row r="662" ht="14.25" customHeight="1" spans="4:7">
      <c r="D662" s="93"/>
      <c r="E662" s="94"/>
      <c r="F662" s="95"/>
      <c r="G662" s="96"/>
    </row>
    <row r="663" ht="14.25" customHeight="1" spans="4:7">
      <c r="D663" s="93"/>
      <c r="E663" s="94"/>
      <c r="F663" s="95"/>
      <c r="G663" s="96"/>
    </row>
    <row r="664" ht="14.25" customHeight="1" spans="4:7">
      <c r="D664" s="93"/>
      <c r="E664" s="94"/>
      <c r="F664" s="95"/>
      <c r="G664" s="96"/>
    </row>
    <row r="665" ht="14.25" customHeight="1" spans="4:7">
      <c r="D665" s="93"/>
      <c r="E665" s="94"/>
      <c r="F665" s="95"/>
      <c r="G665" s="96"/>
    </row>
    <row r="666" ht="14.25" customHeight="1" spans="4:7">
      <c r="D666" s="93"/>
      <c r="E666" s="94"/>
      <c r="F666" s="95"/>
      <c r="G666" s="96"/>
    </row>
    <row r="667" ht="14.25" customHeight="1" spans="4:7">
      <c r="D667" s="93"/>
      <c r="E667" s="94"/>
      <c r="F667" s="95"/>
      <c r="G667" s="96"/>
    </row>
    <row r="668" ht="14.25" customHeight="1" spans="4:7">
      <c r="D668" s="93"/>
      <c r="E668" s="94"/>
      <c r="F668" s="95"/>
      <c r="G668" s="96"/>
    </row>
    <row r="669" ht="14.25" customHeight="1" spans="4:7">
      <c r="D669" s="93"/>
      <c r="E669" s="94"/>
      <c r="F669" s="95"/>
      <c r="G669" s="96"/>
    </row>
    <row r="670" ht="14.25" customHeight="1" spans="4:7">
      <c r="D670" s="93"/>
      <c r="E670" s="94"/>
      <c r="F670" s="95"/>
      <c r="G670" s="96"/>
    </row>
    <row r="671" ht="14.25" customHeight="1" spans="4:7">
      <c r="D671" s="93"/>
      <c r="E671" s="94"/>
      <c r="F671" s="95"/>
      <c r="G671" s="96"/>
    </row>
    <row r="672" ht="14.25" customHeight="1" spans="4:7">
      <c r="D672" s="93"/>
      <c r="E672" s="94"/>
      <c r="F672" s="95"/>
      <c r="G672" s="96"/>
    </row>
    <row r="673" ht="14.25" customHeight="1" spans="4:7">
      <c r="D673" s="93"/>
      <c r="E673" s="94"/>
      <c r="F673" s="95"/>
      <c r="G673" s="96"/>
    </row>
    <row r="674" ht="14.25" customHeight="1" spans="4:7">
      <c r="D674" s="93"/>
      <c r="E674" s="94"/>
      <c r="F674" s="95"/>
      <c r="G674" s="96"/>
    </row>
    <row r="675" ht="14.25" customHeight="1" spans="4:7">
      <c r="D675" s="93"/>
      <c r="E675" s="94"/>
      <c r="F675" s="95"/>
      <c r="G675" s="96"/>
    </row>
    <row r="676" ht="14.25" customHeight="1" spans="4:7">
      <c r="D676" s="93"/>
      <c r="E676" s="94"/>
      <c r="F676" s="95"/>
      <c r="G676" s="96"/>
    </row>
    <row r="677" ht="14.25" customHeight="1" spans="4:7">
      <c r="D677" s="93"/>
      <c r="E677" s="94"/>
      <c r="F677" s="95"/>
      <c r="G677" s="96"/>
    </row>
    <row r="678" ht="14.25" customHeight="1" spans="4:7">
      <c r="D678" s="93"/>
      <c r="E678" s="94"/>
      <c r="F678" s="95"/>
      <c r="G678" s="96"/>
    </row>
    <row r="679" ht="14.25" customHeight="1" spans="4:7">
      <c r="D679" s="93"/>
      <c r="E679" s="94"/>
      <c r="F679" s="95"/>
      <c r="G679" s="96"/>
    </row>
    <row r="680" ht="14.25" customHeight="1" spans="4:7">
      <c r="D680" s="93"/>
      <c r="E680" s="94"/>
      <c r="F680" s="95"/>
      <c r="G680" s="96"/>
    </row>
    <row r="681" ht="14.25" customHeight="1" spans="4:7">
      <c r="D681" s="93"/>
      <c r="E681" s="94"/>
      <c r="F681" s="95"/>
      <c r="G681" s="96"/>
    </row>
    <row r="682" ht="14.25" customHeight="1" spans="4:7">
      <c r="D682" s="93"/>
      <c r="E682" s="94"/>
      <c r="F682" s="95"/>
      <c r="G682" s="96"/>
    </row>
    <row r="683" ht="14.25" customHeight="1" spans="4:7">
      <c r="D683" s="93"/>
      <c r="E683" s="94"/>
      <c r="F683" s="95"/>
      <c r="G683" s="96"/>
    </row>
    <row r="684" ht="14.25" customHeight="1" spans="4:7">
      <c r="D684" s="93"/>
      <c r="E684" s="94"/>
      <c r="F684" s="95"/>
      <c r="G684" s="96"/>
    </row>
    <row r="685" ht="14.25" customHeight="1" spans="4:7">
      <c r="D685" s="93"/>
      <c r="E685" s="94"/>
      <c r="F685" s="95"/>
      <c r="G685" s="96"/>
    </row>
    <row r="686" ht="14.25" customHeight="1" spans="4:7">
      <c r="D686" s="93"/>
      <c r="E686" s="94"/>
      <c r="F686" s="95"/>
      <c r="G686" s="96"/>
    </row>
    <row r="687" ht="14.25" customHeight="1" spans="4:7">
      <c r="D687" s="93"/>
      <c r="E687" s="94"/>
      <c r="F687" s="95"/>
      <c r="G687" s="96"/>
    </row>
    <row r="688" ht="14.25" customHeight="1" spans="4:7">
      <c r="D688" s="93"/>
      <c r="E688" s="94"/>
      <c r="F688" s="95"/>
      <c r="G688" s="96"/>
    </row>
    <row r="689" ht="14.25" customHeight="1" spans="4:7">
      <c r="D689" s="93"/>
      <c r="E689" s="94"/>
      <c r="F689" s="95"/>
      <c r="G689" s="96"/>
    </row>
    <row r="690" ht="14.25" customHeight="1" spans="4:7">
      <c r="D690" s="93"/>
      <c r="E690" s="94"/>
      <c r="F690" s="95"/>
      <c r="G690" s="96"/>
    </row>
    <row r="691" ht="14.25" customHeight="1" spans="4:7">
      <c r="D691" s="93"/>
      <c r="E691" s="94"/>
      <c r="F691" s="95"/>
      <c r="G691" s="96"/>
    </row>
    <row r="692" ht="14.25" customHeight="1" spans="4:7">
      <c r="D692" s="93"/>
      <c r="E692" s="94"/>
      <c r="F692" s="95"/>
      <c r="G692" s="96"/>
    </row>
    <row r="693" ht="14.25" customHeight="1" spans="4:7">
      <c r="D693" s="93"/>
      <c r="E693" s="94"/>
      <c r="F693" s="95"/>
      <c r="G693" s="96"/>
    </row>
    <row r="694" ht="14.25" customHeight="1" spans="4:7">
      <c r="D694" s="93"/>
      <c r="E694" s="94"/>
      <c r="F694" s="95"/>
      <c r="G694" s="96"/>
    </row>
    <row r="695" ht="14.25" customHeight="1" spans="4:7">
      <c r="D695" s="93"/>
      <c r="E695" s="94"/>
      <c r="F695" s="95"/>
      <c r="G695" s="96"/>
    </row>
    <row r="696" ht="14.25" customHeight="1" spans="4:7">
      <c r="D696" s="93"/>
      <c r="E696" s="94"/>
      <c r="F696" s="95"/>
      <c r="G696" s="96"/>
    </row>
    <row r="697" ht="14.25" customHeight="1" spans="4:7">
      <c r="D697" s="93"/>
      <c r="E697" s="94"/>
      <c r="F697" s="95"/>
      <c r="G697" s="96"/>
    </row>
    <row r="698" ht="14.25" customHeight="1" spans="4:7">
      <c r="D698" s="93"/>
      <c r="E698" s="94"/>
      <c r="F698" s="95"/>
      <c r="G698" s="96"/>
    </row>
    <row r="699" ht="14.25" customHeight="1" spans="4:7">
      <c r="D699" s="93"/>
      <c r="E699" s="94"/>
      <c r="F699" s="95"/>
      <c r="G699" s="96"/>
    </row>
    <row r="700" ht="14.25" customHeight="1" spans="4:7">
      <c r="D700" s="93"/>
      <c r="E700" s="94"/>
      <c r="F700" s="95"/>
      <c r="G700" s="96"/>
    </row>
    <row r="701" ht="14.25" customHeight="1" spans="4:7">
      <c r="D701" s="93"/>
      <c r="E701" s="94"/>
      <c r="F701" s="95"/>
      <c r="G701" s="96"/>
    </row>
    <row r="702" ht="14.25" customHeight="1" spans="4:7">
      <c r="D702" s="93"/>
      <c r="E702" s="94"/>
      <c r="F702" s="95"/>
      <c r="G702" s="96"/>
    </row>
    <row r="703" ht="14.25" customHeight="1" spans="4:7">
      <c r="D703" s="93"/>
      <c r="E703" s="94"/>
      <c r="F703" s="95"/>
      <c r="G703" s="96"/>
    </row>
    <row r="704" ht="14.25" customHeight="1" spans="4:7">
      <c r="D704" s="93"/>
      <c r="E704" s="94"/>
      <c r="F704" s="95"/>
      <c r="G704" s="96"/>
    </row>
    <row r="705" ht="14.25" customHeight="1" spans="4:7">
      <c r="D705" s="93"/>
      <c r="E705" s="94"/>
      <c r="F705" s="95"/>
      <c r="G705" s="96"/>
    </row>
    <row r="706" ht="14.25" customHeight="1" spans="4:7">
      <c r="D706" s="93"/>
      <c r="E706" s="94"/>
      <c r="F706" s="95"/>
      <c r="G706" s="96"/>
    </row>
    <row r="707" ht="14.25" customHeight="1" spans="4:7">
      <c r="D707" s="93"/>
      <c r="E707" s="94"/>
      <c r="F707" s="95"/>
      <c r="G707" s="96"/>
    </row>
    <row r="708" ht="14.25" customHeight="1" spans="4:7">
      <c r="D708" s="93"/>
      <c r="E708" s="94"/>
      <c r="F708" s="95"/>
      <c r="G708" s="96"/>
    </row>
    <row r="709" ht="14.25" customHeight="1" spans="4:7">
      <c r="D709" s="93"/>
      <c r="E709" s="94"/>
      <c r="F709" s="95"/>
      <c r="G709" s="96"/>
    </row>
    <row r="710" ht="14.25" customHeight="1" spans="4:7">
      <c r="D710" s="93"/>
      <c r="E710" s="94"/>
      <c r="F710" s="95"/>
      <c r="G710" s="96"/>
    </row>
    <row r="711" ht="14.25" customHeight="1" spans="4:7">
      <c r="D711" s="93"/>
      <c r="E711" s="94"/>
      <c r="F711" s="95"/>
      <c r="G711" s="96"/>
    </row>
    <row r="712" ht="14.25" customHeight="1" spans="4:7">
      <c r="D712" s="93"/>
      <c r="E712" s="94"/>
      <c r="F712" s="95"/>
      <c r="G712" s="96"/>
    </row>
    <row r="713" ht="14.25" customHeight="1" spans="4:7">
      <c r="D713" s="93"/>
      <c r="E713" s="94"/>
      <c r="F713" s="95"/>
      <c r="G713" s="96"/>
    </row>
    <row r="714" ht="14.25" customHeight="1" spans="4:7">
      <c r="D714" s="93"/>
      <c r="E714" s="94"/>
      <c r="F714" s="95"/>
      <c r="G714" s="96"/>
    </row>
    <row r="715" ht="14.25" customHeight="1" spans="4:7">
      <c r="D715" s="93"/>
      <c r="E715" s="94"/>
      <c r="F715" s="95"/>
      <c r="G715" s="96"/>
    </row>
    <row r="716" ht="14.25" customHeight="1" spans="4:7">
      <c r="D716" s="93"/>
      <c r="E716" s="94"/>
      <c r="F716" s="95"/>
      <c r="G716" s="96"/>
    </row>
    <row r="717" ht="14.25" customHeight="1" spans="4:7">
      <c r="D717" s="93"/>
      <c r="E717" s="94"/>
      <c r="F717" s="95"/>
      <c r="G717" s="96"/>
    </row>
    <row r="718" ht="14.25" customHeight="1" spans="4:7">
      <c r="D718" s="93"/>
      <c r="E718" s="94"/>
      <c r="F718" s="95"/>
      <c r="G718" s="96"/>
    </row>
    <row r="719" ht="14.25" customHeight="1" spans="4:7">
      <c r="D719" s="93"/>
      <c r="E719" s="94"/>
      <c r="F719" s="95"/>
      <c r="G719" s="96"/>
    </row>
    <row r="720" ht="14.25" customHeight="1" spans="4:7">
      <c r="D720" s="93"/>
      <c r="E720" s="94"/>
      <c r="F720" s="95"/>
      <c r="G720" s="96"/>
    </row>
    <row r="721" ht="14.25" customHeight="1" spans="4:7">
      <c r="D721" s="93"/>
      <c r="E721" s="94"/>
      <c r="F721" s="95"/>
      <c r="G721" s="96"/>
    </row>
    <row r="722" ht="14.25" customHeight="1" spans="4:7">
      <c r="D722" s="93"/>
      <c r="E722" s="94"/>
      <c r="F722" s="95"/>
      <c r="G722" s="96"/>
    </row>
    <row r="723" ht="14.25" customHeight="1" spans="4:7">
      <c r="D723" s="93"/>
      <c r="E723" s="94"/>
      <c r="F723" s="95"/>
      <c r="G723" s="96"/>
    </row>
    <row r="724" ht="14.25" customHeight="1" spans="4:7">
      <c r="D724" s="93"/>
      <c r="E724" s="94"/>
      <c r="F724" s="95"/>
      <c r="G724" s="96"/>
    </row>
    <row r="725" ht="14.25" customHeight="1" spans="4:7">
      <c r="D725" s="93"/>
      <c r="E725" s="94"/>
      <c r="F725" s="95"/>
      <c r="G725" s="96"/>
    </row>
    <row r="726" ht="14.25" customHeight="1" spans="4:7">
      <c r="D726" s="93"/>
      <c r="E726" s="94"/>
      <c r="F726" s="95"/>
      <c r="G726" s="96"/>
    </row>
    <row r="727" ht="14.25" customHeight="1" spans="4:7">
      <c r="D727" s="93"/>
      <c r="E727" s="94"/>
      <c r="F727" s="95"/>
      <c r="G727" s="96"/>
    </row>
    <row r="728" ht="14.25" customHeight="1" spans="4:7">
      <c r="D728" s="93"/>
      <c r="E728" s="94"/>
      <c r="F728" s="95"/>
      <c r="G728" s="96"/>
    </row>
    <row r="729" ht="14.25" customHeight="1" spans="4:7">
      <c r="D729" s="93"/>
      <c r="E729" s="94"/>
      <c r="F729" s="95"/>
      <c r="G729" s="96"/>
    </row>
    <row r="730" ht="14.25" customHeight="1" spans="4:7">
      <c r="D730" s="93"/>
      <c r="E730" s="94"/>
      <c r="F730" s="95"/>
      <c r="G730" s="96"/>
    </row>
    <row r="731" ht="14.25" customHeight="1" spans="4:7">
      <c r="D731" s="93"/>
      <c r="E731" s="94"/>
      <c r="F731" s="95"/>
      <c r="G731" s="96"/>
    </row>
    <row r="732" ht="14.25" customHeight="1" spans="4:7">
      <c r="D732" s="93"/>
      <c r="E732" s="94"/>
      <c r="F732" s="95"/>
      <c r="G732" s="96"/>
    </row>
    <row r="733" ht="14.25" customHeight="1" spans="4:7">
      <c r="D733" s="93"/>
      <c r="E733" s="94"/>
      <c r="F733" s="95"/>
      <c r="G733" s="96"/>
    </row>
    <row r="734" ht="14.25" customHeight="1" spans="4:7">
      <c r="D734" s="93"/>
      <c r="E734" s="94"/>
      <c r="F734" s="95"/>
      <c r="G734" s="96"/>
    </row>
    <row r="735" ht="14.25" customHeight="1" spans="4:7">
      <c r="D735" s="93"/>
      <c r="E735" s="94"/>
      <c r="F735" s="95"/>
      <c r="G735" s="96"/>
    </row>
    <row r="736" ht="14.25" customHeight="1" spans="4:7">
      <c r="D736" s="93"/>
      <c r="E736" s="94"/>
      <c r="F736" s="95"/>
      <c r="G736" s="96"/>
    </row>
    <row r="737" ht="14.25" customHeight="1" spans="4:7">
      <c r="D737" s="93"/>
      <c r="E737" s="94"/>
      <c r="F737" s="95"/>
      <c r="G737" s="96"/>
    </row>
    <row r="738" ht="14.25" customHeight="1" spans="4:7">
      <c r="D738" s="93"/>
      <c r="E738" s="94"/>
      <c r="F738" s="95"/>
      <c r="G738" s="96"/>
    </row>
    <row r="739" ht="14.25" customHeight="1" spans="4:7">
      <c r="D739" s="93"/>
      <c r="E739" s="94"/>
      <c r="F739" s="95"/>
      <c r="G739" s="96"/>
    </row>
    <row r="740" ht="14.25" customHeight="1" spans="4:7">
      <c r="D740" s="93"/>
      <c r="E740" s="94"/>
      <c r="F740" s="95"/>
      <c r="G740" s="96"/>
    </row>
    <row r="741" ht="14.25" customHeight="1" spans="4:7">
      <c r="D741" s="93"/>
      <c r="E741" s="94"/>
      <c r="F741" s="95"/>
      <c r="G741" s="96"/>
    </row>
    <row r="742" ht="14.25" customHeight="1" spans="4:7">
      <c r="D742" s="93"/>
      <c r="E742" s="94"/>
      <c r="F742" s="95"/>
      <c r="G742" s="96"/>
    </row>
    <row r="743" ht="14.25" customHeight="1" spans="4:7">
      <c r="D743" s="93"/>
      <c r="E743" s="94"/>
      <c r="F743" s="95"/>
      <c r="G743" s="96"/>
    </row>
    <row r="744" ht="14.25" customHeight="1" spans="4:7">
      <c r="D744" s="93"/>
      <c r="E744" s="94"/>
      <c r="F744" s="95"/>
      <c r="G744" s="96"/>
    </row>
    <row r="745" ht="14.25" customHeight="1" spans="4:7">
      <c r="D745" s="93"/>
      <c r="E745" s="94"/>
      <c r="F745" s="95"/>
      <c r="G745" s="96"/>
    </row>
    <row r="746" ht="14.25" customHeight="1" spans="4:7">
      <c r="D746" s="93"/>
      <c r="E746" s="94"/>
      <c r="F746" s="95"/>
      <c r="G746" s="96"/>
    </row>
    <row r="747" ht="14.25" customHeight="1" spans="4:7">
      <c r="D747" s="93"/>
      <c r="E747" s="94"/>
      <c r="F747" s="95"/>
      <c r="G747" s="96"/>
    </row>
    <row r="748" ht="14.25" customHeight="1" spans="4:7">
      <c r="D748" s="93"/>
      <c r="E748" s="94"/>
      <c r="F748" s="95"/>
      <c r="G748" s="96"/>
    </row>
    <row r="749" ht="14.25" customHeight="1" spans="4:7">
      <c r="D749" s="93"/>
      <c r="E749" s="94"/>
      <c r="F749" s="95"/>
      <c r="G749" s="96"/>
    </row>
    <row r="750" ht="14.25" customHeight="1" spans="4:7">
      <c r="D750" s="93"/>
      <c r="E750" s="94"/>
      <c r="F750" s="95"/>
      <c r="G750" s="96"/>
    </row>
    <row r="751" ht="14.25" customHeight="1" spans="4:7">
      <c r="D751" s="93"/>
      <c r="E751" s="94"/>
      <c r="F751" s="95"/>
      <c r="G751" s="96"/>
    </row>
    <row r="752" ht="14.25" customHeight="1" spans="4:7">
      <c r="D752" s="93"/>
      <c r="E752" s="94"/>
      <c r="F752" s="95"/>
      <c r="G752" s="96"/>
    </row>
    <row r="753" ht="14.25" customHeight="1" spans="4:7">
      <c r="D753" s="93"/>
      <c r="E753" s="94"/>
      <c r="F753" s="95"/>
      <c r="G753" s="96"/>
    </row>
    <row r="754" ht="14.25" customHeight="1" spans="4:7">
      <c r="D754" s="93"/>
      <c r="E754" s="94"/>
      <c r="F754" s="95"/>
      <c r="G754" s="96"/>
    </row>
    <row r="755" ht="14.25" customHeight="1" spans="4:7">
      <c r="D755" s="93"/>
      <c r="E755" s="94"/>
      <c r="F755" s="95"/>
      <c r="G755" s="96"/>
    </row>
    <row r="756" ht="14.25" customHeight="1" spans="4:7">
      <c r="D756" s="93"/>
      <c r="E756" s="94"/>
      <c r="F756" s="95"/>
      <c r="G756" s="96"/>
    </row>
    <row r="757" ht="14.25" customHeight="1" spans="4:7">
      <c r="D757" s="93"/>
      <c r="E757" s="94"/>
      <c r="F757" s="95"/>
      <c r="G757" s="96"/>
    </row>
    <row r="758" ht="14.25" customHeight="1" spans="4:7">
      <c r="D758" s="93"/>
      <c r="E758" s="94"/>
      <c r="F758" s="95"/>
      <c r="G758" s="96"/>
    </row>
    <row r="759" ht="14.25" customHeight="1" spans="4:7">
      <c r="D759" s="93"/>
      <c r="E759" s="94"/>
      <c r="F759" s="95"/>
      <c r="G759" s="96"/>
    </row>
    <row r="760" ht="14.25" customHeight="1" spans="4:7">
      <c r="D760" s="93"/>
      <c r="E760" s="94"/>
      <c r="F760" s="95"/>
      <c r="G760" s="96"/>
    </row>
    <row r="761" ht="14.25" customHeight="1" spans="4:7">
      <c r="D761" s="93"/>
      <c r="E761" s="94"/>
      <c r="F761" s="95"/>
      <c r="G761" s="96"/>
    </row>
    <row r="762" ht="14.25" customHeight="1" spans="4:7">
      <c r="D762" s="93"/>
      <c r="E762" s="94"/>
      <c r="F762" s="95"/>
      <c r="G762" s="96"/>
    </row>
    <row r="763" ht="14.25" customHeight="1" spans="4:7">
      <c r="D763" s="93"/>
      <c r="E763" s="94"/>
      <c r="F763" s="95"/>
      <c r="G763" s="96"/>
    </row>
    <row r="764" ht="14.25" customHeight="1" spans="4:7">
      <c r="D764" s="93"/>
      <c r="E764" s="94"/>
      <c r="F764" s="95"/>
      <c r="G764" s="96"/>
    </row>
    <row r="765" ht="14.25" customHeight="1" spans="4:7">
      <c r="D765" s="93"/>
      <c r="E765" s="94"/>
      <c r="F765" s="95"/>
      <c r="G765" s="96"/>
    </row>
    <row r="766" ht="14.25" customHeight="1" spans="4:7">
      <c r="D766" s="93"/>
      <c r="E766" s="94"/>
      <c r="F766" s="95"/>
      <c r="G766" s="96"/>
    </row>
    <row r="767" ht="14.25" customHeight="1" spans="4:7">
      <c r="D767" s="93"/>
      <c r="E767" s="94"/>
      <c r="F767" s="95"/>
      <c r="G767" s="96"/>
    </row>
    <row r="768" ht="14.25" customHeight="1" spans="4:7">
      <c r="D768" s="93"/>
      <c r="E768" s="94"/>
      <c r="F768" s="95"/>
      <c r="G768" s="96"/>
    </row>
    <row r="769" ht="14.25" customHeight="1" spans="4:7">
      <c r="D769" s="93"/>
      <c r="E769" s="94"/>
      <c r="F769" s="95"/>
      <c r="G769" s="96"/>
    </row>
    <row r="770" ht="14.25" customHeight="1" spans="4:7">
      <c r="D770" s="93"/>
      <c r="E770" s="94"/>
      <c r="F770" s="95"/>
      <c r="G770" s="96"/>
    </row>
    <row r="771" ht="14.25" customHeight="1" spans="4:7">
      <c r="D771" s="93"/>
      <c r="E771" s="94"/>
      <c r="F771" s="95"/>
      <c r="G771" s="96"/>
    </row>
    <row r="772" ht="14.25" customHeight="1" spans="4:7">
      <c r="D772" s="93"/>
      <c r="E772" s="94"/>
      <c r="F772" s="95"/>
      <c r="G772" s="96"/>
    </row>
    <row r="773" ht="14.25" customHeight="1" spans="4:7">
      <c r="D773" s="93"/>
      <c r="E773" s="94"/>
      <c r="F773" s="95"/>
      <c r="G773" s="96"/>
    </row>
    <row r="774" ht="14.25" customHeight="1" spans="4:7">
      <c r="D774" s="93"/>
      <c r="E774" s="94"/>
      <c r="F774" s="95"/>
      <c r="G774" s="96"/>
    </row>
    <row r="775" ht="14.25" customHeight="1" spans="4:7">
      <c r="D775" s="93"/>
      <c r="E775" s="94"/>
      <c r="F775" s="95"/>
      <c r="G775" s="96"/>
    </row>
    <row r="776" ht="14.25" customHeight="1" spans="4:7">
      <c r="D776" s="93"/>
      <c r="E776" s="94"/>
      <c r="F776" s="95"/>
      <c r="G776" s="96"/>
    </row>
    <row r="777" ht="14.25" customHeight="1" spans="4:7">
      <c r="D777" s="93"/>
      <c r="E777" s="94"/>
      <c r="F777" s="95"/>
      <c r="G777" s="96"/>
    </row>
    <row r="778" ht="14.25" customHeight="1" spans="4:7">
      <c r="D778" s="93"/>
      <c r="E778" s="94"/>
      <c r="F778" s="95"/>
      <c r="G778" s="96"/>
    </row>
    <row r="779" ht="14.25" customHeight="1" spans="4:7">
      <c r="D779" s="93"/>
      <c r="E779" s="94"/>
      <c r="F779" s="95"/>
      <c r="G779" s="96"/>
    </row>
    <row r="780" ht="14.25" customHeight="1" spans="4:7">
      <c r="D780" s="93"/>
      <c r="E780" s="94"/>
      <c r="F780" s="95"/>
      <c r="G780" s="96"/>
    </row>
    <row r="781" ht="14.25" customHeight="1" spans="4:7">
      <c r="D781" s="93"/>
      <c r="E781" s="94"/>
      <c r="F781" s="95"/>
      <c r="G781" s="96"/>
    </row>
    <row r="782" ht="14.25" customHeight="1" spans="4:7">
      <c r="D782" s="93"/>
      <c r="E782" s="94"/>
      <c r="F782" s="95"/>
      <c r="G782" s="96"/>
    </row>
    <row r="783" ht="14.25" customHeight="1" spans="4:7">
      <c r="D783" s="93"/>
      <c r="E783" s="94"/>
      <c r="F783" s="95"/>
      <c r="G783" s="96"/>
    </row>
    <row r="784" ht="14.25" customHeight="1" spans="4:7">
      <c r="D784" s="93"/>
      <c r="E784" s="94"/>
      <c r="F784" s="95"/>
      <c r="G784" s="96"/>
    </row>
    <row r="785" ht="14.25" customHeight="1" spans="4:7">
      <c r="D785" s="93"/>
      <c r="E785" s="94"/>
      <c r="F785" s="95"/>
      <c r="G785" s="96"/>
    </row>
    <row r="786" ht="14.25" customHeight="1" spans="4:7">
      <c r="D786" s="93"/>
      <c r="E786" s="94"/>
      <c r="F786" s="95"/>
      <c r="G786" s="96"/>
    </row>
    <row r="787" ht="14.25" customHeight="1" spans="4:7">
      <c r="D787" s="93"/>
      <c r="E787" s="94"/>
      <c r="F787" s="95"/>
      <c r="G787" s="96"/>
    </row>
    <row r="788" ht="14.25" customHeight="1" spans="4:7">
      <c r="D788" s="93"/>
      <c r="E788" s="94"/>
      <c r="F788" s="95"/>
      <c r="G788" s="96"/>
    </row>
    <row r="789" ht="14.25" customHeight="1" spans="4:7">
      <c r="D789" s="93"/>
      <c r="E789" s="94"/>
      <c r="F789" s="95"/>
      <c r="G789" s="96"/>
    </row>
    <row r="790" ht="14.25" customHeight="1" spans="4:7">
      <c r="D790" s="93"/>
      <c r="E790" s="94"/>
      <c r="F790" s="95"/>
      <c r="G790" s="96"/>
    </row>
    <row r="791" ht="14.25" customHeight="1" spans="4:7">
      <c r="D791" s="93"/>
      <c r="E791" s="94"/>
      <c r="F791" s="95"/>
      <c r="G791" s="96"/>
    </row>
    <row r="792" ht="14.25" customHeight="1" spans="4:7">
      <c r="D792" s="93"/>
      <c r="E792" s="94"/>
      <c r="F792" s="95"/>
      <c r="G792" s="96"/>
    </row>
    <row r="793" ht="14.25" customHeight="1" spans="4:7">
      <c r="D793" s="93"/>
      <c r="E793" s="94"/>
      <c r="F793" s="95"/>
      <c r="G793" s="96"/>
    </row>
    <row r="794" ht="14.25" customHeight="1" spans="4:7">
      <c r="D794" s="93"/>
      <c r="E794" s="94"/>
      <c r="F794" s="95"/>
      <c r="G794" s="96"/>
    </row>
    <row r="795" ht="14.25" customHeight="1" spans="4:7">
      <c r="D795" s="93"/>
      <c r="E795" s="94"/>
      <c r="F795" s="95"/>
      <c r="G795" s="96"/>
    </row>
    <row r="796" ht="14.25" customHeight="1" spans="4:7">
      <c r="D796" s="93"/>
      <c r="E796" s="94"/>
      <c r="F796" s="95"/>
      <c r="G796" s="96"/>
    </row>
    <row r="797" ht="14.25" customHeight="1" spans="4:7">
      <c r="D797" s="93"/>
      <c r="E797" s="94"/>
      <c r="F797" s="95"/>
      <c r="G797" s="96"/>
    </row>
    <row r="798" ht="14.25" customHeight="1" spans="4:7">
      <c r="D798" s="93"/>
      <c r="E798" s="94"/>
      <c r="F798" s="95"/>
      <c r="G798" s="96"/>
    </row>
    <row r="799" ht="14.25" customHeight="1" spans="4:7">
      <c r="D799" s="93"/>
      <c r="E799" s="94"/>
      <c r="F799" s="95"/>
      <c r="G799" s="96"/>
    </row>
    <row r="800" ht="14.25" customHeight="1" spans="4:7">
      <c r="D800" s="93"/>
      <c r="E800" s="94"/>
      <c r="F800" s="95"/>
      <c r="G800" s="96"/>
    </row>
    <row r="801" ht="14.25" customHeight="1" spans="4:7">
      <c r="D801" s="93"/>
      <c r="E801" s="94"/>
      <c r="F801" s="95"/>
      <c r="G801" s="96"/>
    </row>
    <row r="802" ht="14.25" customHeight="1" spans="4:7">
      <c r="D802" s="93"/>
      <c r="E802" s="94"/>
      <c r="F802" s="95"/>
      <c r="G802" s="96"/>
    </row>
    <row r="803" ht="14.25" customHeight="1" spans="4:7">
      <c r="D803" s="93"/>
      <c r="E803" s="94"/>
      <c r="F803" s="95"/>
      <c r="G803" s="96"/>
    </row>
    <row r="804" ht="14.25" customHeight="1" spans="4:7">
      <c r="D804" s="93"/>
      <c r="E804" s="94"/>
      <c r="F804" s="95"/>
      <c r="G804" s="96"/>
    </row>
    <row r="805" ht="14.25" customHeight="1" spans="4:7">
      <c r="D805" s="93"/>
      <c r="E805" s="94"/>
      <c r="F805" s="95"/>
      <c r="G805" s="96"/>
    </row>
    <row r="806" ht="14.25" customHeight="1" spans="4:7">
      <c r="D806" s="93"/>
      <c r="E806" s="94"/>
      <c r="F806" s="95"/>
      <c r="G806" s="96"/>
    </row>
    <row r="807" ht="14.25" customHeight="1" spans="4:7">
      <c r="D807" s="93"/>
      <c r="E807" s="94"/>
      <c r="F807" s="95"/>
      <c r="G807" s="96"/>
    </row>
    <row r="808" ht="14.25" customHeight="1" spans="4:7">
      <c r="D808" s="93"/>
      <c r="E808" s="94"/>
      <c r="F808" s="95"/>
      <c r="G808" s="96"/>
    </row>
    <row r="809" ht="14.25" customHeight="1" spans="4:7">
      <c r="D809" s="93"/>
      <c r="E809" s="94"/>
      <c r="F809" s="95"/>
      <c r="G809" s="96"/>
    </row>
    <row r="810" ht="14.25" customHeight="1" spans="4:7">
      <c r="D810" s="93"/>
      <c r="E810" s="94"/>
      <c r="F810" s="95"/>
      <c r="G810" s="96"/>
    </row>
    <row r="811" ht="14.25" customHeight="1" spans="4:7">
      <c r="D811" s="93"/>
      <c r="E811" s="94"/>
      <c r="F811" s="95"/>
      <c r="G811" s="96"/>
    </row>
    <row r="812" ht="14.25" customHeight="1" spans="4:7">
      <c r="D812" s="93"/>
      <c r="E812" s="94"/>
      <c r="F812" s="95"/>
      <c r="G812" s="96"/>
    </row>
    <row r="813" ht="14.25" customHeight="1" spans="4:7">
      <c r="D813" s="93"/>
      <c r="E813" s="94"/>
      <c r="F813" s="95"/>
      <c r="G813" s="96"/>
    </row>
    <row r="814" ht="14.25" customHeight="1" spans="4:7">
      <c r="D814" s="93"/>
      <c r="E814" s="94"/>
      <c r="F814" s="95"/>
      <c r="G814" s="96"/>
    </row>
    <row r="815" ht="14.25" customHeight="1" spans="4:7">
      <c r="D815" s="93"/>
      <c r="E815" s="94"/>
      <c r="F815" s="95"/>
      <c r="G815" s="96"/>
    </row>
    <row r="816" ht="14.25" customHeight="1" spans="4:7">
      <c r="D816" s="93"/>
      <c r="E816" s="94"/>
      <c r="F816" s="95"/>
      <c r="G816" s="96"/>
    </row>
    <row r="817" ht="14.25" customHeight="1" spans="4:7">
      <c r="D817" s="93"/>
      <c r="E817" s="94"/>
      <c r="F817" s="95"/>
      <c r="G817" s="96"/>
    </row>
    <row r="818" ht="14.25" customHeight="1" spans="4:7">
      <c r="D818" s="93"/>
      <c r="E818" s="94"/>
      <c r="F818" s="95"/>
      <c r="G818" s="96"/>
    </row>
    <row r="819" ht="14.25" customHeight="1" spans="4:7">
      <c r="D819" s="93"/>
      <c r="E819" s="94"/>
      <c r="F819" s="95"/>
      <c r="G819" s="96"/>
    </row>
    <row r="820" ht="14.25" customHeight="1" spans="4:7">
      <c r="D820" s="93"/>
      <c r="E820" s="94"/>
      <c r="F820" s="95"/>
      <c r="G820" s="96"/>
    </row>
    <row r="821" ht="14.25" customHeight="1" spans="4:7">
      <c r="D821" s="93"/>
      <c r="E821" s="94"/>
      <c r="F821" s="95"/>
      <c r="G821" s="96"/>
    </row>
    <row r="822" ht="14.25" customHeight="1" spans="4:7">
      <c r="D822" s="93"/>
      <c r="E822" s="94"/>
      <c r="F822" s="95"/>
      <c r="G822" s="96"/>
    </row>
    <row r="823" ht="14.25" customHeight="1" spans="4:7">
      <c r="D823" s="93"/>
      <c r="E823" s="94"/>
      <c r="F823" s="95"/>
      <c r="G823" s="96"/>
    </row>
    <row r="824" ht="14.25" customHeight="1" spans="4:7">
      <c r="D824" s="93"/>
      <c r="E824" s="94"/>
      <c r="F824" s="95"/>
      <c r="G824" s="96"/>
    </row>
    <row r="825" ht="14.25" customHeight="1" spans="4:7">
      <c r="D825" s="93"/>
      <c r="E825" s="94"/>
      <c r="F825" s="95"/>
      <c r="G825" s="96"/>
    </row>
    <row r="826" ht="14.25" customHeight="1" spans="4:7">
      <c r="D826" s="93"/>
      <c r="E826" s="94"/>
      <c r="F826" s="95"/>
      <c r="G826" s="96"/>
    </row>
    <row r="827" ht="14.25" customHeight="1" spans="4:7">
      <c r="D827" s="93"/>
      <c r="E827" s="94"/>
      <c r="F827" s="95"/>
      <c r="G827" s="96"/>
    </row>
    <row r="828" ht="14.25" customHeight="1" spans="4:7">
      <c r="D828" s="93"/>
      <c r="E828" s="94"/>
      <c r="F828" s="95"/>
      <c r="G828" s="96"/>
    </row>
    <row r="829" ht="14.25" customHeight="1" spans="4:7">
      <c r="D829" s="93"/>
      <c r="E829" s="94"/>
      <c r="F829" s="95"/>
      <c r="G829" s="96"/>
    </row>
    <row r="830" ht="14.25" customHeight="1" spans="4:7">
      <c r="D830" s="93"/>
      <c r="E830" s="94"/>
      <c r="F830" s="95"/>
      <c r="G830" s="96"/>
    </row>
    <row r="831" ht="14.25" customHeight="1" spans="4:7">
      <c r="D831" s="93"/>
      <c r="E831" s="94"/>
      <c r="F831" s="95"/>
      <c r="G831" s="96"/>
    </row>
    <row r="832" ht="14.25" customHeight="1" spans="4:7">
      <c r="D832" s="93"/>
      <c r="E832" s="94"/>
      <c r="F832" s="95"/>
      <c r="G832" s="96"/>
    </row>
    <row r="833" ht="14.25" customHeight="1" spans="4:7">
      <c r="D833" s="93"/>
      <c r="E833" s="94"/>
      <c r="F833" s="95"/>
      <c r="G833" s="96"/>
    </row>
    <row r="834" ht="14.25" customHeight="1" spans="4:7">
      <c r="D834" s="93"/>
      <c r="E834" s="94"/>
      <c r="F834" s="95"/>
      <c r="G834" s="96"/>
    </row>
    <row r="835" ht="14.25" customHeight="1" spans="4:7">
      <c r="D835" s="93"/>
      <c r="E835" s="94"/>
      <c r="F835" s="95"/>
      <c r="G835" s="96"/>
    </row>
    <row r="836" ht="14.25" customHeight="1" spans="4:7">
      <c r="D836" s="93"/>
      <c r="E836" s="94"/>
      <c r="F836" s="95"/>
      <c r="G836" s="96"/>
    </row>
    <row r="837" ht="14.25" customHeight="1" spans="4:7">
      <c r="D837" s="93"/>
      <c r="E837" s="94"/>
      <c r="F837" s="95"/>
      <c r="G837" s="96"/>
    </row>
    <row r="838" ht="14.25" customHeight="1" spans="4:7">
      <c r="D838" s="93"/>
      <c r="E838" s="94"/>
      <c r="F838" s="95"/>
      <c r="G838" s="96"/>
    </row>
    <row r="839" ht="14.25" customHeight="1" spans="4:7">
      <c r="D839" s="93"/>
      <c r="E839" s="94"/>
      <c r="F839" s="95"/>
      <c r="G839" s="96"/>
    </row>
    <row r="840" ht="14.25" customHeight="1" spans="4:7">
      <c r="D840" s="93"/>
      <c r="E840" s="94"/>
      <c r="F840" s="95"/>
      <c r="G840" s="96"/>
    </row>
    <row r="841" ht="14.25" customHeight="1" spans="4:7">
      <c r="D841" s="93"/>
      <c r="E841" s="94"/>
      <c r="F841" s="95"/>
      <c r="G841" s="96"/>
    </row>
    <row r="842" ht="14.25" customHeight="1" spans="4:7">
      <c r="D842" s="93"/>
      <c r="E842" s="94"/>
      <c r="F842" s="95"/>
      <c r="G842" s="96"/>
    </row>
    <row r="843" ht="14.25" customHeight="1" spans="4:7">
      <c r="D843" s="93"/>
      <c r="E843" s="94"/>
      <c r="F843" s="95"/>
      <c r="G843" s="96"/>
    </row>
    <row r="844" ht="14.25" customHeight="1" spans="4:7">
      <c r="D844" s="93"/>
      <c r="E844" s="94"/>
      <c r="F844" s="95"/>
      <c r="G844" s="96"/>
    </row>
    <row r="845" ht="14.25" customHeight="1" spans="4:7">
      <c r="D845" s="93"/>
      <c r="E845" s="94"/>
      <c r="F845" s="95"/>
      <c r="G845" s="96"/>
    </row>
    <row r="846" ht="14.25" customHeight="1" spans="4:7">
      <c r="D846" s="93"/>
      <c r="E846" s="94"/>
      <c r="F846" s="95"/>
      <c r="G846" s="96"/>
    </row>
    <row r="847" ht="14.25" customHeight="1" spans="4:7">
      <c r="D847" s="93"/>
      <c r="E847" s="94"/>
      <c r="F847" s="95"/>
      <c r="G847" s="96"/>
    </row>
    <row r="848" ht="14.25" customHeight="1" spans="4:7">
      <c r="D848" s="93"/>
      <c r="E848" s="94"/>
      <c r="F848" s="95"/>
      <c r="G848" s="96"/>
    </row>
    <row r="849" ht="14.25" customHeight="1" spans="4:7">
      <c r="D849" s="93"/>
      <c r="E849" s="94"/>
      <c r="F849" s="95"/>
      <c r="G849" s="96"/>
    </row>
    <row r="850" ht="14.25" customHeight="1" spans="4:7">
      <c r="D850" s="93"/>
      <c r="E850" s="94"/>
      <c r="F850" s="95"/>
      <c r="G850" s="96"/>
    </row>
    <row r="851" ht="14.25" customHeight="1" spans="4:7">
      <c r="D851" s="93"/>
      <c r="E851" s="94"/>
      <c r="F851" s="95"/>
      <c r="G851" s="96"/>
    </row>
    <row r="852" ht="14.25" customHeight="1" spans="4:7">
      <c r="D852" s="93"/>
      <c r="E852" s="94"/>
      <c r="F852" s="95"/>
      <c r="G852" s="96"/>
    </row>
    <row r="853" ht="14.25" customHeight="1" spans="4:7">
      <c r="D853" s="93"/>
      <c r="E853" s="94"/>
      <c r="F853" s="95"/>
      <c r="G853" s="96"/>
    </row>
    <row r="854" ht="14.25" customHeight="1" spans="4:7">
      <c r="D854" s="93"/>
      <c r="E854" s="94"/>
      <c r="F854" s="95"/>
      <c r="G854" s="96"/>
    </row>
    <row r="855" ht="14.25" customHeight="1" spans="4:7">
      <c r="D855" s="93"/>
      <c r="E855" s="94"/>
      <c r="F855" s="95"/>
      <c r="G855" s="96"/>
    </row>
    <row r="856" ht="14.25" customHeight="1" spans="4:7">
      <c r="D856" s="93"/>
      <c r="E856" s="94"/>
      <c r="F856" s="95"/>
      <c r="G856" s="96"/>
    </row>
    <row r="857" ht="14.25" customHeight="1" spans="4:7">
      <c r="D857" s="93"/>
      <c r="E857" s="94"/>
      <c r="F857" s="95"/>
      <c r="G857" s="96"/>
    </row>
    <row r="858" ht="14.25" customHeight="1" spans="4:7">
      <c r="D858" s="93"/>
      <c r="E858" s="94"/>
      <c r="F858" s="95"/>
      <c r="G858" s="96"/>
    </row>
    <row r="859" ht="14.25" customHeight="1" spans="4:7">
      <c r="D859" s="93"/>
      <c r="E859" s="94"/>
      <c r="F859" s="95"/>
      <c r="G859" s="96"/>
    </row>
    <row r="860" ht="14.25" customHeight="1" spans="4:7">
      <c r="D860" s="93"/>
      <c r="E860" s="94"/>
      <c r="F860" s="95"/>
      <c r="G860" s="96"/>
    </row>
    <row r="861" ht="14.25" customHeight="1" spans="4:7">
      <c r="D861" s="93"/>
      <c r="E861" s="94"/>
      <c r="F861" s="95"/>
      <c r="G861" s="96"/>
    </row>
    <row r="862" ht="14.25" customHeight="1" spans="4:7">
      <c r="D862" s="93"/>
      <c r="E862" s="94"/>
      <c r="F862" s="95"/>
      <c r="G862" s="96"/>
    </row>
    <row r="863" ht="14.25" customHeight="1" spans="4:7">
      <c r="D863" s="93"/>
      <c r="E863" s="94"/>
      <c r="F863" s="95"/>
      <c r="G863" s="96"/>
    </row>
    <row r="864" ht="14.25" customHeight="1" spans="4:7">
      <c r="D864" s="93"/>
      <c r="E864" s="94"/>
      <c r="F864" s="95"/>
      <c r="G864" s="96"/>
    </row>
    <row r="865" ht="14.25" customHeight="1" spans="4:7">
      <c r="D865" s="93"/>
      <c r="E865" s="94"/>
      <c r="F865" s="95"/>
      <c r="G865" s="96"/>
    </row>
    <row r="866" ht="14.25" customHeight="1" spans="4:7">
      <c r="D866" s="93"/>
      <c r="E866" s="94"/>
      <c r="F866" s="95"/>
      <c r="G866" s="96"/>
    </row>
    <row r="867" ht="14.25" customHeight="1" spans="4:7">
      <c r="D867" s="93"/>
      <c r="E867" s="94"/>
      <c r="F867" s="95"/>
      <c r="G867" s="96"/>
    </row>
    <row r="868" ht="14.25" customHeight="1" spans="4:7">
      <c r="D868" s="93"/>
      <c r="E868" s="94"/>
      <c r="F868" s="95"/>
      <c r="G868" s="96"/>
    </row>
    <row r="869" ht="14.25" customHeight="1" spans="4:7">
      <c r="D869" s="93"/>
      <c r="E869" s="94"/>
      <c r="F869" s="95"/>
      <c r="G869" s="96"/>
    </row>
    <row r="870" ht="14.25" customHeight="1" spans="4:7">
      <c r="D870" s="93"/>
      <c r="E870" s="94"/>
      <c r="F870" s="95"/>
      <c r="G870" s="96"/>
    </row>
    <row r="871" ht="14.25" customHeight="1" spans="4:7">
      <c r="D871" s="93"/>
      <c r="E871" s="94"/>
      <c r="F871" s="95"/>
      <c r="G871" s="96"/>
    </row>
    <row r="872" ht="14.25" customHeight="1" spans="4:7">
      <c r="D872" s="93"/>
      <c r="E872" s="94"/>
      <c r="F872" s="95"/>
      <c r="G872" s="96"/>
    </row>
    <row r="873" ht="14.25" customHeight="1" spans="4:7">
      <c r="D873" s="93"/>
      <c r="E873" s="94"/>
      <c r="F873" s="95"/>
      <c r="G873" s="96"/>
    </row>
    <row r="874" ht="14.25" customHeight="1" spans="4:7">
      <c r="D874" s="93"/>
      <c r="E874" s="94"/>
      <c r="F874" s="95"/>
      <c r="G874" s="96"/>
    </row>
    <row r="875" ht="14.25" customHeight="1" spans="4:7">
      <c r="D875" s="93"/>
      <c r="E875" s="94"/>
      <c r="F875" s="95"/>
      <c r="G875" s="96"/>
    </row>
    <row r="876" ht="14.25" customHeight="1" spans="4:7">
      <c r="D876" s="93"/>
      <c r="E876" s="94"/>
      <c r="F876" s="95"/>
      <c r="G876" s="96"/>
    </row>
    <row r="877" ht="14.25" customHeight="1" spans="4:7">
      <c r="D877" s="93"/>
      <c r="E877" s="94"/>
      <c r="F877" s="95"/>
      <c r="G877" s="96"/>
    </row>
    <row r="878" ht="14.25" customHeight="1" spans="4:7">
      <c r="D878" s="93"/>
      <c r="E878" s="94"/>
      <c r="F878" s="95"/>
      <c r="G878" s="96"/>
    </row>
    <row r="879" ht="14.25" customHeight="1" spans="4:7">
      <c r="D879" s="93"/>
      <c r="E879" s="94"/>
      <c r="F879" s="95"/>
      <c r="G879" s="96"/>
    </row>
    <row r="880" ht="14.25" customHeight="1" spans="4:7">
      <c r="D880" s="93"/>
      <c r="E880" s="94"/>
      <c r="F880" s="95"/>
      <c r="G880" s="96"/>
    </row>
    <row r="881" ht="14.25" customHeight="1" spans="4:7">
      <c r="D881" s="93"/>
      <c r="E881" s="94"/>
      <c r="F881" s="95"/>
      <c r="G881" s="96"/>
    </row>
    <row r="882" ht="14.25" customHeight="1" spans="4:7">
      <c r="D882" s="93"/>
      <c r="E882" s="94"/>
      <c r="F882" s="95"/>
      <c r="G882" s="96"/>
    </row>
    <row r="883" ht="14.25" customHeight="1" spans="4:7">
      <c r="D883" s="93"/>
      <c r="E883" s="94"/>
      <c r="F883" s="95"/>
      <c r="G883" s="96"/>
    </row>
    <row r="884" ht="14.25" customHeight="1" spans="4:7">
      <c r="D884" s="93"/>
      <c r="E884" s="94"/>
      <c r="F884" s="95"/>
      <c r="G884" s="96"/>
    </row>
    <row r="885" ht="14.25" customHeight="1" spans="4:7">
      <c r="D885" s="93"/>
      <c r="E885" s="94"/>
      <c r="F885" s="95"/>
      <c r="G885" s="96"/>
    </row>
    <row r="886" ht="14.25" customHeight="1" spans="4:7">
      <c r="D886" s="93"/>
      <c r="E886" s="94"/>
      <c r="F886" s="95"/>
      <c r="G886" s="96"/>
    </row>
    <row r="887" ht="14.25" customHeight="1" spans="4:7">
      <c r="D887" s="93"/>
      <c r="E887" s="94"/>
      <c r="F887" s="95"/>
      <c r="G887" s="96"/>
    </row>
    <row r="888" ht="14.25" customHeight="1" spans="4:7">
      <c r="D888" s="93"/>
      <c r="E888" s="94"/>
      <c r="F888" s="95"/>
      <c r="G888" s="96"/>
    </row>
    <row r="889" ht="14.25" customHeight="1" spans="4:7">
      <c r="D889" s="93"/>
      <c r="E889" s="94"/>
      <c r="F889" s="95"/>
      <c r="G889" s="96"/>
    </row>
    <row r="890" ht="14.25" customHeight="1" spans="4:7">
      <c r="D890" s="93"/>
      <c r="E890" s="94"/>
      <c r="F890" s="95"/>
      <c r="G890" s="96"/>
    </row>
    <row r="891" ht="14.25" customHeight="1" spans="4:7">
      <c r="D891" s="93"/>
      <c r="E891" s="94"/>
      <c r="F891" s="95"/>
      <c r="G891" s="96"/>
    </row>
    <row r="892" ht="14.25" customHeight="1" spans="4:7">
      <c r="D892" s="93"/>
      <c r="E892" s="94"/>
      <c r="F892" s="95"/>
      <c r="G892" s="96"/>
    </row>
    <row r="893" ht="14.25" customHeight="1" spans="4:7">
      <c r="D893" s="93"/>
      <c r="E893" s="94"/>
      <c r="F893" s="95"/>
      <c r="G893" s="96"/>
    </row>
    <row r="894" ht="14.25" customHeight="1" spans="4:7">
      <c r="D894" s="93"/>
      <c r="E894" s="94"/>
      <c r="F894" s="95"/>
      <c r="G894" s="96"/>
    </row>
    <row r="895" ht="14.25" customHeight="1" spans="4:7">
      <c r="D895" s="93"/>
      <c r="E895" s="94"/>
      <c r="F895" s="95"/>
      <c r="G895" s="96"/>
    </row>
    <row r="896" ht="14.25" customHeight="1" spans="4:7">
      <c r="D896" s="93"/>
      <c r="E896" s="94"/>
      <c r="F896" s="95"/>
      <c r="G896" s="96"/>
    </row>
    <row r="897" ht="14.25" customHeight="1" spans="4:7">
      <c r="D897" s="93"/>
      <c r="E897" s="94"/>
      <c r="F897" s="95"/>
      <c r="G897" s="96"/>
    </row>
    <row r="898" ht="14.25" customHeight="1" spans="4:7">
      <c r="D898" s="93"/>
      <c r="E898" s="94"/>
      <c r="F898" s="95"/>
      <c r="G898" s="96"/>
    </row>
    <row r="899" ht="14.25" customHeight="1" spans="4:7">
      <c r="D899" s="93"/>
      <c r="E899" s="94"/>
      <c r="F899" s="95"/>
      <c r="G899" s="96"/>
    </row>
    <row r="900" ht="14.25" customHeight="1" spans="4:7">
      <c r="D900" s="93"/>
      <c r="E900" s="94"/>
      <c r="F900" s="95"/>
      <c r="G900" s="96"/>
    </row>
    <row r="901" ht="14.25" customHeight="1" spans="4:7">
      <c r="D901" s="93"/>
      <c r="E901" s="94"/>
      <c r="F901" s="95"/>
      <c r="G901" s="96"/>
    </row>
    <row r="902" ht="14.25" customHeight="1" spans="4:7">
      <c r="D902" s="93"/>
      <c r="E902" s="94"/>
      <c r="F902" s="95"/>
      <c r="G902" s="96"/>
    </row>
    <row r="903" ht="14.25" customHeight="1" spans="4:7">
      <c r="D903" s="93"/>
      <c r="E903" s="94"/>
      <c r="F903" s="95"/>
      <c r="G903" s="96"/>
    </row>
    <row r="904" ht="14.25" customHeight="1" spans="4:7">
      <c r="D904" s="93"/>
      <c r="E904" s="94"/>
      <c r="F904" s="95"/>
      <c r="G904" s="96"/>
    </row>
    <row r="905" ht="14.25" customHeight="1" spans="4:7">
      <c r="D905" s="93"/>
      <c r="E905" s="94"/>
      <c r="F905" s="95"/>
      <c r="G905" s="96"/>
    </row>
    <row r="906" ht="14.25" customHeight="1" spans="4:7">
      <c r="D906" s="93"/>
      <c r="E906" s="94"/>
      <c r="F906" s="95"/>
      <c r="G906" s="96"/>
    </row>
    <row r="907" ht="14.25" customHeight="1" spans="4:7">
      <c r="D907" s="93"/>
      <c r="E907" s="94"/>
      <c r="F907" s="95"/>
      <c r="G907" s="96"/>
    </row>
    <row r="908" ht="14.25" customHeight="1" spans="4:7">
      <c r="D908" s="93"/>
      <c r="E908" s="94"/>
      <c r="F908" s="95"/>
      <c r="G908" s="96"/>
    </row>
    <row r="909" ht="14.25" customHeight="1" spans="4:7">
      <c r="D909" s="93"/>
      <c r="E909" s="94"/>
      <c r="F909" s="95"/>
      <c r="G909" s="96"/>
    </row>
    <row r="910" ht="14.25" customHeight="1" spans="4:7">
      <c r="D910" s="93"/>
      <c r="E910" s="94"/>
      <c r="F910" s="95"/>
      <c r="G910" s="96"/>
    </row>
    <row r="911" ht="14.25" customHeight="1" spans="4:7">
      <c r="D911" s="93"/>
      <c r="E911" s="94"/>
      <c r="F911" s="95"/>
      <c r="G911" s="96"/>
    </row>
    <row r="912" ht="14.25" customHeight="1" spans="4:7">
      <c r="D912" s="93"/>
      <c r="E912" s="94"/>
      <c r="F912" s="95"/>
      <c r="G912" s="96"/>
    </row>
    <row r="913" ht="14.25" customHeight="1" spans="4:7">
      <c r="D913" s="93"/>
      <c r="E913" s="94"/>
      <c r="F913" s="95"/>
      <c r="G913" s="96"/>
    </row>
    <row r="914" ht="14.25" customHeight="1" spans="4:7">
      <c r="D914" s="93"/>
      <c r="E914" s="94"/>
      <c r="F914" s="95"/>
      <c r="G914" s="96"/>
    </row>
    <row r="915" ht="14.25" customHeight="1" spans="4:7">
      <c r="D915" s="93"/>
      <c r="E915" s="94"/>
      <c r="F915" s="95"/>
      <c r="G915" s="96"/>
    </row>
    <row r="916" ht="14.25" customHeight="1" spans="4:7">
      <c r="D916" s="93"/>
      <c r="E916" s="94"/>
      <c r="F916" s="95"/>
      <c r="G916" s="96"/>
    </row>
    <row r="917" ht="14.25" customHeight="1" spans="4:7">
      <c r="D917" s="93"/>
      <c r="E917" s="94"/>
      <c r="F917" s="95"/>
      <c r="G917" s="96"/>
    </row>
    <row r="918" ht="14.25" customHeight="1" spans="4:7">
      <c r="D918" s="93"/>
      <c r="E918" s="94"/>
      <c r="F918" s="95"/>
      <c r="G918" s="96"/>
    </row>
    <row r="919" ht="14.25" customHeight="1" spans="4:7">
      <c r="D919" s="93"/>
      <c r="E919" s="94"/>
      <c r="F919" s="95"/>
      <c r="G919" s="96"/>
    </row>
    <row r="920" ht="14.25" customHeight="1" spans="4:7">
      <c r="D920" s="93"/>
      <c r="E920" s="94"/>
      <c r="F920" s="95"/>
      <c r="G920" s="96"/>
    </row>
    <row r="921" ht="14.25" customHeight="1" spans="4:7">
      <c r="D921" s="93"/>
      <c r="E921" s="94"/>
      <c r="F921" s="95"/>
      <c r="G921" s="96"/>
    </row>
    <row r="922" ht="14.25" customHeight="1" spans="4:7">
      <c r="D922" s="93"/>
      <c r="E922" s="94"/>
      <c r="F922" s="95"/>
      <c r="G922" s="96"/>
    </row>
    <row r="923" ht="14.25" customHeight="1" spans="4:7">
      <c r="D923" s="93"/>
      <c r="E923" s="94"/>
      <c r="F923" s="95"/>
      <c r="G923" s="96"/>
    </row>
    <row r="924" ht="14.25" customHeight="1" spans="4:7">
      <c r="D924" s="93"/>
      <c r="E924" s="94"/>
      <c r="F924" s="95"/>
      <c r="G924" s="96"/>
    </row>
    <row r="925" ht="14.25" customHeight="1" spans="4:7">
      <c r="D925" s="93"/>
      <c r="E925" s="94"/>
      <c r="F925" s="95"/>
      <c r="G925" s="96"/>
    </row>
    <row r="926" ht="14.25" customHeight="1" spans="4:7">
      <c r="D926" s="93"/>
      <c r="E926" s="94"/>
      <c r="F926" s="95"/>
      <c r="G926" s="96"/>
    </row>
    <row r="927" ht="14.25" customHeight="1" spans="4:7">
      <c r="D927" s="93"/>
      <c r="E927" s="94"/>
      <c r="F927" s="95"/>
      <c r="G927" s="96"/>
    </row>
    <row r="928" ht="14.25" customHeight="1" spans="4:7">
      <c r="D928" s="93"/>
      <c r="E928" s="94"/>
      <c r="F928" s="95"/>
      <c r="G928" s="96"/>
    </row>
    <row r="929" ht="14.25" customHeight="1" spans="4:7">
      <c r="D929" s="93"/>
      <c r="E929" s="94"/>
      <c r="F929" s="95"/>
      <c r="G929" s="96"/>
    </row>
    <row r="930" ht="14.25" customHeight="1" spans="4:7">
      <c r="D930" s="93"/>
      <c r="E930" s="94"/>
      <c r="F930" s="95"/>
      <c r="G930" s="96"/>
    </row>
    <row r="931" ht="14.25" customHeight="1" spans="4:7">
      <c r="D931" s="93"/>
      <c r="E931" s="94"/>
      <c r="F931" s="95"/>
      <c r="G931" s="96"/>
    </row>
    <row r="932" ht="14.25" customHeight="1" spans="4:7">
      <c r="D932" s="93"/>
      <c r="E932" s="94"/>
      <c r="F932" s="95"/>
      <c r="G932" s="96"/>
    </row>
    <row r="933" ht="14.25" customHeight="1" spans="4:7">
      <c r="D933" s="93"/>
      <c r="E933" s="94"/>
      <c r="F933" s="95"/>
      <c r="G933" s="96"/>
    </row>
    <row r="934" ht="14.25" customHeight="1" spans="4:7">
      <c r="D934" s="93"/>
      <c r="E934" s="94"/>
      <c r="F934" s="95"/>
      <c r="G934" s="96"/>
    </row>
    <row r="935" ht="14.25" customHeight="1" spans="4:7">
      <c r="D935" s="93"/>
      <c r="E935" s="94"/>
      <c r="F935" s="95"/>
      <c r="G935" s="96"/>
    </row>
    <row r="936" ht="14.25" customHeight="1" spans="4:7">
      <c r="D936" s="93"/>
      <c r="E936" s="94"/>
      <c r="F936" s="95"/>
      <c r="G936" s="96"/>
    </row>
    <row r="937" ht="14.25" customHeight="1" spans="4:7">
      <c r="D937" s="93"/>
      <c r="E937" s="94"/>
      <c r="F937" s="95"/>
      <c r="G937" s="96"/>
    </row>
    <row r="938" ht="14.25" customHeight="1" spans="4:7">
      <c r="D938" s="93"/>
      <c r="E938" s="94"/>
      <c r="F938" s="95"/>
      <c r="G938" s="96"/>
    </row>
    <row r="939" ht="14.25" customHeight="1" spans="4:7">
      <c r="D939" s="93"/>
      <c r="E939" s="94"/>
      <c r="F939" s="95"/>
      <c r="G939" s="96"/>
    </row>
    <row r="940" ht="14.25" customHeight="1" spans="4:7">
      <c r="D940" s="93"/>
      <c r="E940" s="94"/>
      <c r="F940" s="95"/>
      <c r="G940" s="96"/>
    </row>
    <row r="941" ht="14.25" customHeight="1" spans="4:7">
      <c r="D941" s="93"/>
      <c r="E941" s="94"/>
      <c r="F941" s="95"/>
      <c r="G941" s="96"/>
    </row>
    <row r="942" ht="14.25" customHeight="1" spans="4:7">
      <c r="D942" s="93"/>
      <c r="E942" s="94"/>
      <c r="F942" s="95"/>
      <c r="G942" s="96"/>
    </row>
    <row r="943" ht="14.25" customHeight="1" spans="4:7">
      <c r="D943" s="93"/>
      <c r="E943" s="94"/>
      <c r="F943" s="95"/>
      <c r="G943" s="96"/>
    </row>
    <row r="944" ht="14.25" customHeight="1" spans="4:7">
      <c r="D944" s="93"/>
      <c r="E944" s="94"/>
      <c r="F944" s="95"/>
      <c r="G944" s="96"/>
    </row>
    <row r="945" ht="14.25" customHeight="1" spans="4:7">
      <c r="D945" s="93"/>
      <c r="E945" s="94"/>
      <c r="F945" s="95"/>
      <c r="G945" s="96"/>
    </row>
    <row r="946" ht="14.25" customHeight="1" spans="4:7">
      <c r="D946" s="93"/>
      <c r="E946" s="94"/>
      <c r="F946" s="95"/>
      <c r="G946" s="96"/>
    </row>
    <row r="947" ht="14.25" customHeight="1" spans="4:7">
      <c r="D947" s="93"/>
      <c r="E947" s="94"/>
      <c r="F947" s="95"/>
      <c r="G947" s="96"/>
    </row>
    <row r="948" ht="14.25" customHeight="1" spans="4:7">
      <c r="D948" s="93"/>
      <c r="E948" s="94"/>
      <c r="F948" s="95"/>
      <c r="G948" s="96"/>
    </row>
    <row r="949" ht="14.25" customHeight="1" spans="4:7">
      <c r="D949" s="93"/>
      <c r="E949" s="94"/>
      <c r="F949" s="95"/>
      <c r="G949" s="96"/>
    </row>
    <row r="950" ht="14.25" customHeight="1" spans="4:7">
      <c r="D950" s="93"/>
      <c r="E950" s="94"/>
      <c r="F950" s="95"/>
      <c r="G950" s="96"/>
    </row>
    <row r="951" ht="14.25" customHeight="1" spans="4:7">
      <c r="D951" s="93"/>
      <c r="E951" s="94"/>
      <c r="F951" s="95"/>
      <c r="G951" s="96"/>
    </row>
    <row r="952" ht="14.25" customHeight="1" spans="4:7">
      <c r="D952" s="93"/>
      <c r="E952" s="94"/>
      <c r="F952" s="95"/>
      <c r="G952" s="96"/>
    </row>
    <row r="953" ht="14.25" customHeight="1" spans="4:7">
      <c r="D953" s="93"/>
      <c r="E953" s="94"/>
      <c r="F953" s="95"/>
      <c r="G953" s="96"/>
    </row>
    <row r="954" ht="14.25" customHeight="1" spans="4:7">
      <c r="D954" s="93"/>
      <c r="E954" s="94"/>
      <c r="F954" s="95"/>
      <c r="G954" s="96"/>
    </row>
    <row r="955" ht="14.25" customHeight="1" spans="4:7">
      <c r="D955" s="93"/>
      <c r="E955" s="94"/>
      <c r="F955" s="95"/>
      <c r="G955" s="96"/>
    </row>
    <row r="956" ht="14.25" customHeight="1" spans="4:7">
      <c r="D956" s="93"/>
      <c r="E956" s="94"/>
      <c r="F956" s="95"/>
      <c r="G956" s="96"/>
    </row>
    <row r="957" ht="14.25" customHeight="1" spans="4:7">
      <c r="D957" s="93"/>
      <c r="E957" s="94"/>
      <c r="F957" s="95"/>
      <c r="G957" s="96"/>
    </row>
    <row r="958" ht="14.25" customHeight="1" spans="4:7">
      <c r="D958" s="93"/>
      <c r="E958" s="94"/>
      <c r="F958" s="95"/>
      <c r="G958" s="96"/>
    </row>
    <row r="959" ht="14.25" customHeight="1" spans="4:7">
      <c r="D959" s="93"/>
      <c r="E959" s="94"/>
      <c r="F959" s="95"/>
      <c r="G959" s="96"/>
    </row>
    <row r="960" ht="14.25" customHeight="1" spans="4:7">
      <c r="D960" s="93"/>
      <c r="E960" s="94"/>
      <c r="F960" s="95"/>
      <c r="G960" s="96"/>
    </row>
    <row r="961" ht="14.25" customHeight="1" spans="4:7">
      <c r="D961" s="93"/>
      <c r="E961" s="94"/>
      <c r="F961" s="95"/>
      <c r="G961" s="96"/>
    </row>
    <row r="962" ht="14.25" customHeight="1" spans="4:7">
      <c r="D962" s="93"/>
      <c r="E962" s="94"/>
      <c r="F962" s="95"/>
      <c r="G962" s="96"/>
    </row>
    <row r="963" ht="14.25" customHeight="1" spans="4:7">
      <c r="D963" s="93"/>
      <c r="E963" s="94"/>
      <c r="F963" s="95"/>
      <c r="G963" s="96"/>
    </row>
    <row r="964" ht="14.25" customHeight="1" spans="4:7">
      <c r="D964" s="93"/>
      <c r="E964" s="94"/>
      <c r="F964" s="95"/>
      <c r="G964" s="96"/>
    </row>
    <row r="965" ht="14.25" customHeight="1" spans="4:7">
      <c r="D965" s="93"/>
      <c r="E965" s="94"/>
      <c r="F965" s="95"/>
      <c r="G965" s="96"/>
    </row>
    <row r="966" ht="14.25" customHeight="1" spans="4:7">
      <c r="D966" s="93"/>
      <c r="E966" s="94"/>
      <c r="F966" s="95"/>
      <c r="G966" s="96"/>
    </row>
    <row r="967" ht="14.25" customHeight="1" spans="4:7">
      <c r="D967" s="93"/>
      <c r="E967" s="94"/>
      <c r="F967" s="95"/>
      <c r="G967" s="96"/>
    </row>
    <row r="968" ht="14.25" customHeight="1" spans="4:7">
      <c r="D968" s="93"/>
      <c r="E968" s="94"/>
      <c r="F968" s="95"/>
      <c r="G968" s="96"/>
    </row>
    <row r="969" ht="14.25" customHeight="1" spans="4:7">
      <c r="D969" s="93"/>
      <c r="E969" s="94"/>
      <c r="F969" s="95"/>
      <c r="G969" s="96"/>
    </row>
    <row r="970" ht="14.25" customHeight="1" spans="4:7">
      <c r="D970" s="93"/>
      <c r="E970" s="94"/>
      <c r="F970" s="95"/>
      <c r="G970" s="96"/>
    </row>
    <row r="971" ht="14.25" customHeight="1" spans="4:7">
      <c r="D971" s="93"/>
      <c r="E971" s="94"/>
      <c r="F971" s="95"/>
      <c r="G971" s="96"/>
    </row>
    <row r="972" ht="14.25" customHeight="1" spans="4:7">
      <c r="D972" s="93"/>
      <c r="E972" s="94"/>
      <c r="F972" s="95"/>
      <c r="G972" s="96"/>
    </row>
    <row r="973" ht="14.25" customHeight="1" spans="4:7">
      <c r="D973" s="93"/>
      <c r="E973" s="94"/>
      <c r="F973" s="95"/>
      <c r="G973" s="96"/>
    </row>
    <row r="974" ht="14.25" customHeight="1" spans="4:7">
      <c r="D974" s="93"/>
      <c r="E974" s="94"/>
      <c r="F974" s="95"/>
      <c r="G974" s="96"/>
    </row>
    <row r="975" ht="14.25" customHeight="1" spans="4:7">
      <c r="D975" s="93"/>
      <c r="E975" s="94"/>
      <c r="F975" s="95"/>
      <c r="G975" s="96"/>
    </row>
    <row r="976" ht="14.25" customHeight="1" spans="4:7">
      <c r="D976" s="93"/>
      <c r="E976" s="94"/>
      <c r="F976" s="95"/>
      <c r="G976" s="96"/>
    </row>
    <row r="977" ht="14.25" customHeight="1" spans="4:7">
      <c r="D977" s="93"/>
      <c r="E977" s="94"/>
      <c r="F977" s="95"/>
      <c r="G977" s="96"/>
    </row>
    <row r="978" ht="14.25" customHeight="1" spans="4:7">
      <c r="D978" s="93"/>
      <c r="E978" s="94"/>
      <c r="F978" s="95"/>
      <c r="G978" s="96"/>
    </row>
    <row r="979" ht="14.25" customHeight="1" spans="4:7">
      <c r="D979" s="93"/>
      <c r="E979" s="94"/>
      <c r="F979" s="95"/>
      <c r="G979" s="96"/>
    </row>
    <row r="980" ht="14.25" customHeight="1" spans="4:7">
      <c r="D980" s="93"/>
      <c r="E980" s="94"/>
      <c r="F980" s="95"/>
      <c r="G980" s="96"/>
    </row>
    <row r="981" ht="14.25" customHeight="1" spans="4:7">
      <c r="D981" s="93"/>
      <c r="E981" s="94"/>
      <c r="F981" s="95"/>
      <c r="G981" s="96"/>
    </row>
    <row r="982" ht="14.25" customHeight="1" spans="4:7">
      <c r="D982" s="93"/>
      <c r="E982" s="94"/>
      <c r="F982" s="95"/>
      <c r="G982" s="96"/>
    </row>
    <row r="983" ht="14.25" customHeight="1" spans="4:7">
      <c r="D983" s="93"/>
      <c r="E983" s="94"/>
      <c r="F983" s="95"/>
      <c r="G983" s="96"/>
    </row>
    <row r="984" ht="14.25" customHeight="1" spans="4:7">
      <c r="D984" s="93"/>
      <c r="E984" s="94"/>
      <c r="F984" s="95"/>
      <c r="G984" s="96"/>
    </row>
    <row r="985" ht="14.25" customHeight="1" spans="4:7">
      <c r="D985" s="93"/>
      <c r="E985" s="94"/>
      <c r="F985" s="95"/>
      <c r="G985" s="96"/>
    </row>
    <row r="986" ht="14.25" customHeight="1" spans="4:7">
      <c r="D986" s="93"/>
      <c r="E986" s="94"/>
      <c r="F986" s="95"/>
      <c r="G986" s="96"/>
    </row>
    <row r="987" ht="14.25" customHeight="1" spans="4:7">
      <c r="D987" s="93"/>
      <c r="E987" s="94"/>
      <c r="F987" s="95"/>
      <c r="G987" s="96"/>
    </row>
    <row r="988" ht="14.25" customHeight="1" spans="4:7">
      <c r="D988" s="93"/>
      <c r="E988" s="94"/>
      <c r="F988" s="95"/>
      <c r="G988" s="96"/>
    </row>
    <row r="989" ht="14.25" customHeight="1" spans="4:7">
      <c r="D989" s="93"/>
      <c r="E989" s="94"/>
      <c r="F989" s="95"/>
      <c r="G989" s="96"/>
    </row>
    <row r="990" ht="14.25" customHeight="1" spans="4:7">
      <c r="D990" s="93"/>
      <c r="E990" s="94"/>
      <c r="F990" s="95"/>
      <c r="G990" s="96"/>
    </row>
    <row r="991" ht="14.25" customHeight="1" spans="4:7">
      <c r="D991" s="93"/>
      <c r="E991" s="94"/>
      <c r="F991" s="95"/>
      <c r="G991" s="96"/>
    </row>
    <row r="992" ht="14.25" customHeight="1" spans="4:7">
      <c r="D992" s="93"/>
      <c r="E992" s="94"/>
      <c r="F992" s="95"/>
      <c r="G992" s="96"/>
    </row>
    <row r="993" ht="14.25" customHeight="1" spans="4:7">
      <c r="D993" s="93"/>
      <c r="E993" s="94"/>
      <c r="F993" s="95"/>
      <c r="G993" s="96"/>
    </row>
    <row r="994" ht="14.25" customHeight="1" spans="4:7">
      <c r="D994" s="93"/>
      <c r="E994" s="94"/>
      <c r="F994" s="95"/>
      <c r="G994" s="96"/>
    </row>
    <row r="995" ht="14.25" customHeight="1" spans="4:7">
      <c r="D995" s="93"/>
      <c r="E995" s="94"/>
      <c r="F995" s="95"/>
      <c r="G995" s="96"/>
    </row>
    <row r="996" ht="14.25" customHeight="1" spans="4:7">
      <c r="D996" s="93"/>
      <c r="E996" s="94"/>
      <c r="F996" s="95"/>
      <c r="G996" s="96"/>
    </row>
    <row r="997" ht="14.25" customHeight="1" spans="4:7">
      <c r="D997" s="93"/>
      <c r="E997" s="94"/>
      <c r="F997" s="95"/>
      <c r="G997" s="96"/>
    </row>
    <row r="998" ht="14.25" customHeight="1" spans="4:7">
      <c r="D998" s="93"/>
      <c r="E998" s="94"/>
      <c r="F998" s="95"/>
      <c r="G998" s="96"/>
    </row>
    <row r="999" ht="14.25" customHeight="1" spans="4:7">
      <c r="D999" s="93"/>
      <c r="E999" s="94"/>
      <c r="F999" s="95"/>
      <c r="G999" s="96"/>
    </row>
    <row r="1000" ht="14.25" customHeight="1" spans="4:7">
      <c r="D1000" s="93"/>
      <c r="E1000" s="94"/>
      <c r="F1000" s="95"/>
      <c r="G1000" s="96"/>
    </row>
    <row r="1001" ht="14.25" customHeight="1" spans="4:7">
      <c r="D1001" s="93"/>
      <c r="E1001" s="94"/>
      <c r="F1001" s="95"/>
      <c r="G1001" s="96"/>
    </row>
    <row r="1002" ht="14.25" customHeight="1" spans="4:7">
      <c r="D1002" s="93"/>
      <c r="E1002" s="94"/>
      <c r="F1002" s="95"/>
      <c r="G1002" s="96"/>
    </row>
    <row r="1003" ht="14.25" customHeight="1" spans="4:7">
      <c r="D1003" s="93"/>
      <c r="E1003" s="94"/>
      <c r="F1003" s="95"/>
      <c r="G1003" s="96"/>
    </row>
    <row r="1004" ht="14.25" customHeight="1" spans="4:7">
      <c r="D1004" s="93"/>
      <c r="E1004" s="94"/>
      <c r="F1004" s="95"/>
      <c r="G1004" s="96"/>
    </row>
    <row r="1005" ht="14.25" customHeight="1" spans="4:7">
      <c r="D1005" s="93"/>
      <c r="E1005" s="94"/>
      <c r="F1005" s="95"/>
      <c r="G1005" s="96"/>
    </row>
    <row r="1006" ht="14.25" customHeight="1" spans="4:7">
      <c r="D1006" s="93"/>
      <c r="E1006" s="94"/>
      <c r="F1006" s="95"/>
      <c r="G1006" s="96"/>
    </row>
    <row r="1007" ht="14.25" customHeight="1" spans="4:7">
      <c r="D1007" s="93"/>
      <c r="E1007" s="94"/>
      <c r="F1007" s="95"/>
      <c r="G1007" s="96"/>
    </row>
    <row r="1008" ht="14.25" customHeight="1" spans="4:7">
      <c r="D1008" s="93"/>
      <c r="E1008" s="94"/>
      <c r="F1008" s="95"/>
      <c r="G1008" s="96"/>
    </row>
  </sheetData>
  <mergeCells count="13">
    <mergeCell ref="D1:G1"/>
    <mergeCell ref="H1:K1"/>
    <mergeCell ref="L1:O1"/>
    <mergeCell ref="D4:O4"/>
    <mergeCell ref="A13:O13"/>
    <mergeCell ref="A22:O22"/>
    <mergeCell ref="D42:G42"/>
    <mergeCell ref="H42:K42"/>
    <mergeCell ref="L42:O42"/>
    <mergeCell ref="A5:A12"/>
    <mergeCell ref="A14:A21"/>
    <mergeCell ref="A23:A31"/>
    <mergeCell ref="A1:B3"/>
  </mergeCells>
  <pageMargins left="0.7" right="0.7" top="0.75" bottom="0.75" header="0" footer="0"/>
  <pageSetup paperSize="1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010"/>
  <sheetViews>
    <sheetView topLeftCell="A26" workbookViewId="0">
      <selection activeCell="R24" sqref="R24"/>
    </sheetView>
  </sheetViews>
  <sheetFormatPr defaultColWidth="14.4285714285714" defaultRowHeight="15" customHeight="1"/>
  <cols>
    <col min="1" max="2" width="10.7142857142857" customWidth="1"/>
    <col min="3" max="3" width="33" customWidth="1"/>
    <col min="4" max="28" width="9.42857142857143" customWidth="1"/>
  </cols>
  <sheetData>
    <row r="1" ht="14.25" customHeight="1" spans="1:28">
      <c r="A1" s="17"/>
      <c r="B1" s="18"/>
      <c r="C1" s="19" t="s">
        <v>0</v>
      </c>
      <c r="D1" s="20">
        <v>2022</v>
      </c>
      <c r="E1" s="3"/>
      <c r="F1" s="3"/>
      <c r="G1" s="4"/>
      <c r="H1" s="20">
        <v>2023</v>
      </c>
      <c r="I1" s="3"/>
      <c r="J1" s="3"/>
      <c r="K1" s="4"/>
      <c r="L1" s="20">
        <v>2024</v>
      </c>
      <c r="M1" s="3"/>
      <c r="N1" s="3"/>
      <c r="O1" s="4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</row>
    <row r="2" ht="14.25" customHeight="1" spans="1:28">
      <c r="A2" s="21"/>
      <c r="B2" s="22"/>
      <c r="C2" s="19" t="s">
        <v>1</v>
      </c>
      <c r="D2" s="23" t="s">
        <v>2</v>
      </c>
      <c r="E2" s="24" t="s">
        <v>3</v>
      </c>
      <c r="F2" s="25" t="s">
        <v>4</v>
      </c>
      <c r="G2" s="26" t="s">
        <v>5</v>
      </c>
      <c r="H2" s="23" t="s">
        <v>2</v>
      </c>
      <c r="I2" s="24" t="s">
        <v>3</v>
      </c>
      <c r="J2" s="25" t="s">
        <v>4</v>
      </c>
      <c r="K2" s="26" t="s">
        <v>5</v>
      </c>
      <c r="L2" s="23" t="s">
        <v>2</v>
      </c>
      <c r="M2" s="24" t="s">
        <v>3</v>
      </c>
      <c r="N2" s="25" t="s">
        <v>4</v>
      </c>
      <c r="O2" s="26" t="s">
        <v>5</v>
      </c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</row>
    <row r="3" ht="14.25" customHeight="1" spans="1:28">
      <c r="A3" s="27"/>
      <c r="B3" s="28"/>
      <c r="C3" s="29" t="s">
        <v>6</v>
      </c>
      <c r="D3" s="105">
        <v>44678</v>
      </c>
      <c r="E3" s="106">
        <v>44783</v>
      </c>
      <c r="F3" s="122">
        <v>44883</v>
      </c>
      <c r="G3" s="107">
        <v>45034</v>
      </c>
      <c r="H3" s="105">
        <v>45091</v>
      </c>
      <c r="I3" s="106">
        <v>45159</v>
      </c>
      <c r="J3" s="115">
        <v>45244</v>
      </c>
      <c r="K3" s="107">
        <v>45373</v>
      </c>
      <c r="L3" s="116"/>
      <c r="M3" s="117"/>
      <c r="N3" s="118"/>
      <c r="O3" s="119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</row>
    <row r="4" ht="14.25" customHeight="1" spans="1:28">
      <c r="A4" s="35" t="s">
        <v>7</v>
      </c>
      <c r="B4" s="35" t="s">
        <v>8</v>
      </c>
      <c r="C4" s="35" t="s">
        <v>9</v>
      </c>
      <c r="D4" s="108"/>
      <c r="E4" s="3"/>
      <c r="F4" s="3"/>
      <c r="G4" s="3"/>
      <c r="H4" s="3"/>
      <c r="I4" s="3"/>
      <c r="J4" s="3"/>
      <c r="K4" s="3"/>
      <c r="L4" s="3"/>
      <c r="M4" s="3"/>
      <c r="N4" s="3"/>
      <c r="O4" s="4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</row>
    <row r="5" ht="23.25" customHeight="1" spans="1:28">
      <c r="A5" s="37" t="s">
        <v>10</v>
      </c>
      <c r="B5" s="38" t="s">
        <v>11</v>
      </c>
      <c r="C5" s="38" t="s">
        <v>12</v>
      </c>
      <c r="D5" s="39">
        <v>0</v>
      </c>
      <c r="E5" s="40">
        <v>0</v>
      </c>
      <c r="F5" s="41">
        <v>0</v>
      </c>
      <c r="G5" s="42">
        <v>0</v>
      </c>
      <c r="H5" s="39">
        <v>0</v>
      </c>
      <c r="I5" s="40">
        <v>0</v>
      </c>
      <c r="J5" s="41">
        <v>0</v>
      </c>
      <c r="K5" s="42">
        <v>0</v>
      </c>
      <c r="L5" s="39"/>
      <c r="M5" s="40"/>
      <c r="N5" s="41"/>
      <c r="O5" s="42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</row>
    <row r="6" ht="22.5" customHeight="1" spans="1:28">
      <c r="A6" s="43"/>
      <c r="B6" s="44" t="s">
        <v>13</v>
      </c>
      <c r="C6" s="44" t="s">
        <v>14</v>
      </c>
      <c r="D6" s="6">
        <v>0</v>
      </c>
      <c r="E6" s="7">
        <v>0</v>
      </c>
      <c r="F6" s="25">
        <v>0</v>
      </c>
      <c r="G6" s="26">
        <v>0</v>
      </c>
      <c r="H6" s="6">
        <v>0</v>
      </c>
      <c r="I6" s="7">
        <v>0</v>
      </c>
      <c r="J6" s="25">
        <v>0</v>
      </c>
      <c r="K6" s="26">
        <v>0</v>
      </c>
      <c r="L6" s="6"/>
      <c r="M6" s="7"/>
      <c r="N6" s="25"/>
      <c r="O6" s="26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</row>
    <row r="7" ht="22.5" customHeight="1" spans="1:28">
      <c r="A7" s="43"/>
      <c r="B7" s="38" t="s">
        <v>15</v>
      </c>
      <c r="C7" s="38" t="s">
        <v>16</v>
      </c>
      <c r="D7" s="39">
        <v>0</v>
      </c>
      <c r="E7" s="40">
        <v>0</v>
      </c>
      <c r="F7" s="41">
        <v>0</v>
      </c>
      <c r="G7" s="42">
        <v>0</v>
      </c>
      <c r="H7" s="39">
        <v>0</v>
      </c>
      <c r="I7" s="40">
        <v>1</v>
      </c>
      <c r="J7" s="41">
        <v>0</v>
      </c>
      <c r="K7" s="42">
        <v>0</v>
      </c>
      <c r="L7" s="39"/>
      <c r="M7" s="40"/>
      <c r="N7" s="41"/>
      <c r="O7" s="42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</row>
    <row r="8" ht="22.5" customHeight="1" spans="1:28">
      <c r="A8" s="43"/>
      <c r="B8" s="44" t="s">
        <v>17</v>
      </c>
      <c r="C8" s="44" t="s">
        <v>18</v>
      </c>
      <c r="D8" s="6">
        <v>0</v>
      </c>
      <c r="E8" s="7">
        <v>0</v>
      </c>
      <c r="F8" s="25">
        <v>0</v>
      </c>
      <c r="G8" s="26">
        <v>0</v>
      </c>
      <c r="H8" s="6">
        <v>0</v>
      </c>
      <c r="I8" s="7">
        <v>0</v>
      </c>
      <c r="J8" s="25">
        <v>0</v>
      </c>
      <c r="K8" s="26">
        <v>0</v>
      </c>
      <c r="L8" s="6"/>
      <c r="M8" s="7"/>
      <c r="N8" s="25"/>
      <c r="O8" s="26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</row>
    <row r="9" ht="22.5" customHeight="1" spans="1:28">
      <c r="A9" s="43"/>
      <c r="B9" s="38" t="s">
        <v>19</v>
      </c>
      <c r="C9" s="38" t="s">
        <v>20</v>
      </c>
      <c r="D9" s="39">
        <v>1</v>
      </c>
      <c r="E9" s="40">
        <v>2</v>
      </c>
      <c r="F9" s="41">
        <v>2</v>
      </c>
      <c r="G9" s="42">
        <v>0</v>
      </c>
      <c r="H9" s="39">
        <v>5</v>
      </c>
      <c r="I9" s="40">
        <v>3</v>
      </c>
      <c r="J9" s="41">
        <v>5</v>
      </c>
      <c r="K9" s="42">
        <v>1</v>
      </c>
      <c r="L9" s="39"/>
      <c r="M9" s="40"/>
      <c r="N9" s="41"/>
      <c r="O9" s="42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</row>
    <row r="10" ht="23.25" customHeight="1" spans="1:28">
      <c r="A10" s="43"/>
      <c r="B10" s="44" t="s">
        <v>21</v>
      </c>
      <c r="C10" s="44" t="s">
        <v>22</v>
      </c>
      <c r="D10" s="6">
        <v>0</v>
      </c>
      <c r="E10" s="7">
        <v>0</v>
      </c>
      <c r="F10" s="25">
        <v>1</v>
      </c>
      <c r="G10" s="26">
        <v>3</v>
      </c>
      <c r="H10" s="6">
        <v>19</v>
      </c>
      <c r="I10" s="7">
        <v>3</v>
      </c>
      <c r="J10" s="25">
        <v>48</v>
      </c>
      <c r="K10" s="26">
        <v>12</v>
      </c>
      <c r="L10" s="6"/>
      <c r="M10" s="7"/>
      <c r="N10" s="25"/>
      <c r="O10" s="26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</row>
    <row r="11" ht="24" customHeight="1" spans="1:28">
      <c r="A11" s="43"/>
      <c r="B11" s="38" t="s">
        <v>23</v>
      </c>
      <c r="C11" s="38" t="s">
        <v>24</v>
      </c>
      <c r="D11" s="39">
        <v>0</v>
      </c>
      <c r="E11" s="40">
        <v>0</v>
      </c>
      <c r="F11" s="41">
        <v>0</v>
      </c>
      <c r="G11" s="42">
        <v>1</v>
      </c>
      <c r="H11" s="39">
        <v>1</v>
      </c>
      <c r="I11" s="40">
        <v>0</v>
      </c>
      <c r="J11" s="41">
        <v>0</v>
      </c>
      <c r="K11" s="42">
        <v>0</v>
      </c>
      <c r="L11" s="39"/>
      <c r="M11" s="40"/>
      <c r="N11" s="41"/>
      <c r="O11" s="42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</row>
    <row r="12" ht="24.75" customHeight="1" spans="1:28">
      <c r="A12" s="5"/>
      <c r="B12" s="44" t="s">
        <v>25</v>
      </c>
      <c r="C12" s="44" t="s">
        <v>26</v>
      </c>
      <c r="D12" s="6">
        <v>0</v>
      </c>
      <c r="E12" s="7">
        <v>0</v>
      </c>
      <c r="F12" s="25">
        <v>0</v>
      </c>
      <c r="G12" s="26">
        <v>0</v>
      </c>
      <c r="H12" s="6">
        <v>1</v>
      </c>
      <c r="I12" s="7">
        <v>2</v>
      </c>
      <c r="J12" s="25">
        <v>0</v>
      </c>
      <c r="K12" s="26">
        <v>0</v>
      </c>
      <c r="L12" s="6"/>
      <c r="M12" s="7"/>
      <c r="N12" s="25"/>
      <c r="O12" s="26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</row>
    <row r="13" ht="6" customHeight="1" spans="1:28">
      <c r="A13" s="45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4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</row>
    <row r="14" ht="24.75" customHeight="1" spans="1:28">
      <c r="A14" s="46" t="s">
        <v>27</v>
      </c>
      <c r="B14" s="38" t="s">
        <v>11</v>
      </c>
      <c r="C14" s="38" t="s">
        <v>12</v>
      </c>
      <c r="D14" s="39">
        <v>0</v>
      </c>
      <c r="E14" s="109">
        <v>0</v>
      </c>
      <c r="F14" s="41">
        <v>0</v>
      </c>
      <c r="G14" s="42">
        <v>0</v>
      </c>
      <c r="H14" s="39">
        <v>0</v>
      </c>
      <c r="I14" s="40">
        <v>0</v>
      </c>
      <c r="J14" s="41">
        <v>0</v>
      </c>
      <c r="K14" s="42">
        <v>0</v>
      </c>
      <c r="L14" s="39"/>
      <c r="M14" s="40"/>
      <c r="N14" s="41"/>
      <c r="O14" s="42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</row>
    <row r="15" ht="25.5" customHeight="1" spans="1:28">
      <c r="A15" s="43"/>
      <c r="B15" s="44" t="s">
        <v>28</v>
      </c>
      <c r="C15" s="44" t="s">
        <v>29</v>
      </c>
      <c r="D15" s="6">
        <v>0</v>
      </c>
      <c r="E15" s="110">
        <v>0</v>
      </c>
      <c r="F15" s="25">
        <v>2</v>
      </c>
      <c r="G15" s="26">
        <v>8</v>
      </c>
      <c r="H15" s="6">
        <v>32</v>
      </c>
      <c r="I15" s="7">
        <v>4</v>
      </c>
      <c r="J15" s="25">
        <v>118</v>
      </c>
      <c r="K15" s="26">
        <v>38</v>
      </c>
      <c r="L15" s="6"/>
      <c r="M15" s="7"/>
      <c r="N15" s="25"/>
      <c r="O15" s="26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</row>
    <row r="16" ht="23.25" customHeight="1" spans="1:28">
      <c r="A16" s="43"/>
      <c r="B16" s="38" t="s">
        <v>15</v>
      </c>
      <c r="C16" s="38" t="s">
        <v>16</v>
      </c>
      <c r="D16" s="39">
        <v>0</v>
      </c>
      <c r="E16" s="111">
        <v>0</v>
      </c>
      <c r="F16" s="41">
        <v>0</v>
      </c>
      <c r="G16" s="42">
        <v>0</v>
      </c>
      <c r="H16" s="39">
        <v>0</v>
      </c>
      <c r="I16" s="40">
        <v>2</v>
      </c>
      <c r="J16" s="41">
        <v>2</v>
      </c>
      <c r="K16" s="42">
        <v>0</v>
      </c>
      <c r="L16" s="39"/>
      <c r="M16" s="40"/>
      <c r="N16" s="41"/>
      <c r="O16" s="42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</row>
    <row r="17" ht="25.5" customHeight="1" spans="1:28">
      <c r="A17" s="43"/>
      <c r="B17" s="44" t="s">
        <v>17</v>
      </c>
      <c r="C17" s="44" t="s">
        <v>18</v>
      </c>
      <c r="D17" s="6">
        <v>0</v>
      </c>
      <c r="E17" s="110">
        <v>0</v>
      </c>
      <c r="F17" s="25">
        <v>0</v>
      </c>
      <c r="G17" s="26">
        <v>0</v>
      </c>
      <c r="H17" s="6">
        <v>0</v>
      </c>
      <c r="I17" s="7">
        <v>0</v>
      </c>
      <c r="J17" s="25">
        <v>0</v>
      </c>
      <c r="K17" s="26">
        <v>0</v>
      </c>
      <c r="L17" s="6"/>
      <c r="M17" s="7"/>
      <c r="N17" s="25"/>
      <c r="O17" s="26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</row>
    <row r="18" ht="22.5" customHeight="1" spans="1:28">
      <c r="A18" s="43"/>
      <c r="B18" s="38" t="s">
        <v>19</v>
      </c>
      <c r="C18" s="38" t="s">
        <v>20</v>
      </c>
      <c r="D18" s="39">
        <v>0</v>
      </c>
      <c r="E18" s="111">
        <v>1</v>
      </c>
      <c r="F18" s="41">
        <v>1</v>
      </c>
      <c r="G18" s="42">
        <v>2</v>
      </c>
      <c r="H18" s="39">
        <v>6</v>
      </c>
      <c r="I18" s="40">
        <v>2</v>
      </c>
      <c r="J18" s="41">
        <v>4</v>
      </c>
      <c r="K18" s="42">
        <v>5</v>
      </c>
      <c r="L18" s="39"/>
      <c r="M18" s="40"/>
      <c r="N18" s="41"/>
      <c r="O18" s="42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</row>
    <row r="19" ht="24" customHeight="1" spans="1:28">
      <c r="A19" s="43"/>
      <c r="B19" s="44" t="s">
        <v>21</v>
      </c>
      <c r="C19" s="44" t="s">
        <v>22</v>
      </c>
      <c r="D19" s="6">
        <v>0</v>
      </c>
      <c r="E19" s="112">
        <v>1</v>
      </c>
      <c r="F19" s="25">
        <v>6</v>
      </c>
      <c r="G19" s="26">
        <v>10</v>
      </c>
      <c r="H19" s="6">
        <v>48</v>
      </c>
      <c r="I19" s="7">
        <v>4</v>
      </c>
      <c r="J19" s="25">
        <v>136</v>
      </c>
      <c r="K19" s="26">
        <v>49</v>
      </c>
      <c r="L19" s="6"/>
      <c r="M19" s="7"/>
      <c r="N19" s="25"/>
      <c r="O19" s="26"/>
      <c r="P19" s="8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</row>
    <row r="20" ht="25.5" customHeight="1" spans="1:28">
      <c r="A20" s="43"/>
      <c r="B20" s="38" t="s">
        <v>23</v>
      </c>
      <c r="C20" s="38" t="s">
        <v>24</v>
      </c>
      <c r="D20" s="39">
        <v>0</v>
      </c>
      <c r="E20" s="109">
        <v>0</v>
      </c>
      <c r="F20" s="41">
        <v>0</v>
      </c>
      <c r="G20" s="42">
        <v>0</v>
      </c>
      <c r="H20" s="39">
        <v>2</v>
      </c>
      <c r="I20" s="40">
        <v>0</v>
      </c>
      <c r="J20" s="41">
        <v>0</v>
      </c>
      <c r="K20" s="42">
        <v>0</v>
      </c>
      <c r="L20" s="39"/>
      <c r="M20" s="40"/>
      <c r="N20" s="41"/>
      <c r="O20" s="42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</row>
    <row r="21" ht="25.5" customHeight="1" spans="1:28">
      <c r="A21" s="5"/>
      <c r="B21" s="44" t="s">
        <v>25</v>
      </c>
      <c r="C21" s="44" t="s">
        <v>26</v>
      </c>
      <c r="D21" s="6">
        <v>0</v>
      </c>
      <c r="E21" s="110">
        <v>0</v>
      </c>
      <c r="F21" s="25">
        <v>0</v>
      </c>
      <c r="G21" s="26">
        <v>1</v>
      </c>
      <c r="H21" s="6">
        <v>3</v>
      </c>
      <c r="I21" s="7">
        <v>1</v>
      </c>
      <c r="J21" s="25">
        <v>15</v>
      </c>
      <c r="K21" s="26">
        <v>0</v>
      </c>
      <c r="L21" s="6"/>
      <c r="M21" s="7"/>
      <c r="N21" s="25"/>
      <c r="O21" s="26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</row>
    <row r="22" ht="6" customHeight="1" spans="1:28">
      <c r="A22" s="45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4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</row>
    <row r="23" ht="22.5" customHeight="1" spans="1:28">
      <c r="A23" s="51" t="s">
        <v>30</v>
      </c>
      <c r="B23" s="52" t="s">
        <v>11</v>
      </c>
      <c r="C23" s="52" t="s">
        <v>12</v>
      </c>
      <c r="D23" s="39">
        <f t="shared" ref="D23:O23" si="0">SUM(D5+D14)</f>
        <v>0</v>
      </c>
      <c r="E23" s="40">
        <f t="shared" si="0"/>
        <v>0</v>
      </c>
      <c r="F23" s="47">
        <f t="shared" si="0"/>
        <v>0</v>
      </c>
      <c r="G23" s="48">
        <f t="shared" si="0"/>
        <v>0</v>
      </c>
      <c r="H23" s="39">
        <f t="shared" si="0"/>
        <v>0</v>
      </c>
      <c r="I23" s="40">
        <f t="shared" si="0"/>
        <v>0</v>
      </c>
      <c r="J23" s="47">
        <f t="shared" si="0"/>
        <v>0</v>
      </c>
      <c r="K23" s="48">
        <f t="shared" si="0"/>
        <v>0</v>
      </c>
      <c r="L23" s="39">
        <f t="shared" si="0"/>
        <v>0</v>
      </c>
      <c r="M23" s="40">
        <f t="shared" si="0"/>
        <v>0</v>
      </c>
      <c r="N23" s="47">
        <f t="shared" si="0"/>
        <v>0</v>
      </c>
      <c r="O23" s="48">
        <f t="shared" si="0"/>
        <v>0</v>
      </c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</row>
    <row r="24" ht="22.5" customHeight="1" spans="1:28">
      <c r="A24" s="43"/>
      <c r="B24" s="44" t="s">
        <v>13</v>
      </c>
      <c r="C24" s="44" t="s">
        <v>14</v>
      </c>
      <c r="D24" s="6">
        <f t="shared" ref="D24:F24" si="1">SUM(D6)</f>
        <v>0</v>
      </c>
      <c r="E24" s="7">
        <f t="shared" si="1"/>
        <v>0</v>
      </c>
      <c r="F24" s="8">
        <f t="shared" si="1"/>
        <v>0</v>
      </c>
      <c r="G24" s="9">
        <f t="shared" ref="G24:O24" si="2">G5</f>
        <v>0</v>
      </c>
      <c r="H24" s="6">
        <f t="shared" si="2"/>
        <v>0</v>
      </c>
      <c r="I24" s="7">
        <f t="shared" si="2"/>
        <v>0</v>
      </c>
      <c r="J24" s="8">
        <f t="shared" si="2"/>
        <v>0</v>
      </c>
      <c r="K24" s="9">
        <f t="shared" si="2"/>
        <v>0</v>
      </c>
      <c r="L24" s="6">
        <f t="shared" si="2"/>
        <v>0</v>
      </c>
      <c r="M24" s="7">
        <f t="shared" si="2"/>
        <v>0</v>
      </c>
      <c r="N24" s="8">
        <f t="shared" si="2"/>
        <v>0</v>
      </c>
      <c r="O24" s="9">
        <f t="shared" si="2"/>
        <v>0</v>
      </c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</row>
    <row r="25" ht="25.5" customHeight="1" spans="1:28">
      <c r="A25" s="43"/>
      <c r="B25" s="52" t="s">
        <v>28</v>
      </c>
      <c r="C25" s="52" t="s">
        <v>29</v>
      </c>
      <c r="D25" s="39">
        <f t="shared" ref="D25:I25" si="3">D15</f>
        <v>0</v>
      </c>
      <c r="E25" s="40">
        <f t="shared" si="3"/>
        <v>0</v>
      </c>
      <c r="F25" s="47">
        <f t="shared" si="3"/>
        <v>2</v>
      </c>
      <c r="G25" s="48">
        <f t="shared" si="3"/>
        <v>8</v>
      </c>
      <c r="H25" s="39">
        <f t="shared" si="3"/>
        <v>32</v>
      </c>
      <c r="I25" s="40">
        <f t="shared" si="3"/>
        <v>4</v>
      </c>
      <c r="J25" s="47">
        <v>281</v>
      </c>
      <c r="K25" s="48">
        <f t="shared" ref="K25:O25" si="4">K15</f>
        <v>38</v>
      </c>
      <c r="L25" s="39">
        <f t="shared" si="4"/>
        <v>0</v>
      </c>
      <c r="M25" s="40">
        <f t="shared" si="4"/>
        <v>0</v>
      </c>
      <c r="N25" s="47">
        <f t="shared" si="4"/>
        <v>0</v>
      </c>
      <c r="O25" s="48">
        <f t="shared" si="4"/>
        <v>0</v>
      </c>
      <c r="P25" s="89">
        <f>SUM(D25:J25)</f>
        <v>327</v>
      </c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</row>
    <row r="26" ht="24.75" customHeight="1" spans="1:28">
      <c r="A26" s="43"/>
      <c r="B26" s="44" t="s">
        <v>15</v>
      </c>
      <c r="C26" s="44" t="s">
        <v>16</v>
      </c>
      <c r="D26" s="6">
        <f t="shared" ref="D26:O26" si="5">SUM(D7+D16)</f>
        <v>0</v>
      </c>
      <c r="E26" s="7">
        <f t="shared" si="5"/>
        <v>0</v>
      </c>
      <c r="F26" s="8">
        <f t="shared" si="5"/>
        <v>0</v>
      </c>
      <c r="G26" s="9">
        <f t="shared" si="5"/>
        <v>0</v>
      </c>
      <c r="H26" s="6">
        <f t="shared" si="5"/>
        <v>0</v>
      </c>
      <c r="I26" s="7">
        <f t="shared" si="5"/>
        <v>3</v>
      </c>
      <c r="J26" s="8">
        <f t="shared" si="5"/>
        <v>2</v>
      </c>
      <c r="K26" s="9">
        <f t="shared" si="5"/>
        <v>0</v>
      </c>
      <c r="L26" s="6">
        <f t="shared" si="5"/>
        <v>0</v>
      </c>
      <c r="M26" s="7">
        <f t="shared" si="5"/>
        <v>0</v>
      </c>
      <c r="N26" s="8">
        <f t="shared" si="5"/>
        <v>0</v>
      </c>
      <c r="O26" s="9">
        <f t="shared" si="5"/>
        <v>0</v>
      </c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</row>
    <row r="27" ht="23.25" customHeight="1" spans="1:28">
      <c r="A27" s="43"/>
      <c r="B27" s="52" t="s">
        <v>17</v>
      </c>
      <c r="C27" s="52" t="s">
        <v>18</v>
      </c>
      <c r="D27" s="39">
        <f t="shared" ref="D27:O27" si="6">SUM(D8+D17)</f>
        <v>0</v>
      </c>
      <c r="E27" s="40">
        <f t="shared" si="6"/>
        <v>0</v>
      </c>
      <c r="F27" s="47">
        <f t="shared" si="6"/>
        <v>0</v>
      </c>
      <c r="G27" s="48">
        <f t="shared" si="6"/>
        <v>0</v>
      </c>
      <c r="H27" s="39">
        <f t="shared" si="6"/>
        <v>0</v>
      </c>
      <c r="I27" s="40">
        <f t="shared" si="6"/>
        <v>0</v>
      </c>
      <c r="J27" s="47">
        <f t="shared" si="6"/>
        <v>0</v>
      </c>
      <c r="K27" s="48">
        <f t="shared" si="6"/>
        <v>0</v>
      </c>
      <c r="L27" s="39">
        <f t="shared" si="6"/>
        <v>0</v>
      </c>
      <c r="M27" s="40">
        <f t="shared" si="6"/>
        <v>0</v>
      </c>
      <c r="N27" s="47">
        <f t="shared" si="6"/>
        <v>0</v>
      </c>
      <c r="O27" s="48">
        <f t="shared" si="6"/>
        <v>0</v>
      </c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</row>
    <row r="28" ht="22.5" customHeight="1" spans="1:28">
      <c r="A28" s="43"/>
      <c r="B28" s="44" t="s">
        <v>19</v>
      </c>
      <c r="C28" s="44" t="s">
        <v>20</v>
      </c>
      <c r="D28" s="6">
        <f t="shared" ref="D28:O28" si="7">SUM(D9+D18)</f>
        <v>1</v>
      </c>
      <c r="E28" s="7">
        <f t="shared" si="7"/>
        <v>3</v>
      </c>
      <c r="F28" s="8">
        <f t="shared" si="7"/>
        <v>3</v>
      </c>
      <c r="G28" s="9">
        <f t="shared" si="7"/>
        <v>2</v>
      </c>
      <c r="H28" s="6">
        <f t="shared" si="7"/>
        <v>11</v>
      </c>
      <c r="I28" s="7">
        <f t="shared" si="7"/>
        <v>5</v>
      </c>
      <c r="J28" s="8">
        <f t="shared" si="7"/>
        <v>9</v>
      </c>
      <c r="K28" s="9">
        <f t="shared" si="7"/>
        <v>6</v>
      </c>
      <c r="L28" s="6">
        <f t="shared" si="7"/>
        <v>0</v>
      </c>
      <c r="M28" s="7">
        <f t="shared" si="7"/>
        <v>0</v>
      </c>
      <c r="N28" s="8">
        <f t="shared" si="7"/>
        <v>0</v>
      </c>
      <c r="O28" s="9">
        <f t="shared" si="7"/>
        <v>0</v>
      </c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</row>
    <row r="29" ht="24.75" customHeight="1" spans="1:28">
      <c r="A29" s="43"/>
      <c r="B29" s="52" t="s">
        <v>21</v>
      </c>
      <c r="C29" s="52" t="s">
        <v>22</v>
      </c>
      <c r="D29" s="39">
        <f t="shared" ref="D29:O29" si="8">SUM(D10+D19)</f>
        <v>0</v>
      </c>
      <c r="E29" s="40">
        <f t="shared" si="8"/>
        <v>1</v>
      </c>
      <c r="F29" s="47">
        <f t="shared" si="8"/>
        <v>7</v>
      </c>
      <c r="G29" s="48">
        <f t="shared" si="8"/>
        <v>13</v>
      </c>
      <c r="H29" s="39">
        <f t="shared" si="8"/>
        <v>67</v>
      </c>
      <c r="I29" s="40">
        <f t="shared" si="8"/>
        <v>7</v>
      </c>
      <c r="J29" s="47">
        <f t="shared" si="8"/>
        <v>184</v>
      </c>
      <c r="K29" s="48">
        <f t="shared" si="8"/>
        <v>61</v>
      </c>
      <c r="L29" s="39">
        <f t="shared" si="8"/>
        <v>0</v>
      </c>
      <c r="M29" s="40">
        <f t="shared" si="8"/>
        <v>0</v>
      </c>
      <c r="N29" s="47">
        <f t="shared" si="8"/>
        <v>0</v>
      </c>
      <c r="O29" s="48">
        <f t="shared" si="8"/>
        <v>0</v>
      </c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</row>
    <row r="30" ht="24.75" customHeight="1" spans="1:28">
      <c r="A30" s="43"/>
      <c r="B30" s="44" t="s">
        <v>23</v>
      </c>
      <c r="C30" s="44" t="s">
        <v>24</v>
      </c>
      <c r="D30" s="6">
        <f t="shared" ref="D30:O30" si="9">SUM(D11+D20)</f>
        <v>0</v>
      </c>
      <c r="E30" s="7">
        <f t="shared" si="9"/>
        <v>0</v>
      </c>
      <c r="F30" s="8">
        <f t="shared" si="9"/>
        <v>0</v>
      </c>
      <c r="G30" s="9">
        <f t="shared" si="9"/>
        <v>1</v>
      </c>
      <c r="H30" s="6">
        <f t="shared" si="9"/>
        <v>3</v>
      </c>
      <c r="I30" s="7">
        <f t="shared" si="9"/>
        <v>0</v>
      </c>
      <c r="J30" s="8">
        <f t="shared" si="9"/>
        <v>0</v>
      </c>
      <c r="K30" s="9">
        <f t="shared" si="9"/>
        <v>0</v>
      </c>
      <c r="L30" s="6">
        <f t="shared" si="9"/>
        <v>0</v>
      </c>
      <c r="M30" s="7">
        <f t="shared" si="9"/>
        <v>0</v>
      </c>
      <c r="N30" s="8">
        <f t="shared" si="9"/>
        <v>0</v>
      </c>
      <c r="O30" s="9">
        <f t="shared" si="9"/>
        <v>0</v>
      </c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</row>
    <row r="31" ht="25.5" customHeight="1" spans="1:28">
      <c r="A31" s="5"/>
      <c r="B31" s="52" t="s">
        <v>25</v>
      </c>
      <c r="C31" s="52" t="s">
        <v>26</v>
      </c>
      <c r="D31" s="39">
        <f t="shared" ref="D31:O31" si="10">SUM(D12+D21)</f>
        <v>0</v>
      </c>
      <c r="E31" s="40">
        <f t="shared" si="10"/>
        <v>0</v>
      </c>
      <c r="F31" s="47">
        <f t="shared" si="10"/>
        <v>0</v>
      </c>
      <c r="G31" s="48">
        <f t="shared" si="10"/>
        <v>1</v>
      </c>
      <c r="H31" s="39">
        <f t="shared" si="10"/>
        <v>4</v>
      </c>
      <c r="I31" s="40">
        <f t="shared" si="10"/>
        <v>3</v>
      </c>
      <c r="J31" s="47">
        <f t="shared" si="10"/>
        <v>15</v>
      </c>
      <c r="K31" s="48">
        <f t="shared" si="10"/>
        <v>0</v>
      </c>
      <c r="L31" s="39">
        <f t="shared" si="10"/>
        <v>0</v>
      </c>
      <c r="M31" s="40">
        <f t="shared" si="10"/>
        <v>0</v>
      </c>
      <c r="N31" s="47">
        <f t="shared" si="10"/>
        <v>0</v>
      </c>
      <c r="O31" s="48">
        <f t="shared" si="10"/>
        <v>0</v>
      </c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</row>
    <row r="32" ht="21.75" customHeight="1" spans="1:28">
      <c r="A32" s="53"/>
      <c r="B32" s="53"/>
      <c r="C32" s="54" t="s">
        <v>30</v>
      </c>
      <c r="D32" s="55">
        <f t="shared" ref="D32:O32" si="11">SUM(D23:D31)</f>
        <v>1</v>
      </c>
      <c r="E32" s="56">
        <f t="shared" si="11"/>
        <v>4</v>
      </c>
      <c r="F32" s="90">
        <f t="shared" si="11"/>
        <v>12</v>
      </c>
      <c r="G32" s="57">
        <f t="shared" si="11"/>
        <v>25</v>
      </c>
      <c r="H32" s="55">
        <f t="shared" si="11"/>
        <v>117</v>
      </c>
      <c r="I32" s="56">
        <f t="shared" si="11"/>
        <v>22</v>
      </c>
      <c r="J32" s="90">
        <f t="shared" si="11"/>
        <v>491</v>
      </c>
      <c r="K32" s="57">
        <f t="shared" si="11"/>
        <v>105</v>
      </c>
      <c r="L32" s="55">
        <f t="shared" si="11"/>
        <v>0</v>
      </c>
      <c r="M32" s="56">
        <f t="shared" si="11"/>
        <v>0</v>
      </c>
      <c r="N32" s="90">
        <f t="shared" si="11"/>
        <v>0</v>
      </c>
      <c r="O32" s="57">
        <f t="shared" si="11"/>
        <v>0</v>
      </c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</row>
    <row r="33" ht="24.75" customHeight="1" spans="1:28">
      <c r="A33" s="58"/>
      <c r="B33" s="58"/>
      <c r="C33" s="54" t="s">
        <v>31</v>
      </c>
      <c r="D33" s="59">
        <f t="shared" ref="D33:O33" si="12">D32*40</f>
        <v>40</v>
      </c>
      <c r="E33" s="60">
        <f t="shared" si="12"/>
        <v>160</v>
      </c>
      <c r="F33" s="61">
        <f t="shared" si="12"/>
        <v>480</v>
      </c>
      <c r="G33" s="62">
        <f t="shared" si="12"/>
        <v>1000</v>
      </c>
      <c r="H33" s="59">
        <f t="shared" si="12"/>
        <v>4680</v>
      </c>
      <c r="I33" s="60">
        <f t="shared" si="12"/>
        <v>880</v>
      </c>
      <c r="J33" s="61">
        <f t="shared" si="12"/>
        <v>19640</v>
      </c>
      <c r="K33" s="62">
        <f t="shared" si="12"/>
        <v>4200</v>
      </c>
      <c r="L33" s="59">
        <f t="shared" si="12"/>
        <v>0</v>
      </c>
      <c r="M33" s="60">
        <f t="shared" si="12"/>
        <v>0</v>
      </c>
      <c r="N33" s="61">
        <f t="shared" si="12"/>
        <v>0</v>
      </c>
      <c r="O33" s="62">
        <f t="shared" si="12"/>
        <v>0</v>
      </c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</row>
    <row r="34" ht="45.75" customHeight="1" spans="1:28">
      <c r="A34" s="58"/>
      <c r="C34" s="63" t="s">
        <v>37</v>
      </c>
      <c r="D34" s="64"/>
      <c r="E34" s="64"/>
      <c r="F34" s="65" t="s">
        <v>54</v>
      </c>
      <c r="G34" s="66"/>
      <c r="H34" s="66"/>
      <c r="I34" s="66"/>
      <c r="J34" s="66"/>
      <c r="K34" s="66"/>
      <c r="L34" s="66"/>
      <c r="M34" s="66"/>
      <c r="N34" s="66"/>
      <c r="O34" s="66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</row>
    <row r="35" customHeight="1" spans="4:28">
      <c r="D35" s="67"/>
      <c r="E35" s="67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</row>
    <row r="36" customHeight="1" spans="2:28">
      <c r="B36" s="69" t="s">
        <v>32</v>
      </c>
      <c r="C36" s="70"/>
      <c r="D36" s="67"/>
      <c r="E36" s="67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</row>
    <row r="37" ht="18.75" customHeight="1" spans="2:28">
      <c r="B37" s="71" t="s">
        <v>33</v>
      </c>
      <c r="C37" s="72" t="s">
        <v>55</v>
      </c>
      <c r="D37" s="67"/>
      <c r="E37" s="67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</row>
    <row r="38" ht="17.25" customHeight="1" spans="2:28">
      <c r="B38" s="71" t="s">
        <v>34</v>
      </c>
      <c r="C38" s="72" t="s">
        <v>56</v>
      </c>
      <c r="D38" s="67"/>
      <c r="E38" s="67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</row>
    <row r="39" customHeight="1" spans="1:28">
      <c r="A39" s="58"/>
      <c r="B39" s="71" t="s">
        <v>35</v>
      </c>
      <c r="C39" s="72" t="s">
        <v>57</v>
      </c>
      <c r="D39" s="67"/>
      <c r="E39" s="67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</row>
    <row r="40" customHeight="1" spans="1:28">
      <c r="A40" s="58"/>
      <c r="B40" s="71" t="s">
        <v>36</v>
      </c>
      <c r="C40" s="72" t="s">
        <v>58</v>
      </c>
      <c r="D40" s="67"/>
      <c r="E40" s="67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</row>
    <row r="41" customHeight="1" spans="1:28">
      <c r="A41" s="58"/>
      <c r="B41" s="58"/>
      <c r="C41" s="58"/>
      <c r="D41" s="67"/>
      <c r="E41" s="67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</row>
    <row r="42" customHeight="1" spans="1:28">
      <c r="A42" s="58"/>
      <c r="B42" s="58"/>
      <c r="C42" s="58"/>
      <c r="D42" s="73">
        <v>2022</v>
      </c>
      <c r="E42" s="3"/>
      <c r="F42" s="3"/>
      <c r="G42" s="4"/>
      <c r="H42" s="74">
        <v>2023</v>
      </c>
      <c r="I42" s="3"/>
      <c r="J42" s="3"/>
      <c r="K42" s="4"/>
      <c r="L42" s="74">
        <v>2024</v>
      </c>
      <c r="M42" s="3"/>
      <c r="N42" s="3"/>
      <c r="O42" s="4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</row>
    <row r="43" ht="23.25" customHeight="1" spans="3:28">
      <c r="C43" s="58"/>
      <c r="D43" s="75" t="s">
        <v>42</v>
      </c>
      <c r="E43" s="76" t="s">
        <v>43</v>
      </c>
      <c r="F43" s="77" t="s">
        <v>44</v>
      </c>
      <c r="G43" s="78" t="s">
        <v>45</v>
      </c>
      <c r="H43" s="79" t="s">
        <v>46</v>
      </c>
      <c r="I43" s="76" t="s">
        <v>47</v>
      </c>
      <c r="J43" s="77" t="s">
        <v>48</v>
      </c>
      <c r="K43" s="78" t="s">
        <v>49</v>
      </c>
      <c r="L43" s="79" t="s">
        <v>50</v>
      </c>
      <c r="M43" s="76" t="s">
        <v>51</v>
      </c>
      <c r="N43" s="77" t="s">
        <v>52</v>
      </c>
      <c r="O43" s="78" t="s">
        <v>53</v>
      </c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</row>
    <row r="44" ht="14.25" customHeight="1" spans="3:28">
      <c r="C44" s="52" t="s">
        <v>11</v>
      </c>
      <c r="D44" s="11">
        <f t="shared" ref="D44:K44" si="13">D23/5*100</f>
        <v>0</v>
      </c>
      <c r="E44" s="11">
        <f t="shared" si="13"/>
        <v>0</v>
      </c>
      <c r="F44" s="11">
        <f t="shared" si="13"/>
        <v>0</v>
      </c>
      <c r="G44" s="11">
        <f t="shared" si="13"/>
        <v>0</v>
      </c>
      <c r="H44" s="11">
        <f t="shared" si="13"/>
        <v>0</v>
      </c>
      <c r="I44" s="11">
        <f t="shared" si="13"/>
        <v>0</v>
      </c>
      <c r="J44" s="11">
        <f t="shared" si="13"/>
        <v>0</v>
      </c>
      <c r="K44" s="11">
        <f t="shared" si="13"/>
        <v>0</v>
      </c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</row>
    <row r="45" ht="14.25" customHeight="1" spans="3:28">
      <c r="C45" s="44" t="s">
        <v>13</v>
      </c>
      <c r="D45" s="11">
        <f t="shared" ref="D45:K45" si="14">D24/5*100</f>
        <v>0</v>
      </c>
      <c r="E45" s="11">
        <f t="shared" si="14"/>
        <v>0</v>
      </c>
      <c r="F45" s="11">
        <f t="shared" si="14"/>
        <v>0</v>
      </c>
      <c r="G45" s="11">
        <f t="shared" si="14"/>
        <v>0</v>
      </c>
      <c r="H45" s="11">
        <f t="shared" si="14"/>
        <v>0</v>
      </c>
      <c r="I45" s="11">
        <f t="shared" si="14"/>
        <v>0</v>
      </c>
      <c r="J45" s="11">
        <f t="shared" si="14"/>
        <v>0</v>
      </c>
      <c r="K45" s="11">
        <f t="shared" si="14"/>
        <v>0</v>
      </c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</row>
    <row r="46" ht="14.25" customHeight="1" spans="3:28">
      <c r="C46" s="52" t="s">
        <v>28</v>
      </c>
      <c r="D46" s="11">
        <f t="shared" ref="D46:K46" si="15">D25/5*100</f>
        <v>0</v>
      </c>
      <c r="E46" s="11">
        <f t="shared" si="15"/>
        <v>0</v>
      </c>
      <c r="F46" s="11">
        <f t="shared" si="15"/>
        <v>40</v>
      </c>
      <c r="G46" s="11">
        <f t="shared" si="15"/>
        <v>160</v>
      </c>
      <c r="H46" s="11">
        <f t="shared" si="15"/>
        <v>640</v>
      </c>
      <c r="I46" s="11">
        <f t="shared" si="15"/>
        <v>80</v>
      </c>
      <c r="J46" s="11">
        <f t="shared" si="15"/>
        <v>5620</v>
      </c>
      <c r="K46" s="11">
        <f t="shared" si="15"/>
        <v>760</v>
      </c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</row>
    <row r="47" ht="14.25" customHeight="1" spans="3:28">
      <c r="C47" s="44" t="s">
        <v>15</v>
      </c>
      <c r="D47" s="11">
        <f t="shared" ref="D47:K47" si="16">D26/5*100</f>
        <v>0</v>
      </c>
      <c r="E47" s="11">
        <f t="shared" si="16"/>
        <v>0</v>
      </c>
      <c r="F47" s="11">
        <f t="shared" si="16"/>
        <v>0</v>
      </c>
      <c r="G47" s="11">
        <f t="shared" si="16"/>
        <v>0</v>
      </c>
      <c r="H47" s="11">
        <f t="shared" si="16"/>
        <v>0</v>
      </c>
      <c r="I47" s="11">
        <f t="shared" si="16"/>
        <v>60</v>
      </c>
      <c r="J47" s="11">
        <f t="shared" si="16"/>
        <v>40</v>
      </c>
      <c r="K47" s="11">
        <f t="shared" si="16"/>
        <v>0</v>
      </c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</row>
    <row r="48" ht="14.25" customHeight="1" spans="3:28">
      <c r="C48" s="52" t="s">
        <v>17</v>
      </c>
      <c r="D48" s="11">
        <f t="shared" ref="D48:K48" si="17">D27/5*100</f>
        <v>0</v>
      </c>
      <c r="E48" s="11">
        <f t="shared" si="17"/>
        <v>0</v>
      </c>
      <c r="F48" s="11">
        <f t="shared" si="17"/>
        <v>0</v>
      </c>
      <c r="G48" s="11">
        <f t="shared" si="17"/>
        <v>0</v>
      </c>
      <c r="H48" s="11">
        <f t="shared" si="17"/>
        <v>0</v>
      </c>
      <c r="I48" s="11">
        <f t="shared" si="17"/>
        <v>0</v>
      </c>
      <c r="J48" s="11">
        <f t="shared" si="17"/>
        <v>0</v>
      </c>
      <c r="K48" s="11">
        <f t="shared" si="17"/>
        <v>0</v>
      </c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</row>
    <row r="49" ht="14.25" customHeight="1" spans="3:28">
      <c r="C49" s="44" t="s">
        <v>19</v>
      </c>
      <c r="D49" s="11">
        <f t="shared" ref="D49:K49" si="18">D28/5*100</f>
        <v>20</v>
      </c>
      <c r="E49" s="11">
        <f t="shared" si="18"/>
        <v>60</v>
      </c>
      <c r="F49" s="11">
        <f t="shared" si="18"/>
        <v>60</v>
      </c>
      <c r="G49" s="11">
        <f t="shared" si="18"/>
        <v>40</v>
      </c>
      <c r="H49" s="11">
        <f t="shared" si="18"/>
        <v>220</v>
      </c>
      <c r="I49" s="11">
        <f t="shared" si="18"/>
        <v>100</v>
      </c>
      <c r="J49" s="11">
        <f t="shared" si="18"/>
        <v>180</v>
      </c>
      <c r="K49" s="11">
        <f t="shared" si="18"/>
        <v>120</v>
      </c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</row>
    <row r="50" ht="14.25" customHeight="1" spans="3:28">
      <c r="C50" s="52" t="s">
        <v>21</v>
      </c>
      <c r="D50" s="11">
        <f t="shared" ref="D50:K50" si="19">D29/5*100</f>
        <v>0</v>
      </c>
      <c r="E50" s="11">
        <f t="shared" si="19"/>
        <v>20</v>
      </c>
      <c r="F50" s="11">
        <f t="shared" si="19"/>
        <v>140</v>
      </c>
      <c r="G50" s="11">
        <f t="shared" si="19"/>
        <v>260</v>
      </c>
      <c r="H50" s="11">
        <f t="shared" si="19"/>
        <v>1340</v>
      </c>
      <c r="I50" s="11">
        <f t="shared" si="19"/>
        <v>140</v>
      </c>
      <c r="J50" s="11">
        <f t="shared" si="19"/>
        <v>3680</v>
      </c>
      <c r="K50" s="11">
        <f t="shared" si="19"/>
        <v>1220</v>
      </c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</row>
    <row r="51" ht="14.25" customHeight="1" spans="3:28">
      <c r="C51" s="44" t="s">
        <v>23</v>
      </c>
      <c r="D51" s="11">
        <f t="shared" ref="D51:K51" si="20">D30/5*100</f>
        <v>0</v>
      </c>
      <c r="E51" s="11">
        <f t="shared" si="20"/>
        <v>0</v>
      </c>
      <c r="F51" s="11">
        <f t="shared" si="20"/>
        <v>0</v>
      </c>
      <c r="G51" s="11">
        <f t="shared" si="20"/>
        <v>20</v>
      </c>
      <c r="H51" s="11">
        <f t="shared" si="20"/>
        <v>60</v>
      </c>
      <c r="I51" s="11">
        <f t="shared" si="20"/>
        <v>0</v>
      </c>
      <c r="J51" s="11">
        <f t="shared" si="20"/>
        <v>0</v>
      </c>
      <c r="K51" s="11">
        <f t="shared" si="20"/>
        <v>0</v>
      </c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</row>
    <row r="52" ht="14.25" customHeight="1" spans="3:28">
      <c r="C52" s="52" t="s">
        <v>25</v>
      </c>
      <c r="D52" s="11">
        <f t="shared" ref="D52:K52" si="21">D31/5*100</f>
        <v>0</v>
      </c>
      <c r="E52" s="11">
        <f t="shared" si="21"/>
        <v>0</v>
      </c>
      <c r="F52" s="11">
        <f t="shared" si="21"/>
        <v>0</v>
      </c>
      <c r="G52" s="11">
        <f t="shared" si="21"/>
        <v>20</v>
      </c>
      <c r="H52" s="11">
        <f t="shared" si="21"/>
        <v>80</v>
      </c>
      <c r="I52" s="11">
        <f t="shared" si="21"/>
        <v>60</v>
      </c>
      <c r="J52" s="11">
        <f t="shared" si="21"/>
        <v>300</v>
      </c>
      <c r="K52" s="11">
        <f t="shared" si="21"/>
        <v>0</v>
      </c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</row>
    <row r="53" ht="14.25" customHeight="1"/>
    <row r="54" ht="14.25" customHeight="1" spans="4:28"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</row>
    <row r="55" ht="14.25" customHeight="1" spans="4:28"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</row>
    <row r="56" ht="14.25" customHeight="1" spans="4:28"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</row>
    <row r="57" ht="14.25" customHeight="1" spans="4:28"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</row>
    <row r="58" ht="14.25" customHeight="1" spans="4:28"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</row>
    <row r="59" ht="14.25" customHeight="1" spans="4:28"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  <c r="AB59" s="68"/>
    </row>
    <row r="60" ht="14.25" customHeight="1" spans="4:28"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  <c r="AB60" s="68"/>
    </row>
    <row r="61" ht="14.25" customHeight="1" spans="4:28"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  <c r="AB61" s="68"/>
    </row>
    <row r="62" ht="14.25" customHeight="1" spans="4:28"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  <c r="AB62" s="68"/>
    </row>
    <row r="63" ht="14.25" customHeight="1" spans="4:28"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</row>
    <row r="64" ht="14.25" customHeight="1" spans="4:28"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  <c r="AB64" s="68"/>
    </row>
    <row r="65" ht="14.25" customHeight="1" spans="4:28"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</row>
    <row r="66" ht="14.25" customHeight="1" spans="4:28"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</row>
    <row r="67" ht="14.25" customHeight="1" spans="4:28"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  <c r="AB67" s="68"/>
    </row>
    <row r="68" ht="14.25" customHeight="1" spans="4:28"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</row>
    <row r="69" ht="14.25" customHeight="1" spans="4:28"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</row>
    <row r="70" ht="14.25" customHeight="1" spans="4:28"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  <c r="AB70" s="68"/>
    </row>
    <row r="71" ht="14.25" customHeight="1" spans="4:28"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  <c r="AB71" s="68"/>
    </row>
    <row r="72" ht="14.25" customHeight="1" spans="4:28"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  <c r="AB72" s="68"/>
    </row>
    <row r="73" ht="14.25" customHeight="1" spans="4:28"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</row>
    <row r="74" ht="14.25" customHeight="1" spans="4:28"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  <c r="AB74" s="68"/>
    </row>
    <row r="75" ht="14.25" customHeight="1" spans="4:28"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68"/>
    </row>
    <row r="76" ht="14.25" customHeight="1" spans="4:28"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</row>
    <row r="77" ht="14.25" customHeight="1" spans="4:28"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</row>
    <row r="78" ht="14.25" customHeight="1" spans="4:28"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</row>
    <row r="79" ht="14.25" customHeight="1" spans="4:28"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</row>
    <row r="80" ht="14.25" customHeight="1" spans="4:28"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</row>
    <row r="81" ht="14.25" customHeight="1" spans="4:28"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  <c r="AB81" s="68"/>
    </row>
    <row r="82" ht="14.25" customHeight="1" spans="4:28"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</row>
    <row r="83" ht="14.25" customHeight="1" spans="4:28"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</row>
    <row r="84" ht="14.25" customHeight="1" spans="4:28"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</row>
    <row r="85" ht="14.25" customHeight="1" spans="4:28"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</row>
    <row r="86" ht="14.25" customHeight="1" spans="4:28"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</row>
    <row r="87" ht="14.25" customHeight="1" spans="4:28"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</row>
    <row r="88" ht="14.25" customHeight="1" spans="4:28"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</row>
    <row r="89" ht="14.25" customHeight="1" spans="4:28"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</row>
    <row r="90" ht="14.25" customHeight="1" spans="4:28"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</row>
    <row r="91" ht="14.25" customHeight="1" spans="4:28"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</row>
    <row r="92" ht="14.25" customHeight="1" spans="4:28"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</row>
    <row r="93" ht="14.25" customHeight="1" spans="4:28"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</row>
    <row r="94" ht="14.25" customHeight="1" spans="4:28"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</row>
    <row r="95" ht="14.25" customHeight="1" spans="4:28"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</row>
    <row r="96" ht="14.25" customHeight="1" spans="4:28"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</row>
    <row r="97" ht="14.25" customHeight="1" spans="4:28"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</row>
    <row r="98" ht="14.25" customHeight="1" spans="4:28"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</row>
    <row r="99" ht="14.25" customHeight="1" spans="4:28"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</row>
    <row r="100" ht="14.25" customHeight="1" spans="4:28"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</row>
    <row r="101" ht="14.25" customHeight="1" spans="4:28"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</row>
    <row r="102" ht="14.25" customHeight="1" spans="4:28"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</row>
    <row r="103" ht="14.25" customHeight="1" spans="4:28"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</row>
    <row r="104" ht="14.25" customHeight="1" spans="4:28"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</row>
    <row r="105" ht="14.25" customHeight="1" spans="4:28"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</row>
    <row r="106" ht="14.25" customHeight="1" spans="4:28"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</row>
    <row r="107" ht="14.25" customHeight="1" spans="4:28"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</row>
    <row r="108" ht="14.25" customHeight="1" spans="4:28"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</row>
    <row r="109" ht="14.25" customHeight="1" spans="4:28"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</row>
    <row r="110" ht="14.25" customHeight="1" spans="4:28"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8"/>
      <c r="AB110" s="68"/>
    </row>
    <row r="111" ht="14.25" customHeight="1" spans="4:28"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</row>
    <row r="112" ht="14.25" customHeight="1" spans="4:28"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68"/>
      <c r="AB112" s="68"/>
    </row>
    <row r="113" ht="14.25" customHeight="1" spans="4:7">
      <c r="D113" s="93"/>
      <c r="E113" s="94"/>
      <c r="F113" s="95"/>
      <c r="G113" s="96"/>
    </row>
    <row r="114" ht="14.25" customHeight="1" spans="4:7">
      <c r="D114" s="93"/>
      <c r="E114" s="94"/>
      <c r="F114" s="95"/>
      <c r="G114" s="96"/>
    </row>
    <row r="115" ht="14.25" customHeight="1" spans="4:7">
      <c r="D115" s="93"/>
      <c r="E115" s="94"/>
      <c r="F115" s="95"/>
      <c r="G115" s="96"/>
    </row>
    <row r="116" ht="14.25" customHeight="1" spans="4:7">
      <c r="D116" s="93"/>
      <c r="E116" s="94"/>
      <c r="F116" s="95"/>
      <c r="G116" s="96"/>
    </row>
    <row r="117" ht="14.25" customHeight="1" spans="4:7">
      <c r="D117" s="93"/>
      <c r="E117" s="94"/>
      <c r="F117" s="95"/>
      <c r="G117" s="96"/>
    </row>
    <row r="118" ht="14.25" customHeight="1" spans="4:7">
      <c r="D118" s="93"/>
      <c r="E118" s="94"/>
      <c r="F118" s="95"/>
      <c r="G118" s="96"/>
    </row>
    <row r="119" ht="14.25" customHeight="1" spans="4:7">
      <c r="D119" s="93"/>
      <c r="E119" s="94"/>
      <c r="F119" s="95"/>
      <c r="G119" s="96"/>
    </row>
    <row r="120" ht="14.25" customHeight="1" spans="4:7">
      <c r="D120" s="93"/>
      <c r="E120" s="94"/>
      <c r="F120" s="95"/>
      <c r="G120" s="96"/>
    </row>
    <row r="121" ht="14.25" customHeight="1" spans="4:7">
      <c r="D121" s="93"/>
      <c r="E121" s="94"/>
      <c r="F121" s="95"/>
      <c r="G121" s="96"/>
    </row>
    <row r="122" ht="14.25" customHeight="1" spans="4:7">
      <c r="D122" s="93"/>
      <c r="E122" s="94"/>
      <c r="F122" s="95"/>
      <c r="G122" s="96"/>
    </row>
    <row r="123" ht="14.25" customHeight="1" spans="4:7">
      <c r="D123" s="93"/>
      <c r="E123" s="94"/>
      <c r="F123" s="95"/>
      <c r="G123" s="96"/>
    </row>
    <row r="124" ht="14.25" customHeight="1" spans="4:7">
      <c r="D124" s="93"/>
      <c r="E124" s="94"/>
      <c r="F124" s="95"/>
      <c r="G124" s="96"/>
    </row>
    <row r="125" ht="14.25" customHeight="1" spans="4:7">
      <c r="D125" s="93"/>
      <c r="E125" s="94"/>
      <c r="F125" s="95"/>
      <c r="G125" s="96"/>
    </row>
    <row r="126" ht="14.25" customHeight="1" spans="4:7">
      <c r="D126" s="93"/>
      <c r="E126" s="94"/>
      <c r="F126" s="95"/>
      <c r="G126" s="96"/>
    </row>
    <row r="127" ht="14.25" customHeight="1" spans="4:7">
      <c r="D127" s="93"/>
      <c r="E127" s="94"/>
      <c r="F127" s="95"/>
      <c r="G127" s="96"/>
    </row>
    <row r="128" ht="14.25" customHeight="1" spans="4:7">
      <c r="D128" s="93"/>
      <c r="E128" s="94"/>
      <c r="F128" s="95"/>
      <c r="G128" s="96"/>
    </row>
    <row r="129" ht="14.25" customHeight="1" spans="4:7">
      <c r="D129" s="93"/>
      <c r="E129" s="94"/>
      <c r="F129" s="95"/>
      <c r="G129" s="96"/>
    </row>
    <row r="130" ht="14.25" customHeight="1" spans="4:7">
      <c r="D130" s="93"/>
      <c r="E130" s="94"/>
      <c r="F130" s="95"/>
      <c r="G130" s="96"/>
    </row>
    <row r="131" ht="14.25" customHeight="1" spans="4:7">
      <c r="D131" s="93"/>
      <c r="E131" s="94"/>
      <c r="F131" s="95"/>
      <c r="G131" s="96"/>
    </row>
    <row r="132" ht="14.25" customHeight="1" spans="4:7">
      <c r="D132" s="93"/>
      <c r="E132" s="94"/>
      <c r="F132" s="95"/>
      <c r="G132" s="96"/>
    </row>
    <row r="133" ht="14.25" customHeight="1" spans="4:7">
      <c r="D133" s="93"/>
      <c r="E133" s="94"/>
      <c r="F133" s="95"/>
      <c r="G133" s="96"/>
    </row>
    <row r="134" ht="14.25" customHeight="1" spans="4:7">
      <c r="D134" s="93"/>
      <c r="E134" s="94"/>
      <c r="F134" s="95"/>
      <c r="G134" s="96"/>
    </row>
    <row r="135" ht="14.25" customHeight="1" spans="4:7">
      <c r="D135" s="93"/>
      <c r="E135" s="94"/>
      <c r="F135" s="95"/>
      <c r="G135" s="96"/>
    </row>
    <row r="136" ht="14.25" customHeight="1" spans="4:7">
      <c r="D136" s="93"/>
      <c r="E136" s="94"/>
      <c r="F136" s="95"/>
      <c r="G136" s="96"/>
    </row>
    <row r="137" ht="14.25" customHeight="1" spans="4:7">
      <c r="D137" s="93"/>
      <c r="E137" s="94"/>
      <c r="F137" s="95"/>
      <c r="G137" s="96"/>
    </row>
    <row r="138" ht="14.25" customHeight="1" spans="4:7">
      <c r="D138" s="93"/>
      <c r="E138" s="94"/>
      <c r="F138" s="95"/>
      <c r="G138" s="96"/>
    </row>
    <row r="139" ht="14.25" customHeight="1" spans="4:7">
      <c r="D139" s="93"/>
      <c r="E139" s="94"/>
      <c r="F139" s="95"/>
      <c r="G139" s="96"/>
    </row>
    <row r="140" ht="14.25" customHeight="1" spans="4:7">
      <c r="D140" s="93"/>
      <c r="E140" s="94"/>
      <c r="F140" s="95"/>
      <c r="G140" s="96"/>
    </row>
    <row r="141" ht="14.25" customHeight="1" spans="4:7">
      <c r="D141" s="93"/>
      <c r="E141" s="94"/>
      <c r="F141" s="95"/>
      <c r="G141" s="96"/>
    </row>
    <row r="142" ht="14.25" customHeight="1" spans="4:7">
      <c r="D142" s="93"/>
      <c r="E142" s="94"/>
      <c r="F142" s="95"/>
      <c r="G142" s="96"/>
    </row>
    <row r="143" ht="14.25" customHeight="1" spans="4:7">
      <c r="D143" s="93"/>
      <c r="E143" s="94"/>
      <c r="F143" s="95"/>
      <c r="G143" s="96"/>
    </row>
    <row r="144" ht="14.25" customHeight="1" spans="4:7">
      <c r="D144" s="93"/>
      <c r="E144" s="94"/>
      <c r="F144" s="95"/>
      <c r="G144" s="96"/>
    </row>
    <row r="145" ht="14.25" customHeight="1" spans="4:7">
      <c r="D145" s="93"/>
      <c r="E145" s="94"/>
      <c r="F145" s="95"/>
      <c r="G145" s="96"/>
    </row>
    <row r="146" ht="14.25" customHeight="1" spans="4:7">
      <c r="D146" s="93"/>
      <c r="E146" s="94"/>
      <c r="F146" s="95"/>
      <c r="G146" s="96"/>
    </row>
    <row r="147" ht="14.25" customHeight="1" spans="4:7">
      <c r="D147" s="93"/>
      <c r="E147" s="94"/>
      <c r="F147" s="95"/>
      <c r="G147" s="96"/>
    </row>
    <row r="148" ht="14.25" customHeight="1" spans="4:7">
      <c r="D148" s="93"/>
      <c r="E148" s="94"/>
      <c r="F148" s="95"/>
      <c r="G148" s="96"/>
    </row>
    <row r="149" ht="14.25" customHeight="1" spans="4:7">
      <c r="D149" s="93"/>
      <c r="E149" s="94"/>
      <c r="F149" s="95"/>
      <c r="G149" s="96"/>
    </row>
    <row r="150" ht="14.25" customHeight="1" spans="4:7">
      <c r="D150" s="93"/>
      <c r="E150" s="94"/>
      <c r="F150" s="95"/>
      <c r="G150" s="96"/>
    </row>
    <row r="151" ht="14.25" customHeight="1" spans="4:7">
      <c r="D151" s="93"/>
      <c r="E151" s="94"/>
      <c r="F151" s="95"/>
      <c r="G151" s="96"/>
    </row>
    <row r="152" ht="14.25" customHeight="1" spans="4:7">
      <c r="D152" s="93"/>
      <c r="E152" s="94"/>
      <c r="F152" s="95"/>
      <c r="G152" s="96"/>
    </row>
    <row r="153" ht="14.25" customHeight="1" spans="4:7">
      <c r="D153" s="93"/>
      <c r="E153" s="94"/>
      <c r="F153" s="95"/>
      <c r="G153" s="96"/>
    </row>
    <row r="154" ht="14.25" customHeight="1" spans="4:7">
      <c r="D154" s="93"/>
      <c r="E154" s="94"/>
      <c r="F154" s="95"/>
      <c r="G154" s="96"/>
    </row>
    <row r="155" ht="14.25" customHeight="1" spans="4:7">
      <c r="D155" s="93"/>
      <c r="E155" s="94"/>
      <c r="F155" s="95"/>
      <c r="G155" s="96"/>
    </row>
    <row r="156" ht="14.25" customHeight="1" spans="4:7">
      <c r="D156" s="93"/>
      <c r="E156" s="94"/>
      <c r="F156" s="95"/>
      <c r="G156" s="96"/>
    </row>
    <row r="157" ht="14.25" customHeight="1" spans="4:7">
      <c r="D157" s="93"/>
      <c r="E157" s="94"/>
      <c r="F157" s="95"/>
      <c r="G157" s="96"/>
    </row>
    <row r="158" ht="14.25" customHeight="1" spans="4:7">
      <c r="D158" s="93"/>
      <c r="E158" s="94"/>
      <c r="F158" s="95"/>
      <c r="G158" s="96"/>
    </row>
    <row r="159" ht="14.25" customHeight="1" spans="4:7">
      <c r="D159" s="93"/>
      <c r="E159" s="94"/>
      <c r="F159" s="95"/>
      <c r="G159" s="96"/>
    </row>
    <row r="160" ht="14.25" customHeight="1" spans="4:7">
      <c r="D160" s="93"/>
      <c r="E160" s="94"/>
      <c r="F160" s="95"/>
      <c r="G160" s="96"/>
    </row>
    <row r="161" ht="14.25" customHeight="1" spans="4:7">
      <c r="D161" s="93"/>
      <c r="E161" s="94"/>
      <c r="F161" s="95"/>
      <c r="G161" s="96"/>
    </row>
    <row r="162" ht="14.25" customHeight="1" spans="4:7">
      <c r="D162" s="93"/>
      <c r="E162" s="94"/>
      <c r="F162" s="95"/>
      <c r="G162" s="96"/>
    </row>
    <row r="163" ht="14.25" customHeight="1" spans="4:7">
      <c r="D163" s="93"/>
      <c r="E163" s="94"/>
      <c r="F163" s="95"/>
      <c r="G163" s="96"/>
    </row>
    <row r="164" ht="14.25" customHeight="1" spans="4:7">
      <c r="D164" s="93"/>
      <c r="E164" s="94"/>
      <c r="F164" s="95"/>
      <c r="G164" s="96"/>
    </row>
    <row r="165" ht="14.25" customHeight="1" spans="4:7">
      <c r="D165" s="93"/>
      <c r="E165" s="94"/>
      <c r="F165" s="95"/>
      <c r="G165" s="96"/>
    </row>
    <row r="166" ht="14.25" customHeight="1" spans="4:7">
      <c r="D166" s="93"/>
      <c r="E166" s="94"/>
      <c r="F166" s="95"/>
      <c r="G166" s="96"/>
    </row>
    <row r="167" ht="14.25" customHeight="1" spans="4:7">
      <c r="D167" s="93"/>
      <c r="E167" s="94"/>
      <c r="F167" s="95"/>
      <c r="G167" s="96"/>
    </row>
    <row r="168" ht="14.25" customHeight="1" spans="4:7">
      <c r="D168" s="93"/>
      <c r="E168" s="94"/>
      <c r="F168" s="95"/>
      <c r="G168" s="96"/>
    </row>
    <row r="169" ht="14.25" customHeight="1" spans="4:7">
      <c r="D169" s="93"/>
      <c r="E169" s="94"/>
      <c r="F169" s="95"/>
      <c r="G169" s="96"/>
    </row>
    <row r="170" ht="14.25" customHeight="1" spans="4:7">
      <c r="D170" s="93"/>
      <c r="E170" s="94"/>
      <c r="F170" s="95"/>
      <c r="G170" s="96"/>
    </row>
    <row r="171" ht="14.25" customHeight="1" spans="4:7">
      <c r="D171" s="93"/>
      <c r="E171" s="94"/>
      <c r="F171" s="95"/>
      <c r="G171" s="96"/>
    </row>
    <row r="172" ht="14.25" customHeight="1" spans="4:7">
      <c r="D172" s="93"/>
      <c r="E172" s="94"/>
      <c r="F172" s="95"/>
      <c r="G172" s="96"/>
    </row>
    <row r="173" ht="14.25" customHeight="1" spans="4:7">
      <c r="D173" s="93"/>
      <c r="E173" s="94"/>
      <c r="F173" s="95"/>
      <c r="G173" s="96"/>
    </row>
    <row r="174" ht="14.25" customHeight="1" spans="4:7">
      <c r="D174" s="93"/>
      <c r="E174" s="94"/>
      <c r="F174" s="95"/>
      <c r="G174" s="96"/>
    </row>
    <row r="175" ht="14.25" customHeight="1" spans="4:7">
      <c r="D175" s="93"/>
      <c r="E175" s="94"/>
      <c r="F175" s="95"/>
      <c r="G175" s="96"/>
    </row>
    <row r="176" ht="14.25" customHeight="1" spans="4:7">
      <c r="D176" s="93"/>
      <c r="E176" s="94"/>
      <c r="F176" s="95"/>
      <c r="G176" s="96"/>
    </row>
    <row r="177" ht="14.25" customHeight="1" spans="4:7">
      <c r="D177" s="93"/>
      <c r="E177" s="94"/>
      <c r="F177" s="95"/>
      <c r="G177" s="96"/>
    </row>
    <row r="178" ht="14.25" customHeight="1" spans="4:7">
      <c r="D178" s="93"/>
      <c r="E178" s="94"/>
      <c r="F178" s="95"/>
      <c r="G178" s="96"/>
    </row>
    <row r="179" ht="14.25" customHeight="1" spans="4:7">
      <c r="D179" s="93"/>
      <c r="E179" s="94"/>
      <c r="F179" s="95"/>
      <c r="G179" s="96"/>
    </row>
    <row r="180" ht="14.25" customHeight="1" spans="4:7">
      <c r="D180" s="93"/>
      <c r="E180" s="94"/>
      <c r="F180" s="95"/>
      <c r="G180" s="96"/>
    </row>
    <row r="181" ht="14.25" customHeight="1" spans="4:7">
      <c r="D181" s="93"/>
      <c r="E181" s="94"/>
      <c r="F181" s="95"/>
      <c r="G181" s="96"/>
    </row>
    <row r="182" ht="14.25" customHeight="1" spans="4:7">
      <c r="D182" s="93"/>
      <c r="E182" s="94"/>
      <c r="F182" s="95"/>
      <c r="G182" s="96"/>
    </row>
    <row r="183" ht="14.25" customHeight="1" spans="4:7">
      <c r="D183" s="93"/>
      <c r="E183" s="94"/>
      <c r="F183" s="95"/>
      <c r="G183" s="96"/>
    </row>
    <row r="184" ht="14.25" customHeight="1" spans="4:7">
      <c r="D184" s="93"/>
      <c r="E184" s="94"/>
      <c r="F184" s="95"/>
      <c r="G184" s="96"/>
    </row>
    <row r="185" ht="14.25" customHeight="1" spans="4:7">
      <c r="D185" s="93"/>
      <c r="E185" s="94"/>
      <c r="F185" s="95"/>
      <c r="G185" s="96"/>
    </row>
    <row r="186" ht="14.25" customHeight="1" spans="4:7">
      <c r="D186" s="93"/>
      <c r="E186" s="94"/>
      <c r="F186" s="95"/>
      <c r="G186" s="96"/>
    </row>
    <row r="187" ht="14.25" customHeight="1" spans="4:7">
      <c r="D187" s="93"/>
      <c r="E187" s="94"/>
      <c r="F187" s="95"/>
      <c r="G187" s="96"/>
    </row>
    <row r="188" ht="14.25" customHeight="1" spans="4:7">
      <c r="D188" s="93"/>
      <c r="E188" s="94"/>
      <c r="F188" s="95"/>
      <c r="G188" s="96"/>
    </row>
    <row r="189" ht="14.25" customHeight="1" spans="4:7">
      <c r="D189" s="93"/>
      <c r="E189" s="94"/>
      <c r="F189" s="95"/>
      <c r="G189" s="96"/>
    </row>
    <row r="190" ht="14.25" customHeight="1" spans="4:7">
      <c r="D190" s="93"/>
      <c r="E190" s="94"/>
      <c r="F190" s="95"/>
      <c r="G190" s="96"/>
    </row>
    <row r="191" ht="14.25" customHeight="1" spans="4:7">
      <c r="D191" s="93"/>
      <c r="E191" s="94"/>
      <c r="F191" s="95"/>
      <c r="G191" s="96"/>
    </row>
    <row r="192" ht="14.25" customHeight="1" spans="4:7">
      <c r="D192" s="93"/>
      <c r="E192" s="94"/>
      <c r="F192" s="95"/>
      <c r="G192" s="96"/>
    </row>
    <row r="193" ht="14.25" customHeight="1" spans="4:7">
      <c r="D193" s="93"/>
      <c r="E193" s="94"/>
      <c r="F193" s="95"/>
      <c r="G193" s="96"/>
    </row>
    <row r="194" ht="14.25" customHeight="1" spans="4:7">
      <c r="D194" s="93"/>
      <c r="E194" s="94"/>
      <c r="F194" s="95"/>
      <c r="G194" s="96"/>
    </row>
    <row r="195" ht="14.25" customHeight="1" spans="4:7">
      <c r="D195" s="93"/>
      <c r="E195" s="94"/>
      <c r="F195" s="95"/>
      <c r="G195" s="96"/>
    </row>
    <row r="196" ht="14.25" customHeight="1" spans="4:7">
      <c r="D196" s="93"/>
      <c r="E196" s="94"/>
      <c r="F196" s="95"/>
      <c r="G196" s="96"/>
    </row>
    <row r="197" ht="14.25" customHeight="1" spans="4:7">
      <c r="D197" s="93"/>
      <c r="E197" s="94"/>
      <c r="F197" s="95"/>
      <c r="G197" s="96"/>
    </row>
    <row r="198" ht="14.25" customHeight="1" spans="4:7">
      <c r="D198" s="93"/>
      <c r="E198" s="94"/>
      <c r="F198" s="95"/>
      <c r="G198" s="96"/>
    </row>
    <row r="199" ht="14.25" customHeight="1" spans="4:7">
      <c r="D199" s="93"/>
      <c r="E199" s="94"/>
      <c r="F199" s="95"/>
      <c r="G199" s="96"/>
    </row>
    <row r="200" ht="14.25" customHeight="1" spans="4:7">
      <c r="D200" s="93"/>
      <c r="E200" s="94"/>
      <c r="F200" s="95"/>
      <c r="G200" s="96"/>
    </row>
    <row r="201" ht="14.25" customHeight="1" spans="4:7">
      <c r="D201" s="93"/>
      <c r="E201" s="94"/>
      <c r="F201" s="95"/>
      <c r="G201" s="96"/>
    </row>
    <row r="202" ht="14.25" customHeight="1" spans="4:7">
      <c r="D202" s="93"/>
      <c r="E202" s="94"/>
      <c r="F202" s="95"/>
      <c r="G202" s="96"/>
    </row>
    <row r="203" ht="14.25" customHeight="1" spans="4:7">
      <c r="D203" s="93"/>
      <c r="E203" s="94"/>
      <c r="F203" s="95"/>
      <c r="G203" s="96"/>
    </row>
    <row r="204" ht="14.25" customHeight="1" spans="4:7">
      <c r="D204" s="93"/>
      <c r="E204" s="94"/>
      <c r="F204" s="95"/>
      <c r="G204" s="96"/>
    </row>
    <row r="205" ht="14.25" customHeight="1" spans="4:7">
      <c r="D205" s="93"/>
      <c r="E205" s="94"/>
      <c r="F205" s="95"/>
      <c r="G205" s="96"/>
    </row>
    <row r="206" ht="14.25" customHeight="1" spans="4:7">
      <c r="D206" s="93"/>
      <c r="E206" s="94"/>
      <c r="F206" s="95"/>
      <c r="G206" s="96"/>
    </row>
    <row r="207" ht="14.25" customHeight="1" spans="4:7">
      <c r="D207" s="93"/>
      <c r="E207" s="94"/>
      <c r="F207" s="95"/>
      <c r="G207" s="96"/>
    </row>
    <row r="208" ht="14.25" customHeight="1" spans="4:7">
      <c r="D208" s="93"/>
      <c r="E208" s="94"/>
      <c r="F208" s="95"/>
      <c r="G208" s="96"/>
    </row>
    <row r="209" ht="14.25" customHeight="1" spans="4:7">
      <c r="D209" s="93"/>
      <c r="E209" s="94"/>
      <c r="F209" s="95"/>
      <c r="G209" s="96"/>
    </row>
    <row r="210" ht="14.25" customHeight="1" spans="4:7">
      <c r="D210" s="93"/>
      <c r="E210" s="94"/>
      <c r="F210" s="95"/>
      <c r="G210" s="96"/>
    </row>
    <row r="211" ht="14.25" customHeight="1" spans="4:7">
      <c r="D211" s="93"/>
      <c r="E211" s="94"/>
      <c r="F211" s="95"/>
      <c r="G211" s="96"/>
    </row>
    <row r="212" ht="14.25" customHeight="1" spans="4:7">
      <c r="D212" s="93"/>
      <c r="E212" s="94"/>
      <c r="F212" s="95"/>
      <c r="G212" s="96"/>
    </row>
    <row r="213" ht="14.25" customHeight="1" spans="4:7">
      <c r="D213" s="93"/>
      <c r="E213" s="94"/>
      <c r="F213" s="95"/>
      <c r="G213" s="96"/>
    </row>
    <row r="214" ht="14.25" customHeight="1" spans="4:7">
      <c r="D214" s="93"/>
      <c r="E214" s="94"/>
      <c r="F214" s="95"/>
      <c r="G214" s="96"/>
    </row>
    <row r="215" ht="14.25" customHeight="1" spans="4:7">
      <c r="D215" s="93"/>
      <c r="E215" s="94"/>
      <c r="F215" s="95"/>
      <c r="G215" s="96"/>
    </row>
    <row r="216" ht="14.25" customHeight="1" spans="4:7">
      <c r="D216" s="93"/>
      <c r="E216" s="94"/>
      <c r="F216" s="95"/>
      <c r="G216" s="96"/>
    </row>
    <row r="217" ht="14.25" customHeight="1" spans="4:7">
      <c r="D217" s="93"/>
      <c r="E217" s="94"/>
      <c r="F217" s="95"/>
      <c r="G217" s="96"/>
    </row>
    <row r="218" ht="14.25" customHeight="1" spans="4:7">
      <c r="D218" s="93"/>
      <c r="E218" s="94"/>
      <c r="F218" s="95"/>
      <c r="G218" s="96"/>
    </row>
    <row r="219" ht="14.25" customHeight="1" spans="4:7">
      <c r="D219" s="93"/>
      <c r="E219" s="94"/>
      <c r="F219" s="95"/>
      <c r="G219" s="96"/>
    </row>
    <row r="220" ht="14.25" customHeight="1" spans="4:7">
      <c r="D220" s="93"/>
      <c r="E220" s="94"/>
      <c r="F220" s="95"/>
      <c r="G220" s="96"/>
    </row>
    <row r="221" ht="14.25" customHeight="1" spans="4:7">
      <c r="D221" s="93"/>
      <c r="E221" s="94"/>
      <c r="F221" s="95"/>
      <c r="G221" s="96"/>
    </row>
    <row r="222" ht="14.25" customHeight="1" spans="4:7">
      <c r="D222" s="93"/>
      <c r="E222" s="94"/>
      <c r="F222" s="95"/>
      <c r="G222" s="96"/>
    </row>
    <row r="223" ht="14.25" customHeight="1" spans="4:7">
      <c r="D223" s="93"/>
      <c r="E223" s="94"/>
      <c r="F223" s="95"/>
      <c r="G223" s="96"/>
    </row>
    <row r="224" ht="14.25" customHeight="1" spans="4:7">
      <c r="D224" s="93"/>
      <c r="E224" s="94"/>
      <c r="F224" s="95"/>
      <c r="G224" s="96"/>
    </row>
    <row r="225" ht="14.25" customHeight="1" spans="4:7">
      <c r="D225" s="93"/>
      <c r="E225" s="94"/>
      <c r="F225" s="95"/>
      <c r="G225" s="96"/>
    </row>
    <row r="226" ht="14.25" customHeight="1" spans="4:7">
      <c r="D226" s="93"/>
      <c r="E226" s="94"/>
      <c r="F226" s="95"/>
      <c r="G226" s="96"/>
    </row>
    <row r="227" ht="14.25" customHeight="1" spans="4:7">
      <c r="D227" s="93"/>
      <c r="E227" s="94"/>
      <c r="F227" s="95"/>
      <c r="G227" s="96"/>
    </row>
    <row r="228" ht="14.25" customHeight="1" spans="4:7">
      <c r="D228" s="93"/>
      <c r="E228" s="94"/>
      <c r="F228" s="95"/>
      <c r="G228" s="96"/>
    </row>
    <row r="229" ht="14.25" customHeight="1" spans="4:7">
      <c r="D229" s="93"/>
      <c r="E229" s="94"/>
      <c r="F229" s="95"/>
      <c r="G229" s="96"/>
    </row>
    <row r="230" ht="14.25" customHeight="1" spans="4:7">
      <c r="D230" s="93"/>
      <c r="E230" s="94"/>
      <c r="F230" s="95"/>
      <c r="G230" s="96"/>
    </row>
    <row r="231" ht="14.25" customHeight="1" spans="4:7">
      <c r="D231" s="93"/>
      <c r="E231" s="94"/>
      <c r="F231" s="95"/>
      <c r="G231" s="96"/>
    </row>
    <row r="232" ht="14.25" customHeight="1" spans="4:7">
      <c r="D232" s="93"/>
      <c r="E232" s="94"/>
      <c r="F232" s="95"/>
      <c r="G232" s="96"/>
    </row>
    <row r="233" ht="14.25" customHeight="1" spans="4:7">
      <c r="D233" s="93"/>
      <c r="E233" s="94"/>
      <c r="F233" s="95"/>
      <c r="G233" s="96"/>
    </row>
    <row r="234" ht="14.25" customHeight="1" spans="4:7">
      <c r="D234" s="93"/>
      <c r="E234" s="94"/>
      <c r="F234" s="95"/>
      <c r="G234" s="96"/>
    </row>
    <row r="235" ht="14.25" customHeight="1" spans="4:7">
      <c r="D235" s="93"/>
      <c r="E235" s="94"/>
      <c r="F235" s="95"/>
      <c r="G235" s="96"/>
    </row>
    <row r="236" ht="14.25" customHeight="1" spans="4:7">
      <c r="D236" s="93"/>
      <c r="E236" s="94"/>
      <c r="F236" s="95"/>
      <c r="G236" s="96"/>
    </row>
    <row r="237" ht="14.25" customHeight="1" spans="4:7">
      <c r="D237" s="93"/>
      <c r="E237" s="94"/>
      <c r="F237" s="95"/>
      <c r="G237" s="96"/>
    </row>
    <row r="238" ht="14.25" customHeight="1" spans="4:7">
      <c r="D238" s="93"/>
      <c r="E238" s="94"/>
      <c r="F238" s="95"/>
      <c r="G238" s="96"/>
    </row>
    <row r="239" ht="14.25" customHeight="1" spans="4:7">
      <c r="D239" s="93"/>
      <c r="E239" s="94"/>
      <c r="F239" s="95"/>
      <c r="G239" s="96"/>
    </row>
    <row r="240" ht="14.25" customHeight="1" spans="4:7">
      <c r="D240" s="93"/>
      <c r="E240" s="94"/>
      <c r="F240" s="95"/>
      <c r="G240" s="96"/>
    </row>
    <row r="241" ht="14.25" customHeight="1" spans="4:7">
      <c r="D241" s="93"/>
      <c r="E241" s="94"/>
      <c r="F241" s="95"/>
      <c r="G241" s="96"/>
    </row>
    <row r="242" ht="14.25" customHeight="1" spans="4:7">
      <c r="D242" s="93"/>
      <c r="E242" s="94"/>
      <c r="F242" s="95"/>
      <c r="G242" s="96"/>
    </row>
    <row r="243" ht="14.25" customHeight="1" spans="4:7">
      <c r="D243" s="93"/>
      <c r="E243" s="94"/>
      <c r="F243" s="95"/>
      <c r="G243" s="96"/>
    </row>
    <row r="244" ht="14.25" customHeight="1" spans="4:7">
      <c r="D244" s="93"/>
      <c r="E244" s="94"/>
      <c r="F244" s="95"/>
      <c r="G244" s="96"/>
    </row>
    <row r="245" ht="14.25" customHeight="1" spans="4:7">
      <c r="D245" s="93"/>
      <c r="E245" s="94"/>
      <c r="F245" s="95"/>
      <c r="G245" s="96"/>
    </row>
    <row r="246" ht="14.25" customHeight="1" spans="4:7">
      <c r="D246" s="93"/>
      <c r="E246" s="94"/>
      <c r="F246" s="95"/>
      <c r="G246" s="96"/>
    </row>
    <row r="247" ht="14.25" customHeight="1" spans="4:7">
      <c r="D247" s="93"/>
      <c r="E247" s="94"/>
      <c r="F247" s="95"/>
      <c r="G247" s="96"/>
    </row>
    <row r="248" ht="14.25" customHeight="1" spans="4:7">
      <c r="D248" s="93"/>
      <c r="E248" s="94"/>
      <c r="F248" s="95"/>
      <c r="G248" s="96"/>
    </row>
    <row r="249" ht="14.25" customHeight="1" spans="4:7">
      <c r="D249" s="93"/>
      <c r="E249" s="94"/>
      <c r="F249" s="95"/>
      <c r="G249" s="96"/>
    </row>
    <row r="250" ht="14.25" customHeight="1" spans="4:7">
      <c r="D250" s="93"/>
      <c r="E250" s="94"/>
      <c r="F250" s="95"/>
      <c r="G250" s="96"/>
    </row>
    <row r="251" ht="14.25" customHeight="1" spans="4:7">
      <c r="D251" s="93"/>
      <c r="E251" s="94"/>
      <c r="F251" s="95"/>
      <c r="G251" s="96"/>
    </row>
    <row r="252" ht="14.25" customHeight="1" spans="4:7">
      <c r="D252" s="93"/>
      <c r="E252" s="94"/>
      <c r="F252" s="95"/>
      <c r="G252" s="96"/>
    </row>
    <row r="253" ht="14.25" customHeight="1" spans="4:7">
      <c r="D253" s="93"/>
      <c r="E253" s="94"/>
      <c r="F253" s="95"/>
      <c r="G253" s="96"/>
    </row>
    <row r="254" ht="14.25" customHeight="1" spans="4:7">
      <c r="D254" s="93"/>
      <c r="E254" s="94"/>
      <c r="F254" s="95"/>
      <c r="G254" s="96"/>
    </row>
    <row r="255" ht="14.25" customHeight="1" spans="4:7">
      <c r="D255" s="93"/>
      <c r="E255" s="94"/>
      <c r="F255" s="95"/>
      <c r="G255" s="96"/>
    </row>
    <row r="256" ht="14.25" customHeight="1" spans="4:7">
      <c r="D256" s="93"/>
      <c r="E256" s="94"/>
      <c r="F256" s="95"/>
      <c r="G256" s="96"/>
    </row>
    <row r="257" ht="14.25" customHeight="1" spans="4:7">
      <c r="D257" s="93"/>
      <c r="E257" s="94"/>
      <c r="F257" s="95"/>
      <c r="G257" s="96"/>
    </row>
    <row r="258" ht="14.25" customHeight="1" spans="4:7">
      <c r="D258" s="93"/>
      <c r="E258" s="94"/>
      <c r="F258" s="95"/>
      <c r="G258" s="96"/>
    </row>
    <row r="259" ht="14.25" customHeight="1" spans="4:7">
      <c r="D259" s="93"/>
      <c r="E259" s="94"/>
      <c r="F259" s="95"/>
      <c r="G259" s="96"/>
    </row>
    <row r="260" ht="14.25" customHeight="1" spans="4:7">
      <c r="D260" s="93"/>
      <c r="E260" s="94"/>
      <c r="F260" s="95"/>
      <c r="G260" s="96"/>
    </row>
    <row r="261" ht="14.25" customHeight="1" spans="4:7">
      <c r="D261" s="93"/>
      <c r="E261" s="94"/>
      <c r="F261" s="95"/>
      <c r="G261" s="96"/>
    </row>
    <row r="262" ht="14.25" customHeight="1" spans="4:7">
      <c r="D262" s="93"/>
      <c r="E262" s="94"/>
      <c r="F262" s="95"/>
      <c r="G262" s="96"/>
    </row>
    <row r="263" ht="14.25" customHeight="1" spans="4:7">
      <c r="D263" s="93"/>
      <c r="E263" s="94"/>
      <c r="F263" s="95"/>
      <c r="G263" s="96"/>
    </row>
    <row r="264" ht="14.25" customHeight="1" spans="4:7">
      <c r="D264" s="93"/>
      <c r="E264" s="94"/>
      <c r="F264" s="95"/>
      <c r="G264" s="96"/>
    </row>
    <row r="265" ht="14.25" customHeight="1" spans="4:7">
      <c r="D265" s="93"/>
      <c r="E265" s="94"/>
      <c r="F265" s="95"/>
      <c r="G265" s="96"/>
    </row>
    <row r="266" ht="14.25" customHeight="1" spans="4:7">
      <c r="D266" s="93"/>
      <c r="E266" s="94"/>
      <c r="F266" s="95"/>
      <c r="G266" s="96"/>
    </row>
    <row r="267" ht="14.25" customHeight="1" spans="4:7">
      <c r="D267" s="93"/>
      <c r="E267" s="94"/>
      <c r="F267" s="95"/>
      <c r="G267" s="96"/>
    </row>
    <row r="268" ht="14.25" customHeight="1" spans="4:7">
      <c r="D268" s="93"/>
      <c r="E268" s="94"/>
      <c r="F268" s="95"/>
      <c r="G268" s="96"/>
    </row>
    <row r="269" ht="14.25" customHeight="1" spans="4:7">
      <c r="D269" s="93"/>
      <c r="E269" s="94"/>
      <c r="F269" s="95"/>
      <c r="G269" s="96"/>
    </row>
    <row r="270" ht="14.25" customHeight="1" spans="4:7">
      <c r="D270" s="93"/>
      <c r="E270" s="94"/>
      <c r="F270" s="95"/>
      <c r="G270" s="96"/>
    </row>
    <row r="271" ht="14.25" customHeight="1" spans="4:7">
      <c r="D271" s="93"/>
      <c r="E271" s="94"/>
      <c r="F271" s="95"/>
      <c r="G271" s="96"/>
    </row>
    <row r="272" ht="14.25" customHeight="1" spans="4:7">
      <c r="D272" s="93"/>
      <c r="E272" s="94"/>
      <c r="F272" s="95"/>
      <c r="G272" s="96"/>
    </row>
    <row r="273" ht="14.25" customHeight="1" spans="4:7">
      <c r="D273" s="93"/>
      <c r="E273" s="94"/>
      <c r="F273" s="95"/>
      <c r="G273" s="96"/>
    </row>
    <row r="274" ht="14.25" customHeight="1" spans="4:7">
      <c r="D274" s="93"/>
      <c r="E274" s="94"/>
      <c r="F274" s="95"/>
      <c r="G274" s="96"/>
    </row>
    <row r="275" ht="14.25" customHeight="1" spans="4:7">
      <c r="D275" s="93"/>
      <c r="E275" s="94"/>
      <c r="F275" s="95"/>
      <c r="G275" s="96"/>
    </row>
    <row r="276" ht="14.25" customHeight="1" spans="4:7">
      <c r="D276" s="93"/>
      <c r="E276" s="94"/>
      <c r="F276" s="95"/>
      <c r="G276" s="96"/>
    </row>
    <row r="277" ht="14.25" customHeight="1" spans="4:7">
      <c r="D277" s="93"/>
      <c r="E277" s="94"/>
      <c r="F277" s="95"/>
      <c r="G277" s="96"/>
    </row>
    <row r="278" ht="14.25" customHeight="1" spans="4:7">
      <c r="D278" s="93"/>
      <c r="E278" s="94"/>
      <c r="F278" s="95"/>
      <c r="G278" s="96"/>
    </row>
    <row r="279" ht="14.25" customHeight="1" spans="4:7">
      <c r="D279" s="93"/>
      <c r="E279" s="94"/>
      <c r="F279" s="95"/>
      <c r="G279" s="96"/>
    </row>
    <row r="280" ht="14.25" customHeight="1" spans="4:7">
      <c r="D280" s="93"/>
      <c r="E280" s="94"/>
      <c r="F280" s="95"/>
      <c r="G280" s="96"/>
    </row>
    <row r="281" ht="14.25" customHeight="1" spans="4:7">
      <c r="D281" s="93"/>
      <c r="E281" s="94"/>
      <c r="F281" s="95"/>
      <c r="G281" s="96"/>
    </row>
    <row r="282" ht="14.25" customHeight="1" spans="4:7">
      <c r="D282" s="93"/>
      <c r="E282" s="94"/>
      <c r="F282" s="95"/>
      <c r="G282" s="96"/>
    </row>
    <row r="283" ht="14.25" customHeight="1" spans="4:7">
      <c r="D283" s="93"/>
      <c r="E283" s="94"/>
      <c r="F283" s="95"/>
      <c r="G283" s="96"/>
    </row>
    <row r="284" ht="14.25" customHeight="1" spans="4:7">
      <c r="D284" s="93"/>
      <c r="E284" s="94"/>
      <c r="F284" s="95"/>
      <c r="G284" s="96"/>
    </row>
    <row r="285" ht="14.25" customHeight="1" spans="4:7">
      <c r="D285" s="93"/>
      <c r="E285" s="94"/>
      <c r="F285" s="95"/>
      <c r="G285" s="96"/>
    </row>
    <row r="286" ht="14.25" customHeight="1" spans="4:7">
      <c r="D286" s="93"/>
      <c r="E286" s="94"/>
      <c r="F286" s="95"/>
      <c r="G286" s="96"/>
    </row>
    <row r="287" ht="14.25" customHeight="1" spans="4:7">
      <c r="D287" s="93"/>
      <c r="E287" s="94"/>
      <c r="F287" s="95"/>
      <c r="G287" s="96"/>
    </row>
    <row r="288" ht="14.25" customHeight="1" spans="4:7">
      <c r="D288" s="93"/>
      <c r="E288" s="94"/>
      <c r="F288" s="95"/>
      <c r="G288" s="96"/>
    </row>
    <row r="289" ht="14.25" customHeight="1" spans="4:7">
      <c r="D289" s="93"/>
      <c r="E289" s="94"/>
      <c r="F289" s="95"/>
      <c r="G289" s="96"/>
    </row>
    <row r="290" ht="14.25" customHeight="1" spans="4:7">
      <c r="D290" s="93"/>
      <c r="E290" s="94"/>
      <c r="F290" s="95"/>
      <c r="G290" s="96"/>
    </row>
    <row r="291" ht="14.25" customHeight="1" spans="4:7">
      <c r="D291" s="93"/>
      <c r="E291" s="94"/>
      <c r="F291" s="95"/>
      <c r="G291" s="96"/>
    </row>
    <row r="292" ht="14.25" customHeight="1" spans="4:7">
      <c r="D292" s="93"/>
      <c r="E292" s="94"/>
      <c r="F292" s="95"/>
      <c r="G292" s="96"/>
    </row>
    <row r="293" ht="14.25" customHeight="1" spans="4:7">
      <c r="D293" s="93"/>
      <c r="E293" s="94"/>
      <c r="F293" s="95"/>
      <c r="G293" s="96"/>
    </row>
    <row r="294" ht="14.25" customHeight="1" spans="4:7">
      <c r="D294" s="93"/>
      <c r="E294" s="94"/>
      <c r="F294" s="95"/>
      <c r="G294" s="96"/>
    </row>
    <row r="295" ht="14.25" customHeight="1" spans="4:7">
      <c r="D295" s="93"/>
      <c r="E295" s="94"/>
      <c r="F295" s="95"/>
      <c r="G295" s="96"/>
    </row>
    <row r="296" ht="14.25" customHeight="1" spans="4:7">
      <c r="D296" s="93"/>
      <c r="E296" s="94"/>
      <c r="F296" s="95"/>
      <c r="G296" s="96"/>
    </row>
    <row r="297" ht="14.25" customHeight="1" spans="4:7">
      <c r="D297" s="93"/>
      <c r="E297" s="94"/>
      <c r="F297" s="95"/>
      <c r="G297" s="96"/>
    </row>
    <row r="298" ht="14.25" customHeight="1" spans="4:7">
      <c r="D298" s="93"/>
      <c r="E298" s="94"/>
      <c r="F298" s="95"/>
      <c r="G298" s="96"/>
    </row>
    <row r="299" ht="14.25" customHeight="1" spans="4:7">
      <c r="D299" s="93"/>
      <c r="E299" s="94"/>
      <c r="F299" s="95"/>
      <c r="G299" s="96"/>
    </row>
    <row r="300" ht="14.25" customHeight="1" spans="4:7">
      <c r="D300" s="93"/>
      <c r="E300" s="94"/>
      <c r="F300" s="95"/>
      <c r="G300" s="96"/>
    </row>
    <row r="301" ht="14.25" customHeight="1" spans="4:7">
      <c r="D301" s="93"/>
      <c r="E301" s="94"/>
      <c r="F301" s="95"/>
      <c r="G301" s="96"/>
    </row>
    <row r="302" ht="14.25" customHeight="1" spans="4:7">
      <c r="D302" s="93"/>
      <c r="E302" s="94"/>
      <c r="F302" s="95"/>
      <c r="G302" s="96"/>
    </row>
    <row r="303" ht="14.25" customHeight="1" spans="4:7">
      <c r="D303" s="93"/>
      <c r="E303" s="94"/>
      <c r="F303" s="95"/>
      <c r="G303" s="96"/>
    </row>
    <row r="304" ht="14.25" customHeight="1" spans="4:7">
      <c r="D304" s="93"/>
      <c r="E304" s="94"/>
      <c r="F304" s="95"/>
      <c r="G304" s="96"/>
    </row>
    <row r="305" ht="14.25" customHeight="1" spans="4:7">
      <c r="D305" s="93"/>
      <c r="E305" s="94"/>
      <c r="F305" s="95"/>
      <c r="G305" s="96"/>
    </row>
    <row r="306" ht="14.25" customHeight="1" spans="4:7">
      <c r="D306" s="93"/>
      <c r="E306" s="94"/>
      <c r="F306" s="95"/>
      <c r="G306" s="96"/>
    </row>
    <row r="307" ht="14.25" customHeight="1" spans="4:7">
      <c r="D307" s="93"/>
      <c r="E307" s="94"/>
      <c r="F307" s="95"/>
      <c r="G307" s="96"/>
    </row>
    <row r="308" ht="14.25" customHeight="1" spans="4:7">
      <c r="D308" s="93"/>
      <c r="E308" s="94"/>
      <c r="F308" s="95"/>
      <c r="G308" s="96"/>
    </row>
    <row r="309" ht="14.25" customHeight="1" spans="4:7">
      <c r="D309" s="93"/>
      <c r="E309" s="94"/>
      <c r="F309" s="95"/>
      <c r="G309" s="96"/>
    </row>
    <row r="310" ht="14.25" customHeight="1" spans="4:7">
      <c r="D310" s="93"/>
      <c r="E310" s="94"/>
      <c r="F310" s="95"/>
      <c r="G310" s="96"/>
    </row>
    <row r="311" ht="14.25" customHeight="1" spans="4:7">
      <c r="D311" s="93"/>
      <c r="E311" s="94"/>
      <c r="F311" s="95"/>
      <c r="G311" s="96"/>
    </row>
    <row r="312" ht="14.25" customHeight="1" spans="4:7">
      <c r="D312" s="93"/>
      <c r="E312" s="94"/>
      <c r="F312" s="95"/>
      <c r="G312" s="96"/>
    </row>
    <row r="313" ht="14.25" customHeight="1" spans="4:7">
      <c r="D313" s="93"/>
      <c r="E313" s="94"/>
      <c r="F313" s="95"/>
      <c r="G313" s="96"/>
    </row>
    <row r="314" ht="14.25" customHeight="1" spans="4:7">
      <c r="D314" s="93"/>
      <c r="E314" s="94"/>
      <c r="F314" s="95"/>
      <c r="G314" s="96"/>
    </row>
    <row r="315" ht="14.25" customHeight="1" spans="4:7">
      <c r="D315" s="93"/>
      <c r="E315" s="94"/>
      <c r="F315" s="95"/>
      <c r="G315" s="96"/>
    </row>
    <row r="316" ht="14.25" customHeight="1" spans="4:7">
      <c r="D316" s="93"/>
      <c r="E316" s="94"/>
      <c r="F316" s="95"/>
      <c r="G316" s="96"/>
    </row>
    <row r="317" ht="14.25" customHeight="1" spans="4:7">
      <c r="D317" s="93"/>
      <c r="E317" s="94"/>
      <c r="F317" s="95"/>
      <c r="G317" s="96"/>
    </row>
    <row r="318" ht="14.25" customHeight="1" spans="4:7">
      <c r="D318" s="93"/>
      <c r="E318" s="94"/>
      <c r="F318" s="95"/>
      <c r="G318" s="96"/>
    </row>
    <row r="319" ht="14.25" customHeight="1" spans="4:7">
      <c r="D319" s="93"/>
      <c r="E319" s="94"/>
      <c r="F319" s="95"/>
      <c r="G319" s="96"/>
    </row>
    <row r="320" ht="14.25" customHeight="1" spans="4:7">
      <c r="D320" s="93"/>
      <c r="E320" s="94"/>
      <c r="F320" s="95"/>
      <c r="G320" s="96"/>
    </row>
    <row r="321" ht="14.25" customHeight="1" spans="4:7">
      <c r="D321" s="93"/>
      <c r="E321" s="94"/>
      <c r="F321" s="95"/>
      <c r="G321" s="96"/>
    </row>
    <row r="322" ht="14.25" customHeight="1" spans="4:7">
      <c r="D322" s="93"/>
      <c r="E322" s="94"/>
      <c r="F322" s="95"/>
      <c r="G322" s="96"/>
    </row>
    <row r="323" ht="14.25" customHeight="1" spans="4:7">
      <c r="D323" s="93"/>
      <c r="E323" s="94"/>
      <c r="F323" s="95"/>
      <c r="G323" s="96"/>
    </row>
    <row r="324" ht="14.25" customHeight="1" spans="4:7">
      <c r="D324" s="93"/>
      <c r="E324" s="94"/>
      <c r="F324" s="95"/>
      <c r="G324" s="96"/>
    </row>
    <row r="325" ht="14.25" customHeight="1" spans="4:7">
      <c r="D325" s="93"/>
      <c r="E325" s="94"/>
      <c r="F325" s="95"/>
      <c r="G325" s="96"/>
    </row>
    <row r="326" ht="14.25" customHeight="1" spans="4:7">
      <c r="D326" s="93"/>
      <c r="E326" s="94"/>
      <c r="F326" s="95"/>
      <c r="G326" s="96"/>
    </row>
    <row r="327" ht="14.25" customHeight="1" spans="4:7">
      <c r="D327" s="93"/>
      <c r="E327" s="94"/>
      <c r="F327" s="95"/>
      <c r="G327" s="96"/>
    </row>
    <row r="328" ht="14.25" customHeight="1" spans="4:7">
      <c r="D328" s="93"/>
      <c r="E328" s="94"/>
      <c r="F328" s="95"/>
      <c r="G328" s="96"/>
    </row>
    <row r="329" ht="14.25" customHeight="1" spans="4:7">
      <c r="D329" s="93"/>
      <c r="E329" s="94"/>
      <c r="F329" s="95"/>
      <c r="G329" s="96"/>
    </row>
    <row r="330" ht="14.25" customHeight="1" spans="4:7">
      <c r="D330" s="93"/>
      <c r="E330" s="94"/>
      <c r="F330" s="95"/>
      <c r="G330" s="96"/>
    </row>
    <row r="331" ht="14.25" customHeight="1" spans="4:7">
      <c r="D331" s="93"/>
      <c r="E331" s="94"/>
      <c r="F331" s="95"/>
      <c r="G331" s="96"/>
    </row>
    <row r="332" ht="14.25" customHeight="1" spans="4:7">
      <c r="D332" s="93"/>
      <c r="E332" s="94"/>
      <c r="F332" s="95"/>
      <c r="G332" s="96"/>
    </row>
    <row r="333" ht="14.25" customHeight="1" spans="4:7">
      <c r="D333" s="93"/>
      <c r="E333" s="94"/>
      <c r="F333" s="95"/>
      <c r="G333" s="96"/>
    </row>
    <row r="334" ht="14.25" customHeight="1" spans="4:7">
      <c r="D334" s="93"/>
      <c r="E334" s="94"/>
      <c r="F334" s="95"/>
      <c r="G334" s="96"/>
    </row>
    <row r="335" ht="14.25" customHeight="1" spans="4:7">
      <c r="D335" s="93"/>
      <c r="E335" s="94"/>
      <c r="F335" s="95"/>
      <c r="G335" s="96"/>
    </row>
    <row r="336" ht="14.25" customHeight="1" spans="4:7">
      <c r="D336" s="93"/>
      <c r="E336" s="94"/>
      <c r="F336" s="95"/>
      <c r="G336" s="96"/>
    </row>
    <row r="337" ht="14.25" customHeight="1" spans="4:7">
      <c r="D337" s="93"/>
      <c r="E337" s="94"/>
      <c r="F337" s="95"/>
      <c r="G337" s="96"/>
    </row>
    <row r="338" ht="14.25" customHeight="1" spans="4:7">
      <c r="D338" s="93"/>
      <c r="E338" s="94"/>
      <c r="F338" s="95"/>
      <c r="G338" s="96"/>
    </row>
    <row r="339" ht="14.25" customHeight="1" spans="4:7">
      <c r="D339" s="93"/>
      <c r="E339" s="94"/>
      <c r="F339" s="95"/>
      <c r="G339" s="96"/>
    </row>
    <row r="340" ht="14.25" customHeight="1" spans="4:7">
      <c r="D340" s="93"/>
      <c r="E340" s="94"/>
      <c r="F340" s="95"/>
      <c r="G340" s="96"/>
    </row>
    <row r="341" ht="14.25" customHeight="1" spans="4:7">
      <c r="D341" s="93"/>
      <c r="E341" s="94"/>
      <c r="F341" s="95"/>
      <c r="G341" s="96"/>
    </row>
    <row r="342" ht="14.25" customHeight="1" spans="4:7">
      <c r="D342" s="93"/>
      <c r="E342" s="94"/>
      <c r="F342" s="95"/>
      <c r="G342" s="96"/>
    </row>
    <row r="343" ht="14.25" customHeight="1" spans="4:7">
      <c r="D343" s="93"/>
      <c r="E343" s="94"/>
      <c r="F343" s="95"/>
      <c r="G343" s="96"/>
    </row>
    <row r="344" ht="14.25" customHeight="1" spans="4:7">
      <c r="D344" s="93"/>
      <c r="E344" s="94"/>
      <c r="F344" s="95"/>
      <c r="G344" s="96"/>
    </row>
    <row r="345" ht="14.25" customHeight="1" spans="4:7">
      <c r="D345" s="93"/>
      <c r="E345" s="94"/>
      <c r="F345" s="95"/>
      <c r="G345" s="96"/>
    </row>
    <row r="346" ht="14.25" customHeight="1" spans="4:7">
      <c r="D346" s="93"/>
      <c r="E346" s="94"/>
      <c r="F346" s="95"/>
      <c r="G346" s="96"/>
    </row>
    <row r="347" ht="14.25" customHeight="1" spans="4:7">
      <c r="D347" s="93"/>
      <c r="E347" s="94"/>
      <c r="F347" s="95"/>
      <c r="G347" s="96"/>
    </row>
    <row r="348" ht="14.25" customHeight="1" spans="4:7">
      <c r="D348" s="93"/>
      <c r="E348" s="94"/>
      <c r="F348" s="95"/>
      <c r="G348" s="96"/>
    </row>
    <row r="349" ht="14.25" customHeight="1" spans="4:7">
      <c r="D349" s="93"/>
      <c r="E349" s="94"/>
      <c r="F349" s="95"/>
      <c r="G349" s="96"/>
    </row>
    <row r="350" ht="14.25" customHeight="1" spans="4:7">
      <c r="D350" s="93"/>
      <c r="E350" s="94"/>
      <c r="F350" s="95"/>
      <c r="G350" s="96"/>
    </row>
    <row r="351" ht="14.25" customHeight="1" spans="4:7">
      <c r="D351" s="93"/>
      <c r="E351" s="94"/>
      <c r="F351" s="95"/>
      <c r="G351" s="96"/>
    </row>
    <row r="352" ht="14.25" customHeight="1" spans="4:7">
      <c r="D352" s="93"/>
      <c r="E352" s="94"/>
      <c r="F352" s="95"/>
      <c r="G352" s="96"/>
    </row>
    <row r="353" ht="14.25" customHeight="1" spans="4:7">
      <c r="D353" s="93"/>
      <c r="E353" s="94"/>
      <c r="F353" s="95"/>
      <c r="G353" s="96"/>
    </row>
    <row r="354" ht="14.25" customHeight="1" spans="4:7">
      <c r="D354" s="93"/>
      <c r="E354" s="94"/>
      <c r="F354" s="95"/>
      <c r="G354" s="96"/>
    </row>
    <row r="355" ht="14.25" customHeight="1" spans="4:7">
      <c r="D355" s="93"/>
      <c r="E355" s="94"/>
      <c r="F355" s="95"/>
      <c r="G355" s="96"/>
    </row>
    <row r="356" ht="14.25" customHeight="1" spans="4:7">
      <c r="D356" s="93"/>
      <c r="E356" s="94"/>
      <c r="F356" s="95"/>
      <c r="G356" s="96"/>
    </row>
    <row r="357" ht="14.25" customHeight="1" spans="4:7">
      <c r="D357" s="93"/>
      <c r="E357" s="94"/>
      <c r="F357" s="95"/>
      <c r="G357" s="96"/>
    </row>
    <row r="358" ht="14.25" customHeight="1" spans="4:7">
      <c r="D358" s="93"/>
      <c r="E358" s="94"/>
      <c r="F358" s="95"/>
      <c r="G358" s="96"/>
    </row>
    <row r="359" ht="14.25" customHeight="1" spans="4:7">
      <c r="D359" s="93"/>
      <c r="E359" s="94"/>
      <c r="F359" s="95"/>
      <c r="G359" s="96"/>
    </row>
    <row r="360" ht="14.25" customHeight="1" spans="4:7">
      <c r="D360" s="93"/>
      <c r="E360" s="94"/>
      <c r="F360" s="95"/>
      <c r="G360" s="96"/>
    </row>
    <row r="361" ht="14.25" customHeight="1" spans="4:7">
      <c r="D361" s="93"/>
      <c r="E361" s="94"/>
      <c r="F361" s="95"/>
      <c r="G361" s="96"/>
    </row>
    <row r="362" ht="14.25" customHeight="1" spans="4:7">
      <c r="D362" s="93"/>
      <c r="E362" s="94"/>
      <c r="F362" s="95"/>
      <c r="G362" s="96"/>
    </row>
    <row r="363" ht="14.25" customHeight="1" spans="4:7">
      <c r="D363" s="93"/>
      <c r="E363" s="94"/>
      <c r="F363" s="95"/>
      <c r="G363" s="96"/>
    </row>
    <row r="364" ht="14.25" customHeight="1" spans="4:7">
      <c r="D364" s="93"/>
      <c r="E364" s="94"/>
      <c r="F364" s="95"/>
      <c r="G364" s="96"/>
    </row>
    <row r="365" ht="14.25" customHeight="1" spans="4:7">
      <c r="D365" s="93"/>
      <c r="E365" s="94"/>
      <c r="F365" s="95"/>
      <c r="G365" s="96"/>
    </row>
    <row r="366" ht="14.25" customHeight="1" spans="4:7">
      <c r="D366" s="93"/>
      <c r="E366" s="94"/>
      <c r="F366" s="95"/>
      <c r="G366" s="96"/>
    </row>
    <row r="367" ht="14.25" customHeight="1" spans="4:7">
      <c r="D367" s="93"/>
      <c r="E367" s="94"/>
      <c r="F367" s="95"/>
      <c r="G367" s="96"/>
    </row>
    <row r="368" ht="14.25" customHeight="1" spans="4:7">
      <c r="D368" s="93"/>
      <c r="E368" s="94"/>
      <c r="F368" s="95"/>
      <c r="G368" s="96"/>
    </row>
    <row r="369" ht="14.25" customHeight="1" spans="4:7">
      <c r="D369" s="93"/>
      <c r="E369" s="94"/>
      <c r="F369" s="95"/>
      <c r="G369" s="96"/>
    </row>
    <row r="370" ht="14.25" customHeight="1" spans="4:7">
      <c r="D370" s="93"/>
      <c r="E370" s="94"/>
      <c r="F370" s="95"/>
      <c r="G370" s="96"/>
    </row>
    <row r="371" ht="14.25" customHeight="1" spans="4:7">
      <c r="D371" s="93"/>
      <c r="E371" s="94"/>
      <c r="F371" s="95"/>
      <c r="G371" s="96"/>
    </row>
    <row r="372" ht="14.25" customHeight="1" spans="4:7">
      <c r="D372" s="93"/>
      <c r="E372" s="94"/>
      <c r="F372" s="95"/>
      <c r="G372" s="96"/>
    </row>
    <row r="373" ht="14.25" customHeight="1" spans="4:7">
      <c r="D373" s="93"/>
      <c r="E373" s="94"/>
      <c r="F373" s="95"/>
      <c r="G373" s="96"/>
    </row>
    <row r="374" ht="14.25" customHeight="1" spans="4:7">
      <c r="D374" s="93"/>
      <c r="E374" s="94"/>
      <c r="F374" s="95"/>
      <c r="G374" s="96"/>
    </row>
    <row r="375" ht="14.25" customHeight="1" spans="4:7">
      <c r="D375" s="93"/>
      <c r="E375" s="94"/>
      <c r="F375" s="95"/>
      <c r="G375" s="96"/>
    </row>
    <row r="376" ht="14.25" customHeight="1" spans="4:7">
      <c r="D376" s="93"/>
      <c r="E376" s="94"/>
      <c r="F376" s="95"/>
      <c r="G376" s="96"/>
    </row>
    <row r="377" ht="14.25" customHeight="1" spans="4:7">
      <c r="D377" s="93"/>
      <c r="E377" s="94"/>
      <c r="F377" s="95"/>
      <c r="G377" s="96"/>
    </row>
    <row r="378" ht="14.25" customHeight="1" spans="4:7">
      <c r="D378" s="93"/>
      <c r="E378" s="94"/>
      <c r="F378" s="95"/>
      <c r="G378" s="96"/>
    </row>
    <row r="379" ht="14.25" customHeight="1" spans="4:7">
      <c r="D379" s="93"/>
      <c r="E379" s="94"/>
      <c r="F379" s="95"/>
      <c r="G379" s="96"/>
    </row>
    <row r="380" ht="14.25" customHeight="1" spans="4:7">
      <c r="D380" s="93"/>
      <c r="E380" s="94"/>
      <c r="F380" s="95"/>
      <c r="G380" s="96"/>
    </row>
    <row r="381" ht="14.25" customHeight="1" spans="4:7">
      <c r="D381" s="93"/>
      <c r="E381" s="94"/>
      <c r="F381" s="95"/>
      <c r="G381" s="96"/>
    </row>
    <row r="382" ht="14.25" customHeight="1" spans="4:7">
      <c r="D382" s="93"/>
      <c r="E382" s="94"/>
      <c r="F382" s="95"/>
      <c r="G382" s="96"/>
    </row>
    <row r="383" ht="14.25" customHeight="1" spans="4:7">
      <c r="D383" s="93"/>
      <c r="E383" s="94"/>
      <c r="F383" s="95"/>
      <c r="G383" s="96"/>
    </row>
    <row r="384" ht="14.25" customHeight="1" spans="4:7">
      <c r="D384" s="93"/>
      <c r="E384" s="94"/>
      <c r="F384" s="95"/>
      <c r="G384" s="96"/>
    </row>
    <row r="385" ht="14.25" customHeight="1" spans="4:7">
      <c r="D385" s="93"/>
      <c r="E385" s="94"/>
      <c r="F385" s="95"/>
      <c r="G385" s="96"/>
    </row>
    <row r="386" ht="14.25" customHeight="1" spans="4:7">
      <c r="D386" s="93"/>
      <c r="E386" s="94"/>
      <c r="F386" s="95"/>
      <c r="G386" s="96"/>
    </row>
    <row r="387" ht="14.25" customHeight="1" spans="4:7">
      <c r="D387" s="93"/>
      <c r="E387" s="94"/>
      <c r="F387" s="95"/>
      <c r="G387" s="96"/>
    </row>
    <row r="388" ht="14.25" customHeight="1" spans="4:7">
      <c r="D388" s="93"/>
      <c r="E388" s="94"/>
      <c r="F388" s="95"/>
      <c r="G388" s="96"/>
    </row>
    <row r="389" ht="14.25" customHeight="1" spans="4:7">
      <c r="D389" s="93"/>
      <c r="E389" s="94"/>
      <c r="F389" s="95"/>
      <c r="G389" s="96"/>
    </row>
    <row r="390" ht="14.25" customHeight="1" spans="4:7">
      <c r="D390" s="93"/>
      <c r="E390" s="94"/>
      <c r="F390" s="95"/>
      <c r="G390" s="96"/>
    </row>
    <row r="391" ht="14.25" customHeight="1" spans="4:7">
      <c r="D391" s="93"/>
      <c r="E391" s="94"/>
      <c r="F391" s="95"/>
      <c r="G391" s="96"/>
    </row>
    <row r="392" ht="14.25" customHeight="1" spans="4:7">
      <c r="D392" s="93"/>
      <c r="E392" s="94"/>
      <c r="F392" s="95"/>
      <c r="G392" s="96"/>
    </row>
    <row r="393" ht="14.25" customHeight="1" spans="4:7">
      <c r="D393" s="93"/>
      <c r="E393" s="94"/>
      <c r="F393" s="95"/>
      <c r="G393" s="96"/>
    </row>
    <row r="394" ht="14.25" customHeight="1" spans="4:7">
      <c r="D394" s="93"/>
      <c r="E394" s="94"/>
      <c r="F394" s="95"/>
      <c r="G394" s="96"/>
    </row>
    <row r="395" ht="14.25" customHeight="1" spans="4:7">
      <c r="D395" s="93"/>
      <c r="E395" s="94"/>
      <c r="F395" s="95"/>
      <c r="G395" s="96"/>
    </row>
    <row r="396" ht="14.25" customHeight="1" spans="4:7">
      <c r="D396" s="93"/>
      <c r="E396" s="94"/>
      <c r="F396" s="95"/>
      <c r="G396" s="96"/>
    </row>
    <row r="397" ht="14.25" customHeight="1" spans="4:7">
      <c r="D397" s="93"/>
      <c r="E397" s="94"/>
      <c r="F397" s="95"/>
      <c r="G397" s="96"/>
    </row>
    <row r="398" ht="14.25" customHeight="1" spans="4:7">
      <c r="D398" s="93"/>
      <c r="E398" s="94"/>
      <c r="F398" s="95"/>
      <c r="G398" s="96"/>
    </row>
    <row r="399" ht="14.25" customHeight="1" spans="4:7">
      <c r="D399" s="93"/>
      <c r="E399" s="94"/>
      <c r="F399" s="95"/>
      <c r="G399" s="96"/>
    </row>
    <row r="400" ht="14.25" customHeight="1" spans="4:7">
      <c r="D400" s="93"/>
      <c r="E400" s="94"/>
      <c r="F400" s="95"/>
      <c r="G400" s="96"/>
    </row>
    <row r="401" ht="14.25" customHeight="1" spans="4:7">
      <c r="D401" s="93"/>
      <c r="E401" s="94"/>
      <c r="F401" s="95"/>
      <c r="G401" s="96"/>
    </row>
    <row r="402" ht="14.25" customHeight="1" spans="4:7">
      <c r="D402" s="93"/>
      <c r="E402" s="94"/>
      <c r="F402" s="95"/>
      <c r="G402" s="96"/>
    </row>
    <row r="403" ht="14.25" customHeight="1" spans="4:7">
      <c r="D403" s="93"/>
      <c r="E403" s="94"/>
      <c r="F403" s="95"/>
      <c r="G403" s="96"/>
    </row>
    <row r="404" ht="14.25" customHeight="1" spans="4:7">
      <c r="D404" s="93"/>
      <c r="E404" s="94"/>
      <c r="F404" s="95"/>
      <c r="G404" s="96"/>
    </row>
    <row r="405" ht="14.25" customHeight="1" spans="4:7">
      <c r="D405" s="93"/>
      <c r="E405" s="94"/>
      <c r="F405" s="95"/>
      <c r="G405" s="96"/>
    </row>
    <row r="406" ht="14.25" customHeight="1" spans="4:7">
      <c r="D406" s="93"/>
      <c r="E406" s="94"/>
      <c r="F406" s="95"/>
      <c r="G406" s="96"/>
    </row>
    <row r="407" ht="14.25" customHeight="1" spans="4:7">
      <c r="D407" s="93"/>
      <c r="E407" s="94"/>
      <c r="F407" s="95"/>
      <c r="G407" s="96"/>
    </row>
    <row r="408" ht="14.25" customHeight="1" spans="4:7">
      <c r="D408" s="93"/>
      <c r="E408" s="94"/>
      <c r="F408" s="95"/>
      <c r="G408" s="96"/>
    </row>
    <row r="409" ht="14.25" customHeight="1" spans="4:7">
      <c r="D409" s="93"/>
      <c r="E409" s="94"/>
      <c r="F409" s="95"/>
      <c r="G409" s="96"/>
    </row>
    <row r="410" ht="14.25" customHeight="1" spans="4:7">
      <c r="D410" s="93"/>
      <c r="E410" s="94"/>
      <c r="F410" s="95"/>
      <c r="G410" s="96"/>
    </row>
    <row r="411" ht="14.25" customHeight="1" spans="4:7">
      <c r="D411" s="93"/>
      <c r="E411" s="94"/>
      <c r="F411" s="95"/>
      <c r="G411" s="96"/>
    </row>
    <row r="412" ht="14.25" customHeight="1" spans="4:7">
      <c r="D412" s="93"/>
      <c r="E412" s="94"/>
      <c r="F412" s="95"/>
      <c r="G412" s="96"/>
    </row>
    <row r="413" ht="14.25" customHeight="1" spans="4:7">
      <c r="D413" s="93"/>
      <c r="E413" s="94"/>
      <c r="F413" s="95"/>
      <c r="G413" s="96"/>
    </row>
    <row r="414" ht="14.25" customHeight="1" spans="4:7">
      <c r="D414" s="93"/>
      <c r="E414" s="94"/>
      <c r="F414" s="95"/>
      <c r="G414" s="96"/>
    </row>
    <row r="415" ht="14.25" customHeight="1" spans="4:7">
      <c r="D415" s="93"/>
      <c r="E415" s="94"/>
      <c r="F415" s="95"/>
      <c r="G415" s="96"/>
    </row>
    <row r="416" ht="14.25" customHeight="1" spans="4:7">
      <c r="D416" s="93"/>
      <c r="E416" s="94"/>
      <c r="F416" s="95"/>
      <c r="G416" s="96"/>
    </row>
    <row r="417" ht="14.25" customHeight="1" spans="4:7">
      <c r="D417" s="93"/>
      <c r="E417" s="94"/>
      <c r="F417" s="95"/>
      <c r="G417" s="96"/>
    </row>
    <row r="418" ht="14.25" customHeight="1" spans="4:7">
      <c r="D418" s="93"/>
      <c r="E418" s="94"/>
      <c r="F418" s="95"/>
      <c r="G418" s="96"/>
    </row>
    <row r="419" ht="14.25" customHeight="1" spans="4:7">
      <c r="D419" s="93"/>
      <c r="E419" s="94"/>
      <c r="F419" s="95"/>
      <c r="G419" s="96"/>
    </row>
    <row r="420" ht="14.25" customHeight="1" spans="4:7">
      <c r="D420" s="93"/>
      <c r="E420" s="94"/>
      <c r="F420" s="95"/>
      <c r="G420" s="96"/>
    </row>
    <row r="421" ht="14.25" customHeight="1" spans="4:7">
      <c r="D421" s="93"/>
      <c r="E421" s="94"/>
      <c r="F421" s="95"/>
      <c r="G421" s="96"/>
    </row>
    <row r="422" ht="14.25" customHeight="1" spans="4:7">
      <c r="D422" s="93"/>
      <c r="E422" s="94"/>
      <c r="F422" s="95"/>
      <c r="G422" s="96"/>
    </row>
    <row r="423" ht="14.25" customHeight="1" spans="4:7">
      <c r="D423" s="93"/>
      <c r="E423" s="94"/>
      <c r="F423" s="95"/>
      <c r="G423" s="96"/>
    </row>
    <row r="424" ht="14.25" customHeight="1" spans="4:7">
      <c r="D424" s="93"/>
      <c r="E424" s="94"/>
      <c r="F424" s="95"/>
      <c r="G424" s="96"/>
    </row>
    <row r="425" ht="14.25" customHeight="1" spans="4:7">
      <c r="D425" s="93"/>
      <c r="E425" s="94"/>
      <c r="F425" s="95"/>
      <c r="G425" s="96"/>
    </row>
    <row r="426" ht="14.25" customHeight="1" spans="4:7">
      <c r="D426" s="93"/>
      <c r="E426" s="94"/>
      <c r="F426" s="95"/>
      <c r="G426" s="96"/>
    </row>
    <row r="427" ht="14.25" customHeight="1" spans="4:7">
      <c r="D427" s="93"/>
      <c r="E427" s="94"/>
      <c r="F427" s="95"/>
      <c r="G427" s="96"/>
    </row>
    <row r="428" ht="14.25" customHeight="1" spans="4:7">
      <c r="D428" s="93"/>
      <c r="E428" s="94"/>
      <c r="F428" s="95"/>
      <c r="G428" s="96"/>
    </row>
    <row r="429" ht="14.25" customHeight="1" spans="4:7">
      <c r="D429" s="93"/>
      <c r="E429" s="94"/>
      <c r="F429" s="95"/>
      <c r="G429" s="96"/>
    </row>
    <row r="430" ht="14.25" customHeight="1" spans="4:7">
      <c r="D430" s="93"/>
      <c r="E430" s="94"/>
      <c r="F430" s="95"/>
      <c r="G430" s="96"/>
    </row>
    <row r="431" ht="14.25" customHeight="1" spans="4:7">
      <c r="D431" s="93"/>
      <c r="E431" s="94"/>
      <c r="F431" s="95"/>
      <c r="G431" s="96"/>
    </row>
    <row r="432" ht="14.25" customHeight="1" spans="4:7">
      <c r="D432" s="93"/>
      <c r="E432" s="94"/>
      <c r="F432" s="95"/>
      <c r="G432" s="96"/>
    </row>
    <row r="433" ht="14.25" customHeight="1" spans="4:7">
      <c r="D433" s="93"/>
      <c r="E433" s="94"/>
      <c r="F433" s="95"/>
      <c r="G433" s="96"/>
    </row>
    <row r="434" ht="14.25" customHeight="1" spans="4:7">
      <c r="D434" s="93"/>
      <c r="E434" s="94"/>
      <c r="F434" s="95"/>
      <c r="G434" s="96"/>
    </row>
    <row r="435" ht="14.25" customHeight="1" spans="4:7">
      <c r="D435" s="93"/>
      <c r="E435" s="94"/>
      <c r="F435" s="95"/>
      <c r="G435" s="96"/>
    </row>
    <row r="436" ht="14.25" customHeight="1" spans="4:7">
      <c r="D436" s="93"/>
      <c r="E436" s="94"/>
      <c r="F436" s="95"/>
      <c r="G436" s="96"/>
    </row>
    <row r="437" ht="14.25" customHeight="1" spans="4:7">
      <c r="D437" s="93"/>
      <c r="E437" s="94"/>
      <c r="F437" s="95"/>
      <c r="G437" s="96"/>
    </row>
    <row r="438" ht="14.25" customHeight="1" spans="4:7">
      <c r="D438" s="93"/>
      <c r="E438" s="94"/>
      <c r="F438" s="95"/>
      <c r="G438" s="96"/>
    </row>
    <row r="439" ht="14.25" customHeight="1" spans="4:7">
      <c r="D439" s="93"/>
      <c r="E439" s="94"/>
      <c r="F439" s="95"/>
      <c r="G439" s="96"/>
    </row>
    <row r="440" ht="14.25" customHeight="1" spans="4:7">
      <c r="D440" s="93"/>
      <c r="E440" s="94"/>
      <c r="F440" s="95"/>
      <c r="G440" s="96"/>
    </row>
    <row r="441" ht="14.25" customHeight="1" spans="4:7">
      <c r="D441" s="93"/>
      <c r="E441" s="94"/>
      <c r="F441" s="95"/>
      <c r="G441" s="96"/>
    </row>
    <row r="442" ht="14.25" customHeight="1" spans="4:7">
      <c r="D442" s="93"/>
      <c r="E442" s="94"/>
      <c r="F442" s="95"/>
      <c r="G442" s="96"/>
    </row>
    <row r="443" ht="14.25" customHeight="1" spans="4:7">
      <c r="D443" s="93"/>
      <c r="E443" s="94"/>
      <c r="F443" s="95"/>
      <c r="G443" s="96"/>
    </row>
    <row r="444" ht="14.25" customHeight="1" spans="4:7">
      <c r="D444" s="93"/>
      <c r="E444" s="94"/>
      <c r="F444" s="95"/>
      <c r="G444" s="96"/>
    </row>
    <row r="445" ht="14.25" customHeight="1" spans="4:7">
      <c r="D445" s="93"/>
      <c r="E445" s="94"/>
      <c r="F445" s="95"/>
      <c r="G445" s="96"/>
    </row>
    <row r="446" ht="14.25" customHeight="1" spans="4:7">
      <c r="D446" s="93"/>
      <c r="E446" s="94"/>
      <c r="F446" s="95"/>
      <c r="G446" s="96"/>
    </row>
    <row r="447" ht="14.25" customHeight="1" spans="4:7">
      <c r="D447" s="93"/>
      <c r="E447" s="94"/>
      <c r="F447" s="95"/>
      <c r="G447" s="96"/>
    </row>
    <row r="448" ht="14.25" customHeight="1" spans="4:7">
      <c r="D448" s="93"/>
      <c r="E448" s="94"/>
      <c r="F448" s="95"/>
      <c r="G448" s="96"/>
    </row>
    <row r="449" ht="14.25" customHeight="1" spans="4:7">
      <c r="D449" s="93"/>
      <c r="E449" s="94"/>
      <c r="F449" s="95"/>
      <c r="G449" s="96"/>
    </row>
    <row r="450" ht="14.25" customHeight="1" spans="4:7">
      <c r="D450" s="93"/>
      <c r="E450" s="94"/>
      <c r="F450" s="95"/>
      <c r="G450" s="96"/>
    </row>
    <row r="451" ht="14.25" customHeight="1" spans="4:7">
      <c r="D451" s="93"/>
      <c r="E451" s="94"/>
      <c r="F451" s="95"/>
      <c r="G451" s="96"/>
    </row>
    <row r="452" ht="14.25" customHeight="1" spans="4:7">
      <c r="D452" s="93"/>
      <c r="E452" s="94"/>
      <c r="F452" s="95"/>
      <c r="G452" s="96"/>
    </row>
    <row r="453" ht="14.25" customHeight="1" spans="4:7">
      <c r="D453" s="93"/>
      <c r="E453" s="94"/>
      <c r="F453" s="95"/>
      <c r="G453" s="96"/>
    </row>
    <row r="454" ht="14.25" customHeight="1" spans="4:7">
      <c r="D454" s="93"/>
      <c r="E454" s="94"/>
      <c r="F454" s="95"/>
      <c r="G454" s="96"/>
    </row>
    <row r="455" ht="14.25" customHeight="1" spans="4:7">
      <c r="D455" s="93"/>
      <c r="E455" s="94"/>
      <c r="F455" s="95"/>
      <c r="G455" s="96"/>
    </row>
    <row r="456" ht="14.25" customHeight="1" spans="4:7">
      <c r="D456" s="93"/>
      <c r="E456" s="94"/>
      <c r="F456" s="95"/>
      <c r="G456" s="96"/>
    </row>
    <row r="457" ht="14.25" customHeight="1" spans="4:7">
      <c r="D457" s="93"/>
      <c r="E457" s="94"/>
      <c r="F457" s="95"/>
      <c r="G457" s="96"/>
    </row>
    <row r="458" ht="14.25" customHeight="1" spans="4:7">
      <c r="D458" s="93"/>
      <c r="E458" s="94"/>
      <c r="F458" s="95"/>
      <c r="G458" s="96"/>
    </row>
    <row r="459" ht="14.25" customHeight="1" spans="4:7">
      <c r="D459" s="93"/>
      <c r="E459" s="94"/>
      <c r="F459" s="95"/>
      <c r="G459" s="96"/>
    </row>
    <row r="460" ht="14.25" customHeight="1" spans="4:7">
      <c r="D460" s="93"/>
      <c r="E460" s="94"/>
      <c r="F460" s="95"/>
      <c r="G460" s="96"/>
    </row>
    <row r="461" ht="14.25" customHeight="1" spans="4:7">
      <c r="D461" s="93"/>
      <c r="E461" s="94"/>
      <c r="F461" s="95"/>
      <c r="G461" s="96"/>
    </row>
    <row r="462" ht="14.25" customHeight="1" spans="4:7">
      <c r="D462" s="93"/>
      <c r="E462" s="94"/>
      <c r="F462" s="95"/>
      <c r="G462" s="96"/>
    </row>
    <row r="463" ht="14.25" customHeight="1" spans="4:7">
      <c r="D463" s="93"/>
      <c r="E463" s="94"/>
      <c r="F463" s="95"/>
      <c r="G463" s="96"/>
    </row>
    <row r="464" ht="14.25" customHeight="1" spans="4:7">
      <c r="D464" s="93"/>
      <c r="E464" s="94"/>
      <c r="F464" s="95"/>
      <c r="G464" s="96"/>
    </row>
    <row r="465" ht="14.25" customHeight="1" spans="4:7">
      <c r="D465" s="93"/>
      <c r="E465" s="94"/>
      <c r="F465" s="95"/>
      <c r="G465" s="96"/>
    </row>
    <row r="466" ht="14.25" customHeight="1" spans="4:7">
      <c r="D466" s="93"/>
      <c r="E466" s="94"/>
      <c r="F466" s="95"/>
      <c r="G466" s="96"/>
    </row>
    <row r="467" ht="14.25" customHeight="1" spans="4:7">
      <c r="D467" s="93"/>
      <c r="E467" s="94"/>
      <c r="F467" s="95"/>
      <c r="G467" s="96"/>
    </row>
    <row r="468" ht="14.25" customHeight="1" spans="4:7">
      <c r="D468" s="93"/>
      <c r="E468" s="94"/>
      <c r="F468" s="95"/>
      <c r="G468" s="96"/>
    </row>
    <row r="469" ht="14.25" customHeight="1" spans="4:7">
      <c r="D469" s="93"/>
      <c r="E469" s="94"/>
      <c r="F469" s="95"/>
      <c r="G469" s="96"/>
    </row>
    <row r="470" ht="14.25" customHeight="1" spans="4:7">
      <c r="D470" s="93"/>
      <c r="E470" s="94"/>
      <c r="F470" s="95"/>
      <c r="G470" s="96"/>
    </row>
    <row r="471" ht="14.25" customHeight="1" spans="4:7">
      <c r="D471" s="93"/>
      <c r="E471" s="94"/>
      <c r="F471" s="95"/>
      <c r="G471" s="96"/>
    </row>
    <row r="472" ht="14.25" customHeight="1" spans="4:7">
      <c r="D472" s="93"/>
      <c r="E472" s="94"/>
      <c r="F472" s="95"/>
      <c r="G472" s="96"/>
    </row>
    <row r="473" ht="14.25" customHeight="1" spans="4:7">
      <c r="D473" s="93"/>
      <c r="E473" s="94"/>
      <c r="F473" s="95"/>
      <c r="G473" s="96"/>
    </row>
    <row r="474" ht="14.25" customHeight="1" spans="4:7">
      <c r="D474" s="93"/>
      <c r="E474" s="94"/>
      <c r="F474" s="95"/>
      <c r="G474" s="96"/>
    </row>
    <row r="475" ht="14.25" customHeight="1" spans="4:7">
      <c r="D475" s="93"/>
      <c r="E475" s="94"/>
      <c r="F475" s="95"/>
      <c r="G475" s="96"/>
    </row>
    <row r="476" ht="14.25" customHeight="1" spans="4:7">
      <c r="D476" s="93"/>
      <c r="E476" s="94"/>
      <c r="F476" s="95"/>
      <c r="G476" s="96"/>
    </row>
    <row r="477" ht="14.25" customHeight="1" spans="4:7">
      <c r="D477" s="93"/>
      <c r="E477" s="94"/>
      <c r="F477" s="95"/>
      <c r="G477" s="96"/>
    </row>
    <row r="478" ht="14.25" customHeight="1" spans="4:7">
      <c r="D478" s="93"/>
      <c r="E478" s="94"/>
      <c r="F478" s="95"/>
      <c r="G478" s="96"/>
    </row>
    <row r="479" ht="14.25" customHeight="1" spans="4:7">
      <c r="D479" s="93"/>
      <c r="E479" s="94"/>
      <c r="F479" s="95"/>
      <c r="G479" s="96"/>
    </row>
    <row r="480" ht="14.25" customHeight="1" spans="4:7">
      <c r="D480" s="93"/>
      <c r="E480" s="94"/>
      <c r="F480" s="95"/>
      <c r="G480" s="96"/>
    </row>
    <row r="481" ht="14.25" customHeight="1" spans="4:7">
      <c r="D481" s="93"/>
      <c r="E481" s="94"/>
      <c r="F481" s="95"/>
      <c r="G481" s="96"/>
    </row>
    <row r="482" ht="14.25" customHeight="1" spans="4:7">
      <c r="D482" s="93"/>
      <c r="E482" s="94"/>
      <c r="F482" s="95"/>
      <c r="G482" s="96"/>
    </row>
    <row r="483" ht="14.25" customHeight="1" spans="4:7">
      <c r="D483" s="93"/>
      <c r="E483" s="94"/>
      <c r="F483" s="95"/>
      <c r="G483" s="96"/>
    </row>
    <row r="484" ht="14.25" customHeight="1" spans="4:7">
      <c r="D484" s="93"/>
      <c r="E484" s="94"/>
      <c r="F484" s="95"/>
      <c r="G484" s="96"/>
    </row>
    <row r="485" ht="14.25" customHeight="1" spans="4:7">
      <c r="D485" s="93"/>
      <c r="E485" s="94"/>
      <c r="F485" s="95"/>
      <c r="G485" s="96"/>
    </row>
    <row r="486" ht="14.25" customHeight="1" spans="4:7">
      <c r="D486" s="93"/>
      <c r="E486" s="94"/>
      <c r="F486" s="95"/>
      <c r="G486" s="96"/>
    </row>
    <row r="487" ht="14.25" customHeight="1" spans="4:7">
      <c r="D487" s="93"/>
      <c r="E487" s="94"/>
      <c r="F487" s="95"/>
      <c r="G487" s="96"/>
    </row>
    <row r="488" ht="14.25" customHeight="1" spans="4:7">
      <c r="D488" s="93"/>
      <c r="E488" s="94"/>
      <c r="F488" s="95"/>
      <c r="G488" s="96"/>
    </row>
    <row r="489" ht="14.25" customHeight="1" spans="4:7">
      <c r="D489" s="93"/>
      <c r="E489" s="94"/>
      <c r="F489" s="95"/>
      <c r="G489" s="96"/>
    </row>
    <row r="490" ht="14.25" customHeight="1" spans="4:7">
      <c r="D490" s="93"/>
      <c r="E490" s="94"/>
      <c r="F490" s="95"/>
      <c r="G490" s="96"/>
    </row>
    <row r="491" ht="14.25" customHeight="1" spans="4:7">
      <c r="D491" s="93"/>
      <c r="E491" s="94"/>
      <c r="F491" s="95"/>
      <c r="G491" s="96"/>
    </row>
    <row r="492" ht="14.25" customHeight="1" spans="4:7">
      <c r="D492" s="93"/>
      <c r="E492" s="94"/>
      <c r="F492" s="95"/>
      <c r="G492" s="96"/>
    </row>
    <row r="493" ht="14.25" customHeight="1" spans="4:7">
      <c r="D493" s="93"/>
      <c r="E493" s="94"/>
      <c r="F493" s="95"/>
      <c r="G493" s="96"/>
    </row>
    <row r="494" ht="14.25" customHeight="1" spans="4:7">
      <c r="D494" s="93"/>
      <c r="E494" s="94"/>
      <c r="F494" s="95"/>
      <c r="G494" s="96"/>
    </row>
    <row r="495" ht="14.25" customHeight="1" spans="4:7">
      <c r="D495" s="93"/>
      <c r="E495" s="94"/>
      <c r="F495" s="95"/>
      <c r="G495" s="96"/>
    </row>
    <row r="496" ht="14.25" customHeight="1" spans="4:7">
      <c r="D496" s="93"/>
      <c r="E496" s="94"/>
      <c r="F496" s="95"/>
      <c r="G496" s="96"/>
    </row>
    <row r="497" ht="14.25" customHeight="1" spans="4:7">
      <c r="D497" s="93"/>
      <c r="E497" s="94"/>
      <c r="F497" s="95"/>
      <c r="G497" s="96"/>
    </row>
    <row r="498" ht="14.25" customHeight="1" spans="4:7">
      <c r="D498" s="93"/>
      <c r="E498" s="94"/>
      <c r="F498" s="95"/>
      <c r="G498" s="96"/>
    </row>
    <row r="499" ht="14.25" customHeight="1" spans="4:7">
      <c r="D499" s="93"/>
      <c r="E499" s="94"/>
      <c r="F499" s="95"/>
      <c r="G499" s="96"/>
    </row>
    <row r="500" ht="14.25" customHeight="1" spans="4:7">
      <c r="D500" s="93"/>
      <c r="E500" s="94"/>
      <c r="F500" s="95"/>
      <c r="G500" s="96"/>
    </row>
    <row r="501" ht="14.25" customHeight="1" spans="4:7">
      <c r="D501" s="93"/>
      <c r="E501" s="94"/>
      <c r="F501" s="95"/>
      <c r="G501" s="96"/>
    </row>
    <row r="502" ht="14.25" customHeight="1" spans="4:7">
      <c r="D502" s="93"/>
      <c r="E502" s="94"/>
      <c r="F502" s="95"/>
      <c r="G502" s="96"/>
    </row>
    <row r="503" ht="14.25" customHeight="1" spans="4:7">
      <c r="D503" s="93"/>
      <c r="E503" s="94"/>
      <c r="F503" s="95"/>
      <c r="G503" s="96"/>
    </row>
    <row r="504" ht="14.25" customHeight="1" spans="4:7">
      <c r="D504" s="93"/>
      <c r="E504" s="94"/>
      <c r="F504" s="95"/>
      <c r="G504" s="96"/>
    </row>
    <row r="505" ht="14.25" customHeight="1" spans="4:7">
      <c r="D505" s="93"/>
      <c r="E505" s="94"/>
      <c r="F505" s="95"/>
      <c r="G505" s="96"/>
    </row>
    <row r="506" ht="14.25" customHeight="1" spans="4:7">
      <c r="D506" s="93"/>
      <c r="E506" s="94"/>
      <c r="F506" s="95"/>
      <c r="G506" s="96"/>
    </row>
    <row r="507" ht="14.25" customHeight="1" spans="4:7">
      <c r="D507" s="93"/>
      <c r="E507" s="94"/>
      <c r="F507" s="95"/>
      <c r="G507" s="96"/>
    </row>
    <row r="508" ht="14.25" customHeight="1" spans="4:7">
      <c r="D508" s="93"/>
      <c r="E508" s="94"/>
      <c r="F508" s="95"/>
      <c r="G508" s="96"/>
    </row>
    <row r="509" ht="14.25" customHeight="1" spans="4:7">
      <c r="D509" s="93"/>
      <c r="E509" s="94"/>
      <c r="F509" s="95"/>
      <c r="G509" s="96"/>
    </row>
    <row r="510" ht="14.25" customHeight="1" spans="4:7">
      <c r="D510" s="93"/>
      <c r="E510" s="94"/>
      <c r="F510" s="95"/>
      <c r="G510" s="96"/>
    </row>
    <row r="511" ht="14.25" customHeight="1" spans="4:7">
      <c r="D511" s="93"/>
      <c r="E511" s="94"/>
      <c r="F511" s="95"/>
      <c r="G511" s="96"/>
    </row>
    <row r="512" ht="14.25" customHeight="1" spans="4:7">
      <c r="D512" s="93"/>
      <c r="E512" s="94"/>
      <c r="F512" s="95"/>
      <c r="G512" s="96"/>
    </row>
    <row r="513" ht="14.25" customHeight="1" spans="4:7">
      <c r="D513" s="93"/>
      <c r="E513" s="94"/>
      <c r="F513" s="95"/>
      <c r="G513" s="96"/>
    </row>
    <row r="514" ht="14.25" customHeight="1" spans="4:7">
      <c r="D514" s="93"/>
      <c r="E514" s="94"/>
      <c r="F514" s="95"/>
      <c r="G514" s="96"/>
    </row>
    <row r="515" ht="14.25" customHeight="1" spans="4:7">
      <c r="D515" s="93"/>
      <c r="E515" s="94"/>
      <c r="F515" s="95"/>
      <c r="G515" s="96"/>
    </row>
    <row r="516" ht="14.25" customHeight="1" spans="4:7">
      <c r="D516" s="93"/>
      <c r="E516" s="94"/>
      <c r="F516" s="95"/>
      <c r="G516" s="96"/>
    </row>
    <row r="517" ht="14.25" customHeight="1" spans="4:7">
      <c r="D517" s="93"/>
      <c r="E517" s="94"/>
      <c r="F517" s="95"/>
      <c r="G517" s="96"/>
    </row>
    <row r="518" ht="14.25" customHeight="1" spans="4:7">
      <c r="D518" s="93"/>
      <c r="E518" s="94"/>
      <c r="F518" s="95"/>
      <c r="G518" s="96"/>
    </row>
    <row r="519" ht="14.25" customHeight="1" spans="4:7">
      <c r="D519" s="93"/>
      <c r="E519" s="94"/>
      <c r="F519" s="95"/>
      <c r="G519" s="96"/>
    </row>
    <row r="520" ht="14.25" customHeight="1" spans="4:7">
      <c r="D520" s="93"/>
      <c r="E520" s="94"/>
      <c r="F520" s="95"/>
      <c r="G520" s="96"/>
    </row>
    <row r="521" ht="14.25" customHeight="1" spans="4:7">
      <c r="D521" s="93"/>
      <c r="E521" s="94"/>
      <c r="F521" s="95"/>
      <c r="G521" s="96"/>
    </row>
    <row r="522" ht="14.25" customHeight="1" spans="4:7">
      <c r="D522" s="93"/>
      <c r="E522" s="94"/>
      <c r="F522" s="95"/>
      <c r="G522" s="96"/>
    </row>
    <row r="523" ht="14.25" customHeight="1" spans="4:7">
      <c r="D523" s="93"/>
      <c r="E523" s="94"/>
      <c r="F523" s="95"/>
      <c r="G523" s="96"/>
    </row>
    <row r="524" ht="14.25" customHeight="1" spans="4:7">
      <c r="D524" s="93"/>
      <c r="E524" s="94"/>
      <c r="F524" s="95"/>
      <c r="G524" s="96"/>
    </row>
    <row r="525" ht="14.25" customHeight="1" spans="4:7">
      <c r="D525" s="93"/>
      <c r="E525" s="94"/>
      <c r="F525" s="95"/>
      <c r="G525" s="96"/>
    </row>
    <row r="526" ht="14.25" customHeight="1" spans="4:7">
      <c r="D526" s="93"/>
      <c r="E526" s="94"/>
      <c r="F526" s="95"/>
      <c r="G526" s="96"/>
    </row>
    <row r="527" ht="14.25" customHeight="1" spans="4:7">
      <c r="D527" s="93"/>
      <c r="E527" s="94"/>
      <c r="F527" s="95"/>
      <c r="G527" s="96"/>
    </row>
    <row r="528" ht="14.25" customHeight="1" spans="4:7">
      <c r="D528" s="93"/>
      <c r="E528" s="94"/>
      <c r="F528" s="95"/>
      <c r="G528" s="96"/>
    </row>
    <row r="529" ht="14.25" customHeight="1" spans="4:7">
      <c r="D529" s="93"/>
      <c r="E529" s="94"/>
      <c r="F529" s="95"/>
      <c r="G529" s="96"/>
    </row>
    <row r="530" ht="14.25" customHeight="1" spans="4:7">
      <c r="D530" s="93"/>
      <c r="E530" s="94"/>
      <c r="F530" s="95"/>
      <c r="G530" s="96"/>
    </row>
    <row r="531" ht="14.25" customHeight="1" spans="4:7">
      <c r="D531" s="93"/>
      <c r="E531" s="94"/>
      <c r="F531" s="95"/>
      <c r="G531" s="96"/>
    </row>
    <row r="532" ht="14.25" customHeight="1" spans="4:7">
      <c r="D532" s="93"/>
      <c r="E532" s="94"/>
      <c r="F532" s="95"/>
      <c r="G532" s="96"/>
    </row>
    <row r="533" ht="14.25" customHeight="1" spans="4:7">
      <c r="D533" s="93"/>
      <c r="E533" s="94"/>
      <c r="F533" s="95"/>
      <c r="G533" s="96"/>
    </row>
    <row r="534" ht="14.25" customHeight="1" spans="4:7">
      <c r="D534" s="93"/>
      <c r="E534" s="94"/>
      <c r="F534" s="95"/>
      <c r="G534" s="96"/>
    </row>
    <row r="535" ht="14.25" customHeight="1" spans="4:7">
      <c r="D535" s="93"/>
      <c r="E535" s="94"/>
      <c r="F535" s="95"/>
      <c r="G535" s="96"/>
    </row>
    <row r="536" ht="14.25" customHeight="1" spans="4:7">
      <c r="D536" s="93"/>
      <c r="E536" s="94"/>
      <c r="F536" s="95"/>
      <c r="G536" s="96"/>
    </row>
    <row r="537" ht="14.25" customHeight="1" spans="4:7">
      <c r="D537" s="93"/>
      <c r="E537" s="94"/>
      <c r="F537" s="95"/>
      <c r="G537" s="96"/>
    </row>
    <row r="538" ht="14.25" customHeight="1" spans="4:7">
      <c r="D538" s="93"/>
      <c r="E538" s="94"/>
      <c r="F538" s="95"/>
      <c r="G538" s="96"/>
    </row>
    <row r="539" ht="14.25" customHeight="1" spans="4:7">
      <c r="D539" s="93"/>
      <c r="E539" s="94"/>
      <c r="F539" s="95"/>
      <c r="G539" s="96"/>
    </row>
    <row r="540" ht="14.25" customHeight="1" spans="4:7">
      <c r="D540" s="93"/>
      <c r="E540" s="94"/>
      <c r="F540" s="95"/>
      <c r="G540" s="96"/>
    </row>
    <row r="541" ht="14.25" customHeight="1" spans="4:7">
      <c r="D541" s="93"/>
      <c r="E541" s="94"/>
      <c r="F541" s="95"/>
      <c r="G541" s="96"/>
    </row>
    <row r="542" ht="14.25" customHeight="1" spans="4:7">
      <c r="D542" s="93"/>
      <c r="E542" s="94"/>
      <c r="F542" s="95"/>
      <c r="G542" s="96"/>
    </row>
    <row r="543" ht="14.25" customHeight="1" spans="4:7">
      <c r="D543" s="93"/>
      <c r="E543" s="94"/>
      <c r="F543" s="95"/>
      <c r="G543" s="96"/>
    </row>
    <row r="544" ht="14.25" customHeight="1" spans="4:7">
      <c r="D544" s="93"/>
      <c r="E544" s="94"/>
      <c r="F544" s="95"/>
      <c r="G544" s="96"/>
    </row>
    <row r="545" ht="14.25" customHeight="1" spans="4:7">
      <c r="D545" s="93"/>
      <c r="E545" s="94"/>
      <c r="F545" s="95"/>
      <c r="G545" s="96"/>
    </row>
    <row r="546" ht="14.25" customHeight="1" spans="4:7">
      <c r="D546" s="93"/>
      <c r="E546" s="94"/>
      <c r="F546" s="95"/>
      <c r="G546" s="96"/>
    </row>
    <row r="547" ht="14.25" customHeight="1" spans="4:7">
      <c r="D547" s="93"/>
      <c r="E547" s="94"/>
      <c r="F547" s="95"/>
      <c r="G547" s="96"/>
    </row>
    <row r="548" ht="14.25" customHeight="1" spans="4:7">
      <c r="D548" s="93"/>
      <c r="E548" s="94"/>
      <c r="F548" s="95"/>
      <c r="G548" s="96"/>
    </row>
    <row r="549" ht="14.25" customHeight="1" spans="4:7">
      <c r="D549" s="93"/>
      <c r="E549" s="94"/>
      <c r="F549" s="95"/>
      <c r="G549" s="96"/>
    </row>
    <row r="550" ht="14.25" customHeight="1" spans="4:7">
      <c r="D550" s="93"/>
      <c r="E550" s="94"/>
      <c r="F550" s="95"/>
      <c r="G550" s="96"/>
    </row>
    <row r="551" ht="14.25" customHeight="1" spans="4:7">
      <c r="D551" s="93"/>
      <c r="E551" s="94"/>
      <c r="F551" s="95"/>
      <c r="G551" s="96"/>
    </row>
    <row r="552" ht="14.25" customHeight="1" spans="4:7">
      <c r="D552" s="93"/>
      <c r="E552" s="94"/>
      <c r="F552" s="95"/>
      <c r="G552" s="96"/>
    </row>
    <row r="553" ht="14.25" customHeight="1" spans="4:7">
      <c r="D553" s="93"/>
      <c r="E553" s="94"/>
      <c r="F553" s="95"/>
      <c r="G553" s="96"/>
    </row>
    <row r="554" ht="14.25" customHeight="1" spans="4:7">
      <c r="D554" s="93"/>
      <c r="E554" s="94"/>
      <c r="F554" s="95"/>
      <c r="G554" s="96"/>
    </row>
    <row r="555" ht="14.25" customHeight="1" spans="4:7">
      <c r="D555" s="93"/>
      <c r="E555" s="94"/>
      <c r="F555" s="95"/>
      <c r="G555" s="96"/>
    </row>
    <row r="556" ht="14.25" customHeight="1" spans="4:7">
      <c r="D556" s="93"/>
      <c r="E556" s="94"/>
      <c r="F556" s="95"/>
      <c r="G556" s="96"/>
    </row>
    <row r="557" ht="14.25" customHeight="1" spans="4:7">
      <c r="D557" s="93"/>
      <c r="E557" s="94"/>
      <c r="F557" s="95"/>
      <c r="G557" s="96"/>
    </row>
    <row r="558" ht="14.25" customHeight="1" spans="4:7">
      <c r="D558" s="93"/>
      <c r="E558" s="94"/>
      <c r="F558" s="95"/>
      <c r="G558" s="96"/>
    </row>
    <row r="559" ht="14.25" customHeight="1" spans="4:7">
      <c r="D559" s="93"/>
      <c r="E559" s="94"/>
      <c r="F559" s="95"/>
      <c r="G559" s="96"/>
    </row>
    <row r="560" ht="14.25" customHeight="1" spans="4:7">
      <c r="D560" s="93"/>
      <c r="E560" s="94"/>
      <c r="F560" s="95"/>
      <c r="G560" s="96"/>
    </row>
    <row r="561" ht="14.25" customHeight="1" spans="4:7">
      <c r="D561" s="93"/>
      <c r="E561" s="94"/>
      <c r="F561" s="95"/>
      <c r="G561" s="96"/>
    </row>
    <row r="562" ht="14.25" customHeight="1" spans="4:7">
      <c r="D562" s="93"/>
      <c r="E562" s="94"/>
      <c r="F562" s="95"/>
      <c r="G562" s="96"/>
    </row>
    <row r="563" ht="14.25" customHeight="1" spans="4:7">
      <c r="D563" s="93"/>
      <c r="E563" s="94"/>
      <c r="F563" s="95"/>
      <c r="G563" s="96"/>
    </row>
    <row r="564" ht="14.25" customHeight="1" spans="4:7">
      <c r="D564" s="93"/>
      <c r="E564" s="94"/>
      <c r="F564" s="95"/>
      <c r="G564" s="96"/>
    </row>
    <row r="565" ht="14.25" customHeight="1" spans="4:7">
      <c r="D565" s="93"/>
      <c r="E565" s="94"/>
      <c r="F565" s="95"/>
      <c r="G565" s="96"/>
    </row>
    <row r="566" ht="14.25" customHeight="1" spans="4:7">
      <c r="D566" s="93"/>
      <c r="E566" s="94"/>
      <c r="F566" s="95"/>
      <c r="G566" s="96"/>
    </row>
    <row r="567" ht="14.25" customHeight="1" spans="4:7">
      <c r="D567" s="93"/>
      <c r="E567" s="94"/>
      <c r="F567" s="95"/>
      <c r="G567" s="96"/>
    </row>
    <row r="568" ht="14.25" customHeight="1" spans="4:7">
      <c r="D568" s="93"/>
      <c r="E568" s="94"/>
      <c r="F568" s="95"/>
      <c r="G568" s="96"/>
    </row>
    <row r="569" ht="14.25" customHeight="1" spans="4:7">
      <c r="D569" s="93"/>
      <c r="E569" s="94"/>
      <c r="F569" s="95"/>
      <c r="G569" s="96"/>
    </row>
    <row r="570" ht="14.25" customHeight="1" spans="4:7">
      <c r="D570" s="93"/>
      <c r="E570" s="94"/>
      <c r="F570" s="95"/>
      <c r="G570" s="96"/>
    </row>
    <row r="571" ht="14.25" customHeight="1" spans="4:7">
      <c r="D571" s="93"/>
      <c r="E571" s="94"/>
      <c r="F571" s="95"/>
      <c r="G571" s="96"/>
    </row>
    <row r="572" ht="14.25" customHeight="1" spans="4:7">
      <c r="D572" s="93"/>
      <c r="E572" s="94"/>
      <c r="F572" s="95"/>
      <c r="G572" s="96"/>
    </row>
    <row r="573" ht="14.25" customHeight="1" spans="4:7">
      <c r="D573" s="93"/>
      <c r="E573" s="94"/>
      <c r="F573" s="95"/>
      <c r="G573" s="96"/>
    </row>
    <row r="574" ht="14.25" customHeight="1" spans="4:7">
      <c r="D574" s="93"/>
      <c r="E574" s="94"/>
      <c r="F574" s="95"/>
      <c r="G574" s="96"/>
    </row>
    <row r="575" ht="14.25" customHeight="1" spans="4:7">
      <c r="D575" s="93"/>
      <c r="E575" s="94"/>
      <c r="F575" s="95"/>
      <c r="G575" s="96"/>
    </row>
    <row r="576" ht="14.25" customHeight="1" spans="4:7">
      <c r="D576" s="93"/>
      <c r="E576" s="94"/>
      <c r="F576" s="95"/>
      <c r="G576" s="96"/>
    </row>
    <row r="577" ht="14.25" customHeight="1" spans="4:7">
      <c r="D577" s="93"/>
      <c r="E577" s="94"/>
      <c r="F577" s="95"/>
      <c r="G577" s="96"/>
    </row>
    <row r="578" ht="14.25" customHeight="1" spans="4:7">
      <c r="D578" s="93"/>
      <c r="E578" s="94"/>
      <c r="F578" s="95"/>
      <c r="G578" s="96"/>
    </row>
    <row r="579" ht="14.25" customHeight="1" spans="4:7">
      <c r="D579" s="93"/>
      <c r="E579" s="94"/>
      <c r="F579" s="95"/>
      <c r="G579" s="96"/>
    </row>
    <row r="580" ht="14.25" customHeight="1" spans="4:7">
      <c r="D580" s="93"/>
      <c r="E580" s="94"/>
      <c r="F580" s="95"/>
      <c r="G580" s="96"/>
    </row>
    <row r="581" ht="14.25" customHeight="1" spans="4:7">
      <c r="D581" s="93"/>
      <c r="E581" s="94"/>
      <c r="F581" s="95"/>
      <c r="G581" s="96"/>
    </row>
    <row r="582" ht="14.25" customHeight="1" spans="4:7">
      <c r="D582" s="93"/>
      <c r="E582" s="94"/>
      <c r="F582" s="95"/>
      <c r="G582" s="96"/>
    </row>
    <row r="583" ht="14.25" customHeight="1" spans="4:7">
      <c r="D583" s="93"/>
      <c r="E583" s="94"/>
      <c r="F583" s="95"/>
      <c r="G583" s="96"/>
    </row>
    <row r="584" ht="14.25" customHeight="1" spans="4:7">
      <c r="D584" s="93"/>
      <c r="E584" s="94"/>
      <c r="F584" s="95"/>
      <c r="G584" s="96"/>
    </row>
    <row r="585" ht="14.25" customHeight="1" spans="4:7">
      <c r="D585" s="93"/>
      <c r="E585" s="94"/>
      <c r="F585" s="95"/>
      <c r="G585" s="96"/>
    </row>
    <row r="586" ht="14.25" customHeight="1" spans="4:7">
      <c r="D586" s="93"/>
      <c r="E586" s="94"/>
      <c r="F586" s="95"/>
      <c r="G586" s="96"/>
    </row>
    <row r="587" ht="14.25" customHeight="1" spans="4:7">
      <c r="D587" s="93"/>
      <c r="E587" s="94"/>
      <c r="F587" s="95"/>
      <c r="G587" s="96"/>
    </row>
    <row r="588" ht="14.25" customHeight="1" spans="4:7">
      <c r="D588" s="93"/>
      <c r="E588" s="94"/>
      <c r="F588" s="95"/>
      <c r="G588" s="96"/>
    </row>
    <row r="589" ht="14.25" customHeight="1" spans="4:7">
      <c r="D589" s="93"/>
      <c r="E589" s="94"/>
      <c r="F589" s="95"/>
      <c r="G589" s="96"/>
    </row>
    <row r="590" ht="14.25" customHeight="1" spans="4:7">
      <c r="D590" s="93"/>
      <c r="E590" s="94"/>
      <c r="F590" s="95"/>
      <c r="G590" s="96"/>
    </row>
    <row r="591" ht="14.25" customHeight="1" spans="4:7">
      <c r="D591" s="93"/>
      <c r="E591" s="94"/>
      <c r="F591" s="95"/>
      <c r="G591" s="96"/>
    </row>
    <row r="592" ht="14.25" customHeight="1" spans="4:7">
      <c r="D592" s="93"/>
      <c r="E592" s="94"/>
      <c r="F592" s="95"/>
      <c r="G592" s="96"/>
    </row>
    <row r="593" ht="14.25" customHeight="1" spans="4:7">
      <c r="D593" s="93"/>
      <c r="E593" s="94"/>
      <c r="F593" s="95"/>
      <c r="G593" s="96"/>
    </row>
    <row r="594" ht="14.25" customHeight="1" spans="4:7">
      <c r="D594" s="93"/>
      <c r="E594" s="94"/>
      <c r="F594" s="95"/>
      <c r="G594" s="96"/>
    </row>
    <row r="595" ht="14.25" customHeight="1" spans="4:7">
      <c r="D595" s="93"/>
      <c r="E595" s="94"/>
      <c r="F595" s="95"/>
      <c r="G595" s="96"/>
    </row>
    <row r="596" ht="14.25" customHeight="1" spans="4:7">
      <c r="D596" s="93"/>
      <c r="E596" s="94"/>
      <c r="F596" s="95"/>
      <c r="G596" s="96"/>
    </row>
    <row r="597" ht="14.25" customHeight="1" spans="4:7">
      <c r="D597" s="93"/>
      <c r="E597" s="94"/>
      <c r="F597" s="95"/>
      <c r="G597" s="96"/>
    </row>
    <row r="598" ht="14.25" customHeight="1" spans="4:7">
      <c r="D598" s="93"/>
      <c r="E598" s="94"/>
      <c r="F598" s="95"/>
      <c r="G598" s="96"/>
    </row>
    <row r="599" ht="14.25" customHeight="1" spans="4:7">
      <c r="D599" s="93"/>
      <c r="E599" s="94"/>
      <c r="F599" s="95"/>
      <c r="G599" s="96"/>
    </row>
    <row r="600" ht="14.25" customHeight="1" spans="4:7">
      <c r="D600" s="93"/>
      <c r="E600" s="94"/>
      <c r="F600" s="95"/>
      <c r="G600" s="96"/>
    </row>
    <row r="601" ht="14.25" customHeight="1" spans="4:7">
      <c r="D601" s="93"/>
      <c r="E601" s="94"/>
      <c r="F601" s="95"/>
      <c r="G601" s="96"/>
    </row>
    <row r="602" ht="14.25" customHeight="1" spans="4:7">
      <c r="D602" s="93"/>
      <c r="E602" s="94"/>
      <c r="F602" s="95"/>
      <c r="G602" s="96"/>
    </row>
    <row r="603" ht="14.25" customHeight="1" spans="4:7">
      <c r="D603" s="93"/>
      <c r="E603" s="94"/>
      <c r="F603" s="95"/>
      <c r="G603" s="96"/>
    </row>
    <row r="604" ht="14.25" customHeight="1" spans="4:7">
      <c r="D604" s="93"/>
      <c r="E604" s="94"/>
      <c r="F604" s="95"/>
      <c r="G604" s="96"/>
    </row>
    <row r="605" ht="14.25" customHeight="1" spans="4:7">
      <c r="D605" s="93"/>
      <c r="E605" s="94"/>
      <c r="F605" s="95"/>
      <c r="G605" s="96"/>
    </row>
    <row r="606" ht="14.25" customHeight="1" spans="4:7">
      <c r="D606" s="93"/>
      <c r="E606" s="94"/>
      <c r="F606" s="95"/>
      <c r="G606" s="96"/>
    </row>
    <row r="607" ht="14.25" customHeight="1" spans="4:7">
      <c r="D607" s="93"/>
      <c r="E607" s="94"/>
      <c r="F607" s="95"/>
      <c r="G607" s="96"/>
    </row>
    <row r="608" ht="14.25" customHeight="1" spans="4:7">
      <c r="D608" s="93"/>
      <c r="E608" s="94"/>
      <c r="F608" s="95"/>
      <c r="G608" s="96"/>
    </row>
    <row r="609" ht="14.25" customHeight="1" spans="4:7">
      <c r="D609" s="93"/>
      <c r="E609" s="94"/>
      <c r="F609" s="95"/>
      <c r="G609" s="96"/>
    </row>
    <row r="610" ht="14.25" customHeight="1" spans="4:7">
      <c r="D610" s="93"/>
      <c r="E610" s="94"/>
      <c r="F610" s="95"/>
      <c r="G610" s="96"/>
    </row>
    <row r="611" ht="14.25" customHeight="1" spans="4:7">
      <c r="D611" s="93"/>
      <c r="E611" s="94"/>
      <c r="F611" s="95"/>
      <c r="G611" s="96"/>
    </row>
    <row r="612" ht="14.25" customHeight="1" spans="4:7">
      <c r="D612" s="93"/>
      <c r="E612" s="94"/>
      <c r="F612" s="95"/>
      <c r="G612" s="96"/>
    </row>
    <row r="613" ht="14.25" customHeight="1" spans="4:7">
      <c r="D613" s="93"/>
      <c r="E613" s="94"/>
      <c r="F613" s="95"/>
      <c r="G613" s="96"/>
    </row>
    <row r="614" ht="14.25" customHeight="1" spans="4:7">
      <c r="D614" s="93"/>
      <c r="E614" s="94"/>
      <c r="F614" s="95"/>
      <c r="G614" s="96"/>
    </row>
    <row r="615" ht="14.25" customHeight="1" spans="4:7">
      <c r="D615" s="93"/>
      <c r="E615" s="94"/>
      <c r="F615" s="95"/>
      <c r="G615" s="96"/>
    </row>
    <row r="616" ht="14.25" customHeight="1" spans="4:7">
      <c r="D616" s="93"/>
      <c r="E616" s="94"/>
      <c r="F616" s="95"/>
      <c r="G616" s="96"/>
    </row>
    <row r="617" ht="14.25" customHeight="1" spans="4:7">
      <c r="D617" s="93"/>
      <c r="E617" s="94"/>
      <c r="F617" s="95"/>
      <c r="G617" s="96"/>
    </row>
    <row r="618" ht="14.25" customHeight="1" spans="4:7">
      <c r="D618" s="93"/>
      <c r="E618" s="94"/>
      <c r="F618" s="95"/>
      <c r="G618" s="96"/>
    </row>
    <row r="619" ht="14.25" customHeight="1" spans="4:7">
      <c r="D619" s="93"/>
      <c r="E619" s="94"/>
      <c r="F619" s="95"/>
      <c r="G619" s="96"/>
    </row>
    <row r="620" ht="14.25" customHeight="1" spans="4:7">
      <c r="D620" s="93"/>
      <c r="E620" s="94"/>
      <c r="F620" s="95"/>
      <c r="G620" s="96"/>
    </row>
    <row r="621" ht="14.25" customHeight="1" spans="4:7">
      <c r="D621" s="93"/>
      <c r="E621" s="94"/>
      <c r="F621" s="95"/>
      <c r="G621" s="96"/>
    </row>
    <row r="622" ht="14.25" customHeight="1" spans="4:7">
      <c r="D622" s="93"/>
      <c r="E622" s="94"/>
      <c r="F622" s="95"/>
      <c r="G622" s="96"/>
    </row>
    <row r="623" ht="14.25" customHeight="1" spans="4:7">
      <c r="D623" s="93"/>
      <c r="E623" s="94"/>
      <c r="F623" s="95"/>
      <c r="G623" s="96"/>
    </row>
    <row r="624" ht="14.25" customHeight="1" spans="4:7">
      <c r="D624" s="93"/>
      <c r="E624" s="94"/>
      <c r="F624" s="95"/>
      <c r="G624" s="96"/>
    </row>
    <row r="625" ht="14.25" customHeight="1" spans="4:7">
      <c r="D625" s="93"/>
      <c r="E625" s="94"/>
      <c r="F625" s="95"/>
      <c r="G625" s="96"/>
    </row>
    <row r="626" ht="14.25" customHeight="1" spans="4:7">
      <c r="D626" s="93"/>
      <c r="E626" s="94"/>
      <c r="F626" s="95"/>
      <c r="G626" s="96"/>
    </row>
    <row r="627" ht="14.25" customHeight="1" spans="4:7">
      <c r="D627" s="93"/>
      <c r="E627" s="94"/>
      <c r="F627" s="95"/>
      <c r="G627" s="96"/>
    </row>
    <row r="628" ht="14.25" customHeight="1" spans="4:7">
      <c r="D628" s="93"/>
      <c r="E628" s="94"/>
      <c r="F628" s="95"/>
      <c r="G628" s="96"/>
    </row>
    <row r="629" ht="14.25" customHeight="1" spans="4:7">
      <c r="D629" s="93"/>
      <c r="E629" s="94"/>
      <c r="F629" s="95"/>
      <c r="G629" s="96"/>
    </row>
    <row r="630" ht="14.25" customHeight="1" spans="4:7">
      <c r="D630" s="93"/>
      <c r="E630" s="94"/>
      <c r="F630" s="95"/>
      <c r="G630" s="96"/>
    </row>
    <row r="631" ht="14.25" customHeight="1" spans="4:7">
      <c r="D631" s="93"/>
      <c r="E631" s="94"/>
      <c r="F631" s="95"/>
      <c r="G631" s="96"/>
    </row>
    <row r="632" ht="14.25" customHeight="1" spans="4:7">
      <c r="D632" s="93"/>
      <c r="E632" s="94"/>
      <c r="F632" s="95"/>
      <c r="G632" s="96"/>
    </row>
    <row r="633" ht="14.25" customHeight="1" spans="4:7">
      <c r="D633" s="93"/>
      <c r="E633" s="94"/>
      <c r="F633" s="95"/>
      <c r="G633" s="96"/>
    </row>
    <row r="634" ht="14.25" customHeight="1" spans="4:7">
      <c r="D634" s="93"/>
      <c r="E634" s="94"/>
      <c r="F634" s="95"/>
      <c r="G634" s="96"/>
    </row>
    <row r="635" ht="14.25" customHeight="1" spans="4:7">
      <c r="D635" s="93"/>
      <c r="E635" s="94"/>
      <c r="F635" s="95"/>
      <c r="G635" s="96"/>
    </row>
    <row r="636" ht="14.25" customHeight="1" spans="4:7">
      <c r="D636" s="93"/>
      <c r="E636" s="94"/>
      <c r="F636" s="95"/>
      <c r="G636" s="96"/>
    </row>
    <row r="637" ht="14.25" customHeight="1" spans="4:7">
      <c r="D637" s="93"/>
      <c r="E637" s="94"/>
      <c r="F637" s="95"/>
      <c r="G637" s="96"/>
    </row>
    <row r="638" ht="14.25" customHeight="1" spans="4:7">
      <c r="D638" s="93"/>
      <c r="E638" s="94"/>
      <c r="F638" s="95"/>
      <c r="G638" s="96"/>
    </row>
    <row r="639" ht="14.25" customHeight="1" spans="4:7">
      <c r="D639" s="93"/>
      <c r="E639" s="94"/>
      <c r="F639" s="95"/>
      <c r="G639" s="96"/>
    </row>
    <row r="640" ht="14.25" customHeight="1" spans="4:7">
      <c r="D640" s="93"/>
      <c r="E640" s="94"/>
      <c r="F640" s="95"/>
      <c r="G640" s="96"/>
    </row>
    <row r="641" ht="14.25" customHeight="1" spans="4:7">
      <c r="D641" s="93"/>
      <c r="E641" s="94"/>
      <c r="F641" s="95"/>
      <c r="G641" s="96"/>
    </row>
    <row r="642" ht="14.25" customHeight="1" spans="4:7">
      <c r="D642" s="93"/>
      <c r="E642" s="94"/>
      <c r="F642" s="95"/>
      <c r="G642" s="96"/>
    </row>
    <row r="643" ht="14.25" customHeight="1" spans="4:7">
      <c r="D643" s="93"/>
      <c r="E643" s="94"/>
      <c r="F643" s="95"/>
      <c r="G643" s="96"/>
    </row>
    <row r="644" ht="14.25" customHeight="1" spans="4:7">
      <c r="D644" s="93"/>
      <c r="E644" s="94"/>
      <c r="F644" s="95"/>
      <c r="G644" s="96"/>
    </row>
    <row r="645" ht="14.25" customHeight="1" spans="4:7">
      <c r="D645" s="93"/>
      <c r="E645" s="94"/>
      <c r="F645" s="95"/>
      <c r="G645" s="96"/>
    </row>
    <row r="646" ht="14.25" customHeight="1" spans="4:7">
      <c r="D646" s="93"/>
      <c r="E646" s="94"/>
      <c r="F646" s="95"/>
      <c r="G646" s="96"/>
    </row>
    <row r="647" ht="14.25" customHeight="1" spans="4:7">
      <c r="D647" s="93"/>
      <c r="E647" s="94"/>
      <c r="F647" s="95"/>
      <c r="G647" s="96"/>
    </row>
    <row r="648" ht="14.25" customHeight="1" spans="4:7">
      <c r="D648" s="93"/>
      <c r="E648" s="94"/>
      <c r="F648" s="95"/>
      <c r="G648" s="96"/>
    </row>
    <row r="649" ht="14.25" customHeight="1" spans="4:7">
      <c r="D649" s="93"/>
      <c r="E649" s="94"/>
      <c r="F649" s="95"/>
      <c r="G649" s="96"/>
    </row>
    <row r="650" ht="14.25" customHeight="1" spans="4:7">
      <c r="D650" s="93"/>
      <c r="E650" s="94"/>
      <c r="F650" s="95"/>
      <c r="G650" s="96"/>
    </row>
    <row r="651" ht="14.25" customHeight="1" spans="4:7">
      <c r="D651" s="93"/>
      <c r="E651" s="94"/>
      <c r="F651" s="95"/>
      <c r="G651" s="96"/>
    </row>
    <row r="652" ht="14.25" customHeight="1" spans="4:7">
      <c r="D652" s="93"/>
      <c r="E652" s="94"/>
      <c r="F652" s="95"/>
      <c r="G652" s="96"/>
    </row>
    <row r="653" ht="14.25" customHeight="1" spans="4:7">
      <c r="D653" s="93"/>
      <c r="E653" s="94"/>
      <c r="F653" s="95"/>
      <c r="G653" s="96"/>
    </row>
    <row r="654" ht="14.25" customHeight="1" spans="4:7">
      <c r="D654" s="93"/>
      <c r="E654" s="94"/>
      <c r="F654" s="95"/>
      <c r="G654" s="96"/>
    </row>
    <row r="655" ht="14.25" customHeight="1" spans="4:7">
      <c r="D655" s="93"/>
      <c r="E655" s="94"/>
      <c r="F655" s="95"/>
      <c r="G655" s="96"/>
    </row>
    <row r="656" ht="14.25" customHeight="1" spans="4:7">
      <c r="D656" s="93"/>
      <c r="E656" s="94"/>
      <c r="F656" s="95"/>
      <c r="G656" s="96"/>
    </row>
    <row r="657" ht="14.25" customHeight="1" spans="4:7">
      <c r="D657" s="93"/>
      <c r="E657" s="94"/>
      <c r="F657" s="95"/>
      <c r="G657" s="96"/>
    </row>
    <row r="658" ht="14.25" customHeight="1" spans="4:7">
      <c r="D658" s="93"/>
      <c r="E658" s="94"/>
      <c r="F658" s="95"/>
      <c r="G658" s="96"/>
    </row>
    <row r="659" ht="14.25" customHeight="1" spans="4:7">
      <c r="D659" s="93"/>
      <c r="E659" s="94"/>
      <c r="F659" s="95"/>
      <c r="G659" s="96"/>
    </row>
    <row r="660" ht="14.25" customHeight="1" spans="4:7">
      <c r="D660" s="93"/>
      <c r="E660" s="94"/>
      <c r="F660" s="95"/>
      <c r="G660" s="96"/>
    </row>
    <row r="661" ht="14.25" customHeight="1" spans="4:7">
      <c r="D661" s="93"/>
      <c r="E661" s="94"/>
      <c r="F661" s="95"/>
      <c r="G661" s="96"/>
    </row>
    <row r="662" ht="14.25" customHeight="1" spans="4:7">
      <c r="D662" s="93"/>
      <c r="E662" s="94"/>
      <c r="F662" s="95"/>
      <c r="G662" s="96"/>
    </row>
    <row r="663" ht="14.25" customHeight="1" spans="4:7">
      <c r="D663" s="93"/>
      <c r="E663" s="94"/>
      <c r="F663" s="95"/>
      <c r="G663" s="96"/>
    </row>
    <row r="664" ht="14.25" customHeight="1" spans="4:7">
      <c r="D664" s="93"/>
      <c r="E664" s="94"/>
      <c r="F664" s="95"/>
      <c r="G664" s="96"/>
    </row>
    <row r="665" ht="14.25" customHeight="1" spans="4:7">
      <c r="D665" s="93"/>
      <c r="E665" s="94"/>
      <c r="F665" s="95"/>
      <c r="G665" s="96"/>
    </row>
    <row r="666" ht="14.25" customHeight="1" spans="4:7">
      <c r="D666" s="93"/>
      <c r="E666" s="94"/>
      <c r="F666" s="95"/>
      <c r="G666" s="96"/>
    </row>
    <row r="667" ht="14.25" customHeight="1" spans="4:7">
      <c r="D667" s="93"/>
      <c r="E667" s="94"/>
      <c r="F667" s="95"/>
      <c r="G667" s="96"/>
    </row>
    <row r="668" ht="14.25" customHeight="1" spans="4:7">
      <c r="D668" s="93"/>
      <c r="E668" s="94"/>
      <c r="F668" s="95"/>
      <c r="G668" s="96"/>
    </row>
    <row r="669" ht="14.25" customHeight="1" spans="4:7">
      <c r="D669" s="93"/>
      <c r="E669" s="94"/>
      <c r="F669" s="95"/>
      <c r="G669" s="96"/>
    </row>
    <row r="670" ht="14.25" customHeight="1" spans="4:7">
      <c r="D670" s="93"/>
      <c r="E670" s="94"/>
      <c r="F670" s="95"/>
      <c r="G670" s="96"/>
    </row>
    <row r="671" ht="14.25" customHeight="1" spans="4:7">
      <c r="D671" s="93"/>
      <c r="E671" s="94"/>
      <c r="F671" s="95"/>
      <c r="G671" s="96"/>
    </row>
    <row r="672" ht="14.25" customHeight="1" spans="4:7">
      <c r="D672" s="93"/>
      <c r="E672" s="94"/>
      <c r="F672" s="95"/>
      <c r="G672" s="96"/>
    </row>
    <row r="673" ht="14.25" customHeight="1" spans="4:7">
      <c r="D673" s="93"/>
      <c r="E673" s="94"/>
      <c r="F673" s="95"/>
      <c r="G673" s="96"/>
    </row>
    <row r="674" ht="14.25" customHeight="1" spans="4:7">
      <c r="D674" s="93"/>
      <c r="E674" s="94"/>
      <c r="F674" s="95"/>
      <c r="G674" s="96"/>
    </row>
    <row r="675" ht="14.25" customHeight="1" spans="4:7">
      <c r="D675" s="93"/>
      <c r="E675" s="94"/>
      <c r="F675" s="95"/>
      <c r="G675" s="96"/>
    </row>
    <row r="676" ht="14.25" customHeight="1" spans="4:7">
      <c r="D676" s="93"/>
      <c r="E676" s="94"/>
      <c r="F676" s="95"/>
      <c r="G676" s="96"/>
    </row>
    <row r="677" ht="14.25" customHeight="1" spans="4:7">
      <c r="D677" s="93"/>
      <c r="E677" s="94"/>
      <c r="F677" s="95"/>
      <c r="G677" s="96"/>
    </row>
    <row r="678" ht="14.25" customHeight="1" spans="4:7">
      <c r="D678" s="93"/>
      <c r="E678" s="94"/>
      <c r="F678" s="95"/>
      <c r="G678" s="96"/>
    </row>
    <row r="679" ht="14.25" customHeight="1" spans="4:7">
      <c r="D679" s="93"/>
      <c r="E679" s="94"/>
      <c r="F679" s="95"/>
      <c r="G679" s="96"/>
    </row>
    <row r="680" ht="14.25" customHeight="1" spans="4:7">
      <c r="D680" s="93"/>
      <c r="E680" s="94"/>
      <c r="F680" s="95"/>
      <c r="G680" s="96"/>
    </row>
    <row r="681" ht="14.25" customHeight="1" spans="4:7">
      <c r="D681" s="93"/>
      <c r="E681" s="94"/>
      <c r="F681" s="95"/>
      <c r="G681" s="96"/>
    </row>
    <row r="682" ht="14.25" customHeight="1" spans="4:7">
      <c r="D682" s="93"/>
      <c r="E682" s="94"/>
      <c r="F682" s="95"/>
      <c r="G682" s="96"/>
    </row>
    <row r="683" ht="14.25" customHeight="1" spans="4:7">
      <c r="D683" s="93"/>
      <c r="E683" s="94"/>
      <c r="F683" s="95"/>
      <c r="G683" s="96"/>
    </row>
    <row r="684" ht="14.25" customHeight="1" spans="4:7">
      <c r="D684" s="93"/>
      <c r="E684" s="94"/>
      <c r="F684" s="95"/>
      <c r="G684" s="96"/>
    </row>
    <row r="685" ht="14.25" customHeight="1" spans="4:7">
      <c r="D685" s="93"/>
      <c r="E685" s="94"/>
      <c r="F685" s="95"/>
      <c r="G685" s="96"/>
    </row>
    <row r="686" ht="14.25" customHeight="1" spans="4:7">
      <c r="D686" s="93"/>
      <c r="E686" s="94"/>
      <c r="F686" s="95"/>
      <c r="G686" s="96"/>
    </row>
    <row r="687" ht="14.25" customHeight="1" spans="4:7">
      <c r="D687" s="93"/>
      <c r="E687" s="94"/>
      <c r="F687" s="95"/>
      <c r="G687" s="96"/>
    </row>
    <row r="688" ht="14.25" customHeight="1" spans="4:7">
      <c r="D688" s="93"/>
      <c r="E688" s="94"/>
      <c r="F688" s="95"/>
      <c r="G688" s="96"/>
    </row>
    <row r="689" ht="14.25" customHeight="1" spans="4:7">
      <c r="D689" s="93"/>
      <c r="E689" s="94"/>
      <c r="F689" s="95"/>
      <c r="G689" s="96"/>
    </row>
    <row r="690" ht="14.25" customHeight="1" spans="4:7">
      <c r="D690" s="93"/>
      <c r="E690" s="94"/>
      <c r="F690" s="95"/>
      <c r="G690" s="96"/>
    </row>
    <row r="691" ht="14.25" customHeight="1" spans="4:7">
      <c r="D691" s="93"/>
      <c r="E691" s="94"/>
      <c r="F691" s="95"/>
      <c r="G691" s="96"/>
    </row>
    <row r="692" ht="14.25" customHeight="1" spans="4:7">
      <c r="D692" s="93"/>
      <c r="E692" s="94"/>
      <c r="F692" s="95"/>
      <c r="G692" s="96"/>
    </row>
    <row r="693" ht="14.25" customHeight="1" spans="4:7">
      <c r="D693" s="93"/>
      <c r="E693" s="94"/>
      <c r="F693" s="95"/>
      <c r="G693" s="96"/>
    </row>
    <row r="694" ht="14.25" customHeight="1" spans="4:7">
      <c r="D694" s="93"/>
      <c r="E694" s="94"/>
      <c r="F694" s="95"/>
      <c r="G694" s="96"/>
    </row>
    <row r="695" ht="14.25" customHeight="1" spans="4:7">
      <c r="D695" s="93"/>
      <c r="E695" s="94"/>
      <c r="F695" s="95"/>
      <c r="G695" s="96"/>
    </row>
    <row r="696" ht="14.25" customHeight="1" spans="4:7">
      <c r="D696" s="93"/>
      <c r="E696" s="94"/>
      <c r="F696" s="95"/>
      <c r="G696" s="96"/>
    </row>
    <row r="697" ht="14.25" customHeight="1" spans="4:7">
      <c r="D697" s="93"/>
      <c r="E697" s="94"/>
      <c r="F697" s="95"/>
      <c r="G697" s="96"/>
    </row>
    <row r="698" ht="14.25" customHeight="1" spans="4:7">
      <c r="D698" s="93"/>
      <c r="E698" s="94"/>
      <c r="F698" s="95"/>
      <c r="G698" s="96"/>
    </row>
    <row r="699" ht="14.25" customHeight="1" spans="4:7">
      <c r="D699" s="93"/>
      <c r="E699" s="94"/>
      <c r="F699" s="95"/>
      <c r="G699" s="96"/>
    </row>
    <row r="700" ht="14.25" customHeight="1" spans="4:7">
      <c r="D700" s="93"/>
      <c r="E700" s="94"/>
      <c r="F700" s="95"/>
      <c r="G700" s="96"/>
    </row>
    <row r="701" ht="14.25" customHeight="1" spans="4:7">
      <c r="D701" s="93"/>
      <c r="E701" s="94"/>
      <c r="F701" s="95"/>
      <c r="G701" s="96"/>
    </row>
    <row r="702" ht="14.25" customHeight="1" spans="4:7">
      <c r="D702" s="93"/>
      <c r="E702" s="94"/>
      <c r="F702" s="95"/>
      <c r="G702" s="96"/>
    </row>
    <row r="703" ht="14.25" customHeight="1" spans="4:7">
      <c r="D703" s="93"/>
      <c r="E703" s="94"/>
      <c r="F703" s="95"/>
      <c r="G703" s="96"/>
    </row>
    <row r="704" ht="14.25" customHeight="1" spans="4:7">
      <c r="D704" s="93"/>
      <c r="E704" s="94"/>
      <c r="F704" s="95"/>
      <c r="G704" s="96"/>
    </row>
    <row r="705" ht="14.25" customHeight="1" spans="4:7">
      <c r="D705" s="93"/>
      <c r="E705" s="94"/>
      <c r="F705" s="95"/>
      <c r="G705" s="96"/>
    </row>
    <row r="706" ht="14.25" customHeight="1" spans="4:7">
      <c r="D706" s="93"/>
      <c r="E706" s="94"/>
      <c r="F706" s="95"/>
      <c r="G706" s="96"/>
    </row>
    <row r="707" ht="14.25" customHeight="1" spans="4:7">
      <c r="D707" s="93"/>
      <c r="E707" s="94"/>
      <c r="F707" s="95"/>
      <c r="G707" s="96"/>
    </row>
    <row r="708" ht="14.25" customHeight="1" spans="4:7">
      <c r="D708" s="93"/>
      <c r="E708" s="94"/>
      <c r="F708" s="95"/>
      <c r="G708" s="96"/>
    </row>
    <row r="709" ht="14.25" customHeight="1" spans="4:7">
      <c r="D709" s="93"/>
      <c r="E709" s="94"/>
      <c r="F709" s="95"/>
      <c r="G709" s="96"/>
    </row>
    <row r="710" ht="14.25" customHeight="1" spans="4:7">
      <c r="D710" s="93"/>
      <c r="E710" s="94"/>
      <c r="F710" s="95"/>
      <c r="G710" s="96"/>
    </row>
    <row r="711" ht="14.25" customHeight="1" spans="4:7">
      <c r="D711" s="93"/>
      <c r="E711" s="94"/>
      <c r="F711" s="95"/>
      <c r="G711" s="96"/>
    </row>
    <row r="712" ht="14.25" customHeight="1" spans="4:7">
      <c r="D712" s="93"/>
      <c r="E712" s="94"/>
      <c r="F712" s="95"/>
      <c r="G712" s="96"/>
    </row>
    <row r="713" ht="14.25" customHeight="1" spans="4:7">
      <c r="D713" s="93"/>
      <c r="E713" s="94"/>
      <c r="F713" s="95"/>
      <c r="G713" s="96"/>
    </row>
    <row r="714" ht="14.25" customHeight="1" spans="4:7">
      <c r="D714" s="93"/>
      <c r="E714" s="94"/>
      <c r="F714" s="95"/>
      <c r="G714" s="96"/>
    </row>
    <row r="715" ht="14.25" customHeight="1" spans="4:7">
      <c r="D715" s="93"/>
      <c r="E715" s="94"/>
      <c r="F715" s="95"/>
      <c r="G715" s="96"/>
    </row>
    <row r="716" ht="14.25" customHeight="1" spans="4:7">
      <c r="D716" s="93"/>
      <c r="E716" s="94"/>
      <c r="F716" s="95"/>
      <c r="G716" s="96"/>
    </row>
    <row r="717" ht="14.25" customHeight="1" spans="4:7">
      <c r="D717" s="93"/>
      <c r="E717" s="94"/>
      <c r="F717" s="95"/>
      <c r="G717" s="96"/>
    </row>
    <row r="718" ht="14.25" customHeight="1" spans="4:7">
      <c r="D718" s="93"/>
      <c r="E718" s="94"/>
      <c r="F718" s="95"/>
      <c r="G718" s="96"/>
    </row>
    <row r="719" ht="14.25" customHeight="1" spans="4:7">
      <c r="D719" s="93"/>
      <c r="E719" s="94"/>
      <c r="F719" s="95"/>
      <c r="G719" s="96"/>
    </row>
    <row r="720" ht="14.25" customHeight="1" spans="4:7">
      <c r="D720" s="93"/>
      <c r="E720" s="94"/>
      <c r="F720" s="95"/>
      <c r="G720" s="96"/>
    </row>
    <row r="721" ht="14.25" customHeight="1" spans="4:7">
      <c r="D721" s="93"/>
      <c r="E721" s="94"/>
      <c r="F721" s="95"/>
      <c r="G721" s="96"/>
    </row>
    <row r="722" ht="14.25" customHeight="1" spans="4:7">
      <c r="D722" s="93"/>
      <c r="E722" s="94"/>
      <c r="F722" s="95"/>
      <c r="G722" s="96"/>
    </row>
    <row r="723" ht="14.25" customHeight="1" spans="4:7">
      <c r="D723" s="93"/>
      <c r="E723" s="94"/>
      <c r="F723" s="95"/>
      <c r="G723" s="96"/>
    </row>
    <row r="724" ht="14.25" customHeight="1" spans="4:7">
      <c r="D724" s="93"/>
      <c r="E724" s="94"/>
      <c r="F724" s="95"/>
      <c r="G724" s="96"/>
    </row>
    <row r="725" ht="14.25" customHeight="1" spans="4:7">
      <c r="D725" s="93"/>
      <c r="E725" s="94"/>
      <c r="F725" s="95"/>
      <c r="G725" s="96"/>
    </row>
    <row r="726" ht="14.25" customHeight="1" spans="4:7">
      <c r="D726" s="93"/>
      <c r="E726" s="94"/>
      <c r="F726" s="95"/>
      <c r="G726" s="96"/>
    </row>
    <row r="727" ht="14.25" customHeight="1" spans="4:7">
      <c r="D727" s="93"/>
      <c r="E727" s="94"/>
      <c r="F727" s="95"/>
      <c r="G727" s="96"/>
    </row>
    <row r="728" ht="14.25" customHeight="1" spans="4:7">
      <c r="D728" s="93"/>
      <c r="E728" s="94"/>
      <c r="F728" s="95"/>
      <c r="G728" s="96"/>
    </row>
    <row r="729" ht="14.25" customHeight="1" spans="4:7">
      <c r="D729" s="93"/>
      <c r="E729" s="94"/>
      <c r="F729" s="95"/>
      <c r="G729" s="96"/>
    </row>
    <row r="730" ht="14.25" customHeight="1" spans="4:7">
      <c r="D730" s="93"/>
      <c r="E730" s="94"/>
      <c r="F730" s="95"/>
      <c r="G730" s="96"/>
    </row>
    <row r="731" ht="14.25" customHeight="1" spans="4:7">
      <c r="D731" s="93"/>
      <c r="E731" s="94"/>
      <c r="F731" s="95"/>
      <c r="G731" s="96"/>
    </row>
    <row r="732" ht="14.25" customHeight="1" spans="4:7">
      <c r="D732" s="93"/>
      <c r="E732" s="94"/>
      <c r="F732" s="95"/>
      <c r="G732" s="96"/>
    </row>
    <row r="733" ht="14.25" customHeight="1" spans="4:7">
      <c r="D733" s="93"/>
      <c r="E733" s="94"/>
      <c r="F733" s="95"/>
      <c r="G733" s="96"/>
    </row>
    <row r="734" ht="14.25" customHeight="1" spans="4:7">
      <c r="D734" s="93"/>
      <c r="E734" s="94"/>
      <c r="F734" s="95"/>
      <c r="G734" s="96"/>
    </row>
    <row r="735" ht="14.25" customHeight="1" spans="4:7">
      <c r="D735" s="93"/>
      <c r="E735" s="94"/>
      <c r="F735" s="95"/>
      <c r="G735" s="96"/>
    </row>
    <row r="736" ht="14.25" customHeight="1" spans="4:7">
      <c r="D736" s="93"/>
      <c r="E736" s="94"/>
      <c r="F736" s="95"/>
      <c r="G736" s="96"/>
    </row>
    <row r="737" ht="14.25" customHeight="1" spans="4:7">
      <c r="D737" s="93"/>
      <c r="E737" s="94"/>
      <c r="F737" s="95"/>
      <c r="G737" s="96"/>
    </row>
    <row r="738" ht="14.25" customHeight="1" spans="4:7">
      <c r="D738" s="93"/>
      <c r="E738" s="94"/>
      <c r="F738" s="95"/>
      <c r="G738" s="96"/>
    </row>
    <row r="739" ht="14.25" customHeight="1" spans="4:7">
      <c r="D739" s="93"/>
      <c r="E739" s="94"/>
      <c r="F739" s="95"/>
      <c r="G739" s="96"/>
    </row>
    <row r="740" ht="14.25" customHeight="1" spans="4:7">
      <c r="D740" s="93"/>
      <c r="E740" s="94"/>
      <c r="F740" s="95"/>
      <c r="G740" s="96"/>
    </row>
    <row r="741" ht="14.25" customHeight="1" spans="4:7">
      <c r="D741" s="93"/>
      <c r="E741" s="94"/>
      <c r="F741" s="95"/>
      <c r="G741" s="96"/>
    </row>
    <row r="742" ht="14.25" customHeight="1" spans="4:7">
      <c r="D742" s="93"/>
      <c r="E742" s="94"/>
      <c r="F742" s="95"/>
      <c r="G742" s="96"/>
    </row>
    <row r="743" ht="14.25" customHeight="1" spans="4:7">
      <c r="D743" s="93"/>
      <c r="E743" s="94"/>
      <c r="F743" s="95"/>
      <c r="G743" s="96"/>
    </row>
    <row r="744" ht="14.25" customHeight="1" spans="4:7">
      <c r="D744" s="93"/>
      <c r="E744" s="94"/>
      <c r="F744" s="95"/>
      <c r="G744" s="96"/>
    </row>
    <row r="745" ht="14.25" customHeight="1" spans="4:7">
      <c r="D745" s="93"/>
      <c r="E745" s="94"/>
      <c r="F745" s="95"/>
      <c r="G745" s="96"/>
    </row>
    <row r="746" ht="14.25" customHeight="1" spans="4:7">
      <c r="D746" s="93"/>
      <c r="E746" s="94"/>
      <c r="F746" s="95"/>
      <c r="G746" s="96"/>
    </row>
    <row r="747" ht="14.25" customHeight="1" spans="4:7">
      <c r="D747" s="93"/>
      <c r="E747" s="94"/>
      <c r="F747" s="95"/>
      <c r="G747" s="96"/>
    </row>
    <row r="748" ht="14.25" customHeight="1" spans="4:7">
      <c r="D748" s="93"/>
      <c r="E748" s="94"/>
      <c r="F748" s="95"/>
      <c r="G748" s="96"/>
    </row>
    <row r="749" ht="14.25" customHeight="1" spans="4:7">
      <c r="D749" s="93"/>
      <c r="E749" s="94"/>
      <c r="F749" s="95"/>
      <c r="G749" s="96"/>
    </row>
    <row r="750" ht="14.25" customHeight="1" spans="4:7">
      <c r="D750" s="93"/>
      <c r="E750" s="94"/>
      <c r="F750" s="95"/>
      <c r="G750" s="96"/>
    </row>
    <row r="751" ht="14.25" customHeight="1" spans="4:7">
      <c r="D751" s="93"/>
      <c r="E751" s="94"/>
      <c r="F751" s="95"/>
      <c r="G751" s="96"/>
    </row>
    <row r="752" ht="14.25" customHeight="1" spans="4:7">
      <c r="D752" s="93"/>
      <c r="E752" s="94"/>
      <c r="F752" s="95"/>
      <c r="G752" s="96"/>
    </row>
    <row r="753" ht="14.25" customHeight="1" spans="4:7">
      <c r="D753" s="93"/>
      <c r="E753" s="94"/>
      <c r="F753" s="95"/>
      <c r="G753" s="96"/>
    </row>
    <row r="754" ht="14.25" customHeight="1" spans="4:7">
      <c r="D754" s="93"/>
      <c r="E754" s="94"/>
      <c r="F754" s="95"/>
      <c r="G754" s="96"/>
    </row>
    <row r="755" ht="14.25" customHeight="1" spans="4:7">
      <c r="D755" s="93"/>
      <c r="E755" s="94"/>
      <c r="F755" s="95"/>
      <c r="G755" s="96"/>
    </row>
    <row r="756" ht="14.25" customHeight="1" spans="4:7">
      <c r="D756" s="93"/>
      <c r="E756" s="94"/>
      <c r="F756" s="95"/>
      <c r="G756" s="96"/>
    </row>
    <row r="757" ht="14.25" customHeight="1" spans="4:7">
      <c r="D757" s="93"/>
      <c r="E757" s="94"/>
      <c r="F757" s="95"/>
      <c r="G757" s="96"/>
    </row>
    <row r="758" ht="14.25" customHeight="1" spans="4:7">
      <c r="D758" s="93"/>
      <c r="E758" s="94"/>
      <c r="F758" s="95"/>
      <c r="G758" s="96"/>
    </row>
    <row r="759" ht="14.25" customHeight="1" spans="4:7">
      <c r="D759" s="93"/>
      <c r="E759" s="94"/>
      <c r="F759" s="95"/>
      <c r="G759" s="96"/>
    </row>
    <row r="760" ht="14.25" customHeight="1" spans="4:7">
      <c r="D760" s="93"/>
      <c r="E760" s="94"/>
      <c r="F760" s="95"/>
      <c r="G760" s="96"/>
    </row>
    <row r="761" ht="14.25" customHeight="1" spans="4:7">
      <c r="D761" s="93"/>
      <c r="E761" s="94"/>
      <c r="F761" s="95"/>
      <c r="G761" s="96"/>
    </row>
    <row r="762" ht="14.25" customHeight="1" spans="4:7">
      <c r="D762" s="93"/>
      <c r="E762" s="94"/>
      <c r="F762" s="95"/>
      <c r="G762" s="96"/>
    </row>
    <row r="763" ht="14.25" customHeight="1" spans="4:7">
      <c r="D763" s="93"/>
      <c r="E763" s="94"/>
      <c r="F763" s="95"/>
      <c r="G763" s="96"/>
    </row>
    <row r="764" ht="14.25" customHeight="1" spans="4:7">
      <c r="D764" s="93"/>
      <c r="E764" s="94"/>
      <c r="F764" s="95"/>
      <c r="G764" s="96"/>
    </row>
    <row r="765" ht="14.25" customHeight="1" spans="4:7">
      <c r="D765" s="93"/>
      <c r="E765" s="94"/>
      <c r="F765" s="95"/>
      <c r="G765" s="96"/>
    </row>
    <row r="766" ht="14.25" customHeight="1" spans="4:7">
      <c r="D766" s="93"/>
      <c r="E766" s="94"/>
      <c r="F766" s="95"/>
      <c r="G766" s="96"/>
    </row>
    <row r="767" ht="14.25" customHeight="1" spans="4:7">
      <c r="D767" s="93"/>
      <c r="E767" s="94"/>
      <c r="F767" s="95"/>
      <c r="G767" s="96"/>
    </row>
    <row r="768" ht="14.25" customHeight="1" spans="4:7">
      <c r="D768" s="93"/>
      <c r="E768" s="94"/>
      <c r="F768" s="95"/>
      <c r="G768" s="96"/>
    </row>
    <row r="769" ht="14.25" customHeight="1" spans="4:7">
      <c r="D769" s="93"/>
      <c r="E769" s="94"/>
      <c r="F769" s="95"/>
      <c r="G769" s="96"/>
    </row>
    <row r="770" ht="14.25" customHeight="1" spans="4:7">
      <c r="D770" s="93"/>
      <c r="E770" s="94"/>
      <c r="F770" s="95"/>
      <c r="G770" s="96"/>
    </row>
    <row r="771" ht="14.25" customHeight="1" spans="4:7">
      <c r="D771" s="93"/>
      <c r="E771" s="94"/>
      <c r="F771" s="95"/>
      <c r="G771" s="96"/>
    </row>
    <row r="772" ht="14.25" customHeight="1" spans="4:7">
      <c r="D772" s="93"/>
      <c r="E772" s="94"/>
      <c r="F772" s="95"/>
      <c r="G772" s="96"/>
    </row>
    <row r="773" ht="14.25" customHeight="1" spans="4:7">
      <c r="D773" s="93"/>
      <c r="E773" s="94"/>
      <c r="F773" s="95"/>
      <c r="G773" s="96"/>
    </row>
    <row r="774" ht="14.25" customHeight="1" spans="4:7">
      <c r="D774" s="93"/>
      <c r="E774" s="94"/>
      <c r="F774" s="95"/>
      <c r="G774" s="96"/>
    </row>
    <row r="775" ht="14.25" customHeight="1" spans="4:7">
      <c r="D775" s="93"/>
      <c r="E775" s="94"/>
      <c r="F775" s="95"/>
      <c r="G775" s="96"/>
    </row>
    <row r="776" ht="14.25" customHeight="1" spans="4:7">
      <c r="D776" s="93"/>
      <c r="E776" s="94"/>
      <c r="F776" s="95"/>
      <c r="G776" s="96"/>
    </row>
    <row r="777" ht="14.25" customHeight="1" spans="4:7">
      <c r="D777" s="93"/>
      <c r="E777" s="94"/>
      <c r="F777" s="95"/>
      <c r="G777" s="96"/>
    </row>
    <row r="778" ht="14.25" customHeight="1" spans="4:7">
      <c r="D778" s="93"/>
      <c r="E778" s="94"/>
      <c r="F778" s="95"/>
      <c r="G778" s="96"/>
    </row>
    <row r="779" ht="14.25" customHeight="1" spans="4:7">
      <c r="D779" s="93"/>
      <c r="E779" s="94"/>
      <c r="F779" s="95"/>
      <c r="G779" s="96"/>
    </row>
    <row r="780" ht="14.25" customHeight="1" spans="4:7">
      <c r="D780" s="93"/>
      <c r="E780" s="94"/>
      <c r="F780" s="95"/>
      <c r="G780" s="96"/>
    </row>
    <row r="781" ht="14.25" customHeight="1" spans="4:7">
      <c r="D781" s="93"/>
      <c r="E781" s="94"/>
      <c r="F781" s="95"/>
      <c r="G781" s="96"/>
    </row>
    <row r="782" ht="14.25" customHeight="1" spans="4:7">
      <c r="D782" s="93"/>
      <c r="E782" s="94"/>
      <c r="F782" s="95"/>
      <c r="G782" s="96"/>
    </row>
    <row r="783" ht="14.25" customHeight="1" spans="4:7">
      <c r="D783" s="93"/>
      <c r="E783" s="94"/>
      <c r="F783" s="95"/>
      <c r="G783" s="96"/>
    </row>
    <row r="784" ht="14.25" customHeight="1" spans="4:7">
      <c r="D784" s="93"/>
      <c r="E784" s="94"/>
      <c r="F784" s="95"/>
      <c r="G784" s="96"/>
    </row>
    <row r="785" ht="14.25" customHeight="1" spans="4:7">
      <c r="D785" s="93"/>
      <c r="E785" s="94"/>
      <c r="F785" s="95"/>
      <c r="G785" s="96"/>
    </row>
    <row r="786" ht="14.25" customHeight="1" spans="4:7">
      <c r="D786" s="93"/>
      <c r="E786" s="94"/>
      <c r="F786" s="95"/>
      <c r="G786" s="96"/>
    </row>
    <row r="787" ht="14.25" customHeight="1" spans="4:7">
      <c r="D787" s="93"/>
      <c r="E787" s="94"/>
      <c r="F787" s="95"/>
      <c r="G787" s="96"/>
    </row>
    <row r="788" ht="14.25" customHeight="1" spans="4:7">
      <c r="D788" s="93"/>
      <c r="E788" s="94"/>
      <c r="F788" s="95"/>
      <c r="G788" s="96"/>
    </row>
    <row r="789" ht="14.25" customHeight="1" spans="4:7">
      <c r="D789" s="93"/>
      <c r="E789" s="94"/>
      <c r="F789" s="95"/>
      <c r="G789" s="96"/>
    </row>
    <row r="790" ht="14.25" customHeight="1" spans="4:7">
      <c r="D790" s="93"/>
      <c r="E790" s="94"/>
      <c r="F790" s="95"/>
      <c r="G790" s="96"/>
    </row>
    <row r="791" ht="14.25" customHeight="1" spans="4:7">
      <c r="D791" s="93"/>
      <c r="E791" s="94"/>
      <c r="F791" s="95"/>
      <c r="G791" s="96"/>
    </row>
    <row r="792" ht="14.25" customHeight="1" spans="4:7">
      <c r="D792" s="93"/>
      <c r="E792" s="94"/>
      <c r="F792" s="95"/>
      <c r="G792" s="96"/>
    </row>
    <row r="793" ht="14.25" customHeight="1" spans="4:7">
      <c r="D793" s="93"/>
      <c r="E793" s="94"/>
      <c r="F793" s="95"/>
      <c r="G793" s="96"/>
    </row>
    <row r="794" ht="14.25" customHeight="1" spans="4:7">
      <c r="D794" s="93"/>
      <c r="E794" s="94"/>
      <c r="F794" s="95"/>
      <c r="G794" s="96"/>
    </row>
    <row r="795" ht="14.25" customHeight="1" spans="4:7">
      <c r="D795" s="93"/>
      <c r="E795" s="94"/>
      <c r="F795" s="95"/>
      <c r="G795" s="96"/>
    </row>
    <row r="796" ht="14.25" customHeight="1" spans="4:7">
      <c r="D796" s="93"/>
      <c r="E796" s="94"/>
      <c r="F796" s="95"/>
      <c r="G796" s="96"/>
    </row>
    <row r="797" ht="14.25" customHeight="1" spans="4:7">
      <c r="D797" s="93"/>
      <c r="E797" s="94"/>
      <c r="F797" s="95"/>
      <c r="G797" s="96"/>
    </row>
    <row r="798" ht="14.25" customHeight="1" spans="4:7">
      <c r="D798" s="93"/>
      <c r="E798" s="94"/>
      <c r="F798" s="95"/>
      <c r="G798" s="96"/>
    </row>
    <row r="799" ht="14.25" customHeight="1" spans="4:7">
      <c r="D799" s="93"/>
      <c r="E799" s="94"/>
      <c r="F799" s="95"/>
      <c r="G799" s="96"/>
    </row>
    <row r="800" ht="14.25" customHeight="1" spans="4:7">
      <c r="D800" s="93"/>
      <c r="E800" s="94"/>
      <c r="F800" s="95"/>
      <c r="G800" s="96"/>
    </row>
    <row r="801" ht="14.25" customHeight="1" spans="4:7">
      <c r="D801" s="93"/>
      <c r="E801" s="94"/>
      <c r="F801" s="95"/>
      <c r="G801" s="96"/>
    </row>
    <row r="802" ht="14.25" customHeight="1" spans="4:7">
      <c r="D802" s="93"/>
      <c r="E802" s="94"/>
      <c r="F802" s="95"/>
      <c r="G802" s="96"/>
    </row>
    <row r="803" ht="14.25" customHeight="1" spans="4:7">
      <c r="D803" s="93"/>
      <c r="E803" s="94"/>
      <c r="F803" s="95"/>
      <c r="G803" s="96"/>
    </row>
    <row r="804" ht="14.25" customHeight="1" spans="4:7">
      <c r="D804" s="93"/>
      <c r="E804" s="94"/>
      <c r="F804" s="95"/>
      <c r="G804" s="96"/>
    </row>
    <row r="805" ht="14.25" customHeight="1" spans="4:7">
      <c r="D805" s="93"/>
      <c r="E805" s="94"/>
      <c r="F805" s="95"/>
      <c r="G805" s="96"/>
    </row>
    <row r="806" ht="14.25" customHeight="1" spans="4:7">
      <c r="D806" s="93"/>
      <c r="E806" s="94"/>
      <c r="F806" s="95"/>
      <c r="G806" s="96"/>
    </row>
    <row r="807" ht="14.25" customHeight="1" spans="4:7">
      <c r="D807" s="93"/>
      <c r="E807" s="94"/>
      <c r="F807" s="95"/>
      <c r="G807" s="96"/>
    </row>
    <row r="808" ht="14.25" customHeight="1" spans="4:7">
      <c r="D808" s="93"/>
      <c r="E808" s="94"/>
      <c r="F808" s="95"/>
      <c r="G808" s="96"/>
    </row>
    <row r="809" ht="14.25" customHeight="1" spans="4:7">
      <c r="D809" s="93"/>
      <c r="E809" s="94"/>
      <c r="F809" s="95"/>
      <c r="G809" s="96"/>
    </row>
    <row r="810" ht="14.25" customHeight="1" spans="4:7">
      <c r="D810" s="93"/>
      <c r="E810" s="94"/>
      <c r="F810" s="95"/>
      <c r="G810" s="96"/>
    </row>
    <row r="811" ht="14.25" customHeight="1" spans="4:7">
      <c r="D811" s="93"/>
      <c r="E811" s="94"/>
      <c r="F811" s="95"/>
      <c r="G811" s="96"/>
    </row>
    <row r="812" ht="14.25" customHeight="1" spans="4:7">
      <c r="D812" s="93"/>
      <c r="E812" s="94"/>
      <c r="F812" s="95"/>
      <c r="G812" s="96"/>
    </row>
    <row r="813" ht="14.25" customHeight="1" spans="4:7">
      <c r="D813" s="93"/>
      <c r="E813" s="94"/>
      <c r="F813" s="95"/>
      <c r="G813" s="96"/>
    </row>
    <row r="814" ht="14.25" customHeight="1" spans="4:7">
      <c r="D814" s="93"/>
      <c r="E814" s="94"/>
      <c r="F814" s="95"/>
      <c r="G814" s="96"/>
    </row>
    <row r="815" ht="14.25" customHeight="1" spans="4:7">
      <c r="D815" s="93"/>
      <c r="E815" s="94"/>
      <c r="F815" s="95"/>
      <c r="G815" s="96"/>
    </row>
    <row r="816" ht="14.25" customHeight="1" spans="4:7">
      <c r="D816" s="93"/>
      <c r="E816" s="94"/>
      <c r="F816" s="95"/>
      <c r="G816" s="96"/>
    </row>
    <row r="817" ht="14.25" customHeight="1" spans="4:7">
      <c r="D817" s="93"/>
      <c r="E817" s="94"/>
      <c r="F817" s="95"/>
      <c r="G817" s="96"/>
    </row>
    <row r="818" ht="14.25" customHeight="1" spans="4:7">
      <c r="D818" s="93"/>
      <c r="E818" s="94"/>
      <c r="F818" s="95"/>
      <c r="G818" s="96"/>
    </row>
    <row r="819" ht="14.25" customHeight="1" spans="4:7">
      <c r="D819" s="93"/>
      <c r="E819" s="94"/>
      <c r="F819" s="95"/>
      <c r="G819" s="96"/>
    </row>
    <row r="820" ht="14.25" customHeight="1" spans="4:7">
      <c r="D820" s="93"/>
      <c r="E820" s="94"/>
      <c r="F820" s="95"/>
      <c r="G820" s="96"/>
    </row>
    <row r="821" ht="14.25" customHeight="1" spans="4:7">
      <c r="D821" s="93"/>
      <c r="E821" s="94"/>
      <c r="F821" s="95"/>
      <c r="G821" s="96"/>
    </row>
    <row r="822" ht="14.25" customHeight="1" spans="4:7">
      <c r="D822" s="93"/>
      <c r="E822" s="94"/>
      <c r="F822" s="95"/>
      <c r="G822" s="96"/>
    </row>
    <row r="823" ht="14.25" customHeight="1" spans="4:7">
      <c r="D823" s="93"/>
      <c r="E823" s="94"/>
      <c r="F823" s="95"/>
      <c r="G823" s="96"/>
    </row>
    <row r="824" ht="14.25" customHeight="1" spans="4:7">
      <c r="D824" s="93"/>
      <c r="E824" s="94"/>
      <c r="F824" s="95"/>
      <c r="G824" s="96"/>
    </row>
    <row r="825" ht="14.25" customHeight="1" spans="4:7">
      <c r="D825" s="93"/>
      <c r="E825" s="94"/>
      <c r="F825" s="95"/>
      <c r="G825" s="96"/>
    </row>
    <row r="826" ht="14.25" customHeight="1" spans="4:7">
      <c r="D826" s="93"/>
      <c r="E826" s="94"/>
      <c r="F826" s="95"/>
      <c r="G826" s="96"/>
    </row>
    <row r="827" ht="14.25" customHeight="1" spans="4:7">
      <c r="D827" s="93"/>
      <c r="E827" s="94"/>
      <c r="F827" s="95"/>
      <c r="G827" s="96"/>
    </row>
    <row r="828" ht="14.25" customHeight="1" spans="4:7">
      <c r="D828" s="93"/>
      <c r="E828" s="94"/>
      <c r="F828" s="95"/>
      <c r="G828" s="96"/>
    </row>
    <row r="829" ht="14.25" customHeight="1" spans="4:7">
      <c r="D829" s="93"/>
      <c r="E829" s="94"/>
      <c r="F829" s="95"/>
      <c r="G829" s="96"/>
    </row>
    <row r="830" ht="14.25" customHeight="1" spans="4:7">
      <c r="D830" s="93"/>
      <c r="E830" s="94"/>
      <c r="F830" s="95"/>
      <c r="G830" s="96"/>
    </row>
    <row r="831" ht="14.25" customHeight="1" spans="4:7">
      <c r="D831" s="93"/>
      <c r="E831" s="94"/>
      <c r="F831" s="95"/>
      <c r="G831" s="96"/>
    </row>
    <row r="832" ht="14.25" customHeight="1" spans="4:7">
      <c r="D832" s="93"/>
      <c r="E832" s="94"/>
      <c r="F832" s="95"/>
      <c r="G832" s="96"/>
    </row>
    <row r="833" ht="14.25" customHeight="1" spans="4:7">
      <c r="D833" s="93"/>
      <c r="E833" s="94"/>
      <c r="F833" s="95"/>
      <c r="G833" s="96"/>
    </row>
    <row r="834" ht="14.25" customHeight="1" spans="4:7">
      <c r="D834" s="93"/>
      <c r="E834" s="94"/>
      <c r="F834" s="95"/>
      <c r="G834" s="96"/>
    </row>
    <row r="835" ht="14.25" customHeight="1" spans="4:7">
      <c r="D835" s="93"/>
      <c r="E835" s="94"/>
      <c r="F835" s="95"/>
      <c r="G835" s="96"/>
    </row>
    <row r="836" ht="14.25" customHeight="1" spans="4:7">
      <c r="D836" s="93"/>
      <c r="E836" s="94"/>
      <c r="F836" s="95"/>
      <c r="G836" s="96"/>
    </row>
    <row r="837" ht="14.25" customHeight="1" spans="4:7">
      <c r="D837" s="93"/>
      <c r="E837" s="94"/>
      <c r="F837" s="95"/>
      <c r="G837" s="96"/>
    </row>
    <row r="838" ht="14.25" customHeight="1" spans="4:7">
      <c r="D838" s="93"/>
      <c r="E838" s="94"/>
      <c r="F838" s="95"/>
      <c r="G838" s="96"/>
    </row>
    <row r="839" ht="14.25" customHeight="1" spans="4:7">
      <c r="D839" s="93"/>
      <c r="E839" s="94"/>
      <c r="F839" s="95"/>
      <c r="G839" s="96"/>
    </row>
    <row r="840" ht="14.25" customHeight="1" spans="4:7">
      <c r="D840" s="93"/>
      <c r="E840" s="94"/>
      <c r="F840" s="95"/>
      <c r="G840" s="96"/>
    </row>
    <row r="841" ht="14.25" customHeight="1" spans="4:7">
      <c r="D841" s="93"/>
      <c r="E841" s="94"/>
      <c r="F841" s="95"/>
      <c r="G841" s="96"/>
    </row>
    <row r="842" ht="14.25" customHeight="1" spans="4:7">
      <c r="D842" s="93"/>
      <c r="E842" s="94"/>
      <c r="F842" s="95"/>
      <c r="G842" s="96"/>
    </row>
    <row r="843" ht="14.25" customHeight="1" spans="4:7">
      <c r="D843" s="93"/>
      <c r="E843" s="94"/>
      <c r="F843" s="95"/>
      <c r="G843" s="96"/>
    </row>
    <row r="844" ht="14.25" customHeight="1" spans="4:7">
      <c r="D844" s="93"/>
      <c r="E844" s="94"/>
      <c r="F844" s="95"/>
      <c r="G844" s="96"/>
    </row>
    <row r="845" ht="14.25" customHeight="1" spans="4:7">
      <c r="D845" s="93"/>
      <c r="E845" s="94"/>
      <c r="F845" s="95"/>
      <c r="G845" s="96"/>
    </row>
    <row r="846" ht="14.25" customHeight="1" spans="4:7">
      <c r="D846" s="93"/>
      <c r="E846" s="94"/>
      <c r="F846" s="95"/>
      <c r="G846" s="96"/>
    </row>
    <row r="847" ht="14.25" customHeight="1" spans="4:7">
      <c r="D847" s="93"/>
      <c r="E847" s="94"/>
      <c r="F847" s="95"/>
      <c r="G847" s="96"/>
    </row>
    <row r="848" ht="14.25" customHeight="1" spans="4:7">
      <c r="D848" s="93"/>
      <c r="E848" s="94"/>
      <c r="F848" s="95"/>
      <c r="G848" s="96"/>
    </row>
    <row r="849" ht="14.25" customHeight="1" spans="4:7">
      <c r="D849" s="93"/>
      <c r="E849" s="94"/>
      <c r="F849" s="95"/>
      <c r="G849" s="96"/>
    </row>
    <row r="850" ht="14.25" customHeight="1" spans="4:7">
      <c r="D850" s="93"/>
      <c r="E850" s="94"/>
      <c r="F850" s="95"/>
      <c r="G850" s="96"/>
    </row>
    <row r="851" ht="14.25" customHeight="1" spans="4:7">
      <c r="D851" s="93"/>
      <c r="E851" s="94"/>
      <c r="F851" s="95"/>
      <c r="G851" s="96"/>
    </row>
    <row r="852" ht="14.25" customHeight="1" spans="4:7">
      <c r="D852" s="93"/>
      <c r="E852" s="94"/>
      <c r="F852" s="95"/>
      <c r="G852" s="96"/>
    </row>
    <row r="853" ht="14.25" customHeight="1" spans="4:7">
      <c r="D853" s="93"/>
      <c r="E853" s="94"/>
      <c r="F853" s="95"/>
      <c r="G853" s="96"/>
    </row>
    <row r="854" ht="14.25" customHeight="1" spans="4:7">
      <c r="D854" s="93"/>
      <c r="E854" s="94"/>
      <c r="F854" s="95"/>
      <c r="G854" s="96"/>
    </row>
    <row r="855" ht="14.25" customHeight="1" spans="4:7">
      <c r="D855" s="93"/>
      <c r="E855" s="94"/>
      <c r="F855" s="95"/>
      <c r="G855" s="96"/>
    </row>
    <row r="856" ht="14.25" customHeight="1" spans="4:7">
      <c r="D856" s="93"/>
      <c r="E856" s="94"/>
      <c r="F856" s="95"/>
      <c r="G856" s="96"/>
    </row>
    <row r="857" ht="14.25" customHeight="1" spans="4:7">
      <c r="D857" s="93"/>
      <c r="E857" s="94"/>
      <c r="F857" s="95"/>
      <c r="G857" s="96"/>
    </row>
    <row r="858" ht="14.25" customHeight="1" spans="4:7">
      <c r="D858" s="93"/>
      <c r="E858" s="94"/>
      <c r="F858" s="95"/>
      <c r="G858" s="96"/>
    </row>
    <row r="859" ht="14.25" customHeight="1" spans="4:7">
      <c r="D859" s="93"/>
      <c r="E859" s="94"/>
      <c r="F859" s="95"/>
      <c r="G859" s="96"/>
    </row>
    <row r="860" ht="14.25" customHeight="1" spans="4:7">
      <c r="D860" s="93"/>
      <c r="E860" s="94"/>
      <c r="F860" s="95"/>
      <c r="G860" s="96"/>
    </row>
    <row r="861" ht="14.25" customHeight="1" spans="4:7">
      <c r="D861" s="93"/>
      <c r="E861" s="94"/>
      <c r="F861" s="95"/>
      <c r="G861" s="96"/>
    </row>
    <row r="862" ht="14.25" customHeight="1" spans="4:7">
      <c r="D862" s="93"/>
      <c r="E862" s="94"/>
      <c r="F862" s="95"/>
      <c r="G862" s="96"/>
    </row>
    <row r="863" ht="14.25" customHeight="1" spans="4:7">
      <c r="D863" s="93"/>
      <c r="E863" s="94"/>
      <c r="F863" s="95"/>
      <c r="G863" s="96"/>
    </row>
    <row r="864" ht="14.25" customHeight="1" spans="4:7">
      <c r="D864" s="93"/>
      <c r="E864" s="94"/>
      <c r="F864" s="95"/>
      <c r="G864" s="96"/>
    </row>
    <row r="865" ht="14.25" customHeight="1" spans="4:7">
      <c r="D865" s="93"/>
      <c r="E865" s="94"/>
      <c r="F865" s="95"/>
      <c r="G865" s="96"/>
    </row>
    <row r="866" ht="14.25" customHeight="1" spans="4:7">
      <c r="D866" s="93"/>
      <c r="E866" s="94"/>
      <c r="F866" s="95"/>
      <c r="G866" s="96"/>
    </row>
    <row r="867" ht="14.25" customHeight="1" spans="4:7">
      <c r="D867" s="93"/>
      <c r="E867" s="94"/>
      <c r="F867" s="95"/>
      <c r="G867" s="96"/>
    </row>
    <row r="868" ht="14.25" customHeight="1" spans="4:7">
      <c r="D868" s="93"/>
      <c r="E868" s="94"/>
      <c r="F868" s="95"/>
      <c r="G868" s="96"/>
    </row>
    <row r="869" ht="14.25" customHeight="1" spans="4:7">
      <c r="D869" s="93"/>
      <c r="E869" s="94"/>
      <c r="F869" s="95"/>
      <c r="G869" s="96"/>
    </row>
    <row r="870" ht="14.25" customHeight="1" spans="4:7">
      <c r="D870" s="93"/>
      <c r="E870" s="94"/>
      <c r="F870" s="95"/>
      <c r="G870" s="96"/>
    </row>
    <row r="871" ht="14.25" customHeight="1" spans="4:7">
      <c r="D871" s="93"/>
      <c r="E871" s="94"/>
      <c r="F871" s="95"/>
      <c r="G871" s="96"/>
    </row>
    <row r="872" ht="14.25" customHeight="1" spans="4:7">
      <c r="D872" s="93"/>
      <c r="E872" s="94"/>
      <c r="F872" s="95"/>
      <c r="G872" s="96"/>
    </row>
    <row r="873" ht="14.25" customHeight="1" spans="4:7">
      <c r="D873" s="93"/>
      <c r="E873" s="94"/>
      <c r="F873" s="95"/>
      <c r="G873" s="96"/>
    </row>
    <row r="874" ht="14.25" customHeight="1" spans="4:7">
      <c r="D874" s="93"/>
      <c r="E874" s="94"/>
      <c r="F874" s="95"/>
      <c r="G874" s="96"/>
    </row>
    <row r="875" ht="14.25" customHeight="1" spans="4:7">
      <c r="D875" s="93"/>
      <c r="E875" s="94"/>
      <c r="F875" s="95"/>
      <c r="G875" s="96"/>
    </row>
    <row r="876" ht="14.25" customHeight="1" spans="4:7">
      <c r="D876" s="93"/>
      <c r="E876" s="94"/>
      <c r="F876" s="95"/>
      <c r="G876" s="96"/>
    </row>
    <row r="877" ht="14.25" customHeight="1" spans="4:7">
      <c r="D877" s="93"/>
      <c r="E877" s="94"/>
      <c r="F877" s="95"/>
      <c r="G877" s="96"/>
    </row>
    <row r="878" ht="14.25" customHeight="1" spans="4:7">
      <c r="D878" s="93"/>
      <c r="E878" s="94"/>
      <c r="F878" s="95"/>
      <c r="G878" s="96"/>
    </row>
    <row r="879" ht="14.25" customHeight="1" spans="4:7">
      <c r="D879" s="93"/>
      <c r="E879" s="94"/>
      <c r="F879" s="95"/>
      <c r="G879" s="96"/>
    </row>
    <row r="880" ht="14.25" customHeight="1" spans="4:7">
      <c r="D880" s="93"/>
      <c r="E880" s="94"/>
      <c r="F880" s="95"/>
      <c r="G880" s="96"/>
    </row>
    <row r="881" ht="14.25" customHeight="1" spans="4:7">
      <c r="D881" s="93"/>
      <c r="E881" s="94"/>
      <c r="F881" s="95"/>
      <c r="G881" s="96"/>
    </row>
    <row r="882" ht="14.25" customHeight="1" spans="4:7">
      <c r="D882" s="93"/>
      <c r="E882" s="94"/>
      <c r="F882" s="95"/>
      <c r="G882" s="96"/>
    </row>
    <row r="883" ht="14.25" customHeight="1" spans="4:7">
      <c r="D883" s="93"/>
      <c r="E883" s="94"/>
      <c r="F883" s="95"/>
      <c r="G883" s="96"/>
    </row>
    <row r="884" ht="14.25" customHeight="1" spans="4:7">
      <c r="D884" s="93"/>
      <c r="E884" s="94"/>
      <c r="F884" s="95"/>
      <c r="G884" s="96"/>
    </row>
    <row r="885" ht="14.25" customHeight="1" spans="4:7">
      <c r="D885" s="93"/>
      <c r="E885" s="94"/>
      <c r="F885" s="95"/>
      <c r="G885" s="96"/>
    </row>
    <row r="886" ht="14.25" customHeight="1" spans="4:7">
      <c r="D886" s="93"/>
      <c r="E886" s="94"/>
      <c r="F886" s="95"/>
      <c r="G886" s="96"/>
    </row>
    <row r="887" ht="14.25" customHeight="1" spans="4:7">
      <c r="D887" s="93"/>
      <c r="E887" s="94"/>
      <c r="F887" s="95"/>
      <c r="G887" s="96"/>
    </row>
    <row r="888" ht="14.25" customHeight="1" spans="4:7">
      <c r="D888" s="93"/>
      <c r="E888" s="94"/>
      <c r="F888" s="95"/>
      <c r="G888" s="96"/>
    </row>
    <row r="889" ht="14.25" customHeight="1" spans="4:7">
      <c r="D889" s="93"/>
      <c r="E889" s="94"/>
      <c r="F889" s="95"/>
      <c r="G889" s="96"/>
    </row>
    <row r="890" ht="14.25" customHeight="1" spans="4:7">
      <c r="D890" s="93"/>
      <c r="E890" s="94"/>
      <c r="F890" s="95"/>
      <c r="G890" s="96"/>
    </row>
    <row r="891" ht="14.25" customHeight="1" spans="4:7">
      <c r="D891" s="93"/>
      <c r="E891" s="94"/>
      <c r="F891" s="95"/>
      <c r="G891" s="96"/>
    </row>
    <row r="892" ht="14.25" customHeight="1" spans="4:7">
      <c r="D892" s="93"/>
      <c r="E892" s="94"/>
      <c r="F892" s="95"/>
      <c r="G892" s="96"/>
    </row>
    <row r="893" ht="14.25" customHeight="1" spans="4:7">
      <c r="D893" s="93"/>
      <c r="E893" s="94"/>
      <c r="F893" s="95"/>
      <c r="G893" s="96"/>
    </row>
    <row r="894" ht="14.25" customHeight="1" spans="4:7">
      <c r="D894" s="93"/>
      <c r="E894" s="94"/>
      <c r="F894" s="95"/>
      <c r="G894" s="96"/>
    </row>
    <row r="895" ht="14.25" customHeight="1" spans="4:7">
      <c r="D895" s="93"/>
      <c r="E895" s="94"/>
      <c r="F895" s="95"/>
      <c r="G895" s="96"/>
    </row>
    <row r="896" ht="14.25" customHeight="1" spans="4:7">
      <c r="D896" s="93"/>
      <c r="E896" s="94"/>
      <c r="F896" s="95"/>
      <c r="G896" s="96"/>
    </row>
    <row r="897" ht="14.25" customHeight="1" spans="4:7">
      <c r="D897" s="93"/>
      <c r="E897" s="94"/>
      <c r="F897" s="95"/>
      <c r="G897" s="96"/>
    </row>
    <row r="898" ht="14.25" customHeight="1" spans="4:7">
      <c r="D898" s="93"/>
      <c r="E898" s="94"/>
      <c r="F898" s="95"/>
      <c r="G898" s="96"/>
    </row>
    <row r="899" ht="14.25" customHeight="1" spans="4:7">
      <c r="D899" s="93"/>
      <c r="E899" s="94"/>
      <c r="F899" s="95"/>
      <c r="G899" s="96"/>
    </row>
    <row r="900" ht="14.25" customHeight="1" spans="4:7">
      <c r="D900" s="93"/>
      <c r="E900" s="94"/>
      <c r="F900" s="95"/>
      <c r="G900" s="96"/>
    </row>
    <row r="901" ht="14.25" customHeight="1" spans="4:7">
      <c r="D901" s="93"/>
      <c r="E901" s="94"/>
      <c r="F901" s="95"/>
      <c r="G901" s="96"/>
    </row>
    <row r="902" ht="14.25" customHeight="1" spans="4:7">
      <c r="D902" s="93"/>
      <c r="E902" s="94"/>
      <c r="F902" s="95"/>
      <c r="G902" s="96"/>
    </row>
    <row r="903" ht="14.25" customHeight="1" spans="4:7">
      <c r="D903" s="93"/>
      <c r="E903" s="94"/>
      <c r="F903" s="95"/>
      <c r="G903" s="96"/>
    </row>
    <row r="904" ht="14.25" customHeight="1" spans="4:7">
      <c r="D904" s="93"/>
      <c r="E904" s="94"/>
      <c r="F904" s="95"/>
      <c r="G904" s="96"/>
    </row>
    <row r="905" ht="14.25" customHeight="1" spans="4:7">
      <c r="D905" s="93"/>
      <c r="E905" s="94"/>
      <c r="F905" s="95"/>
      <c r="G905" s="96"/>
    </row>
    <row r="906" ht="14.25" customHeight="1" spans="4:7">
      <c r="D906" s="93"/>
      <c r="E906" s="94"/>
      <c r="F906" s="95"/>
      <c r="G906" s="96"/>
    </row>
    <row r="907" ht="14.25" customHeight="1" spans="4:7">
      <c r="D907" s="93"/>
      <c r="E907" s="94"/>
      <c r="F907" s="95"/>
      <c r="G907" s="96"/>
    </row>
    <row r="908" ht="14.25" customHeight="1" spans="4:7">
      <c r="D908" s="93"/>
      <c r="E908" s="94"/>
      <c r="F908" s="95"/>
      <c r="G908" s="96"/>
    </row>
    <row r="909" ht="14.25" customHeight="1" spans="4:7">
      <c r="D909" s="93"/>
      <c r="E909" s="94"/>
      <c r="F909" s="95"/>
      <c r="G909" s="96"/>
    </row>
    <row r="910" ht="14.25" customHeight="1" spans="4:7">
      <c r="D910" s="93"/>
      <c r="E910" s="94"/>
      <c r="F910" s="95"/>
      <c r="G910" s="96"/>
    </row>
    <row r="911" ht="14.25" customHeight="1" spans="4:7">
      <c r="D911" s="93"/>
      <c r="E911" s="94"/>
      <c r="F911" s="95"/>
      <c r="G911" s="96"/>
    </row>
    <row r="912" ht="14.25" customHeight="1" spans="4:7">
      <c r="D912" s="93"/>
      <c r="E912" s="94"/>
      <c r="F912" s="95"/>
      <c r="G912" s="96"/>
    </row>
    <row r="913" ht="14.25" customHeight="1" spans="4:7">
      <c r="D913" s="93"/>
      <c r="E913" s="94"/>
      <c r="F913" s="95"/>
      <c r="G913" s="96"/>
    </row>
    <row r="914" ht="14.25" customHeight="1" spans="4:7">
      <c r="D914" s="93"/>
      <c r="E914" s="94"/>
      <c r="F914" s="95"/>
      <c r="G914" s="96"/>
    </row>
    <row r="915" ht="14.25" customHeight="1" spans="4:7">
      <c r="D915" s="93"/>
      <c r="E915" s="94"/>
      <c r="F915" s="95"/>
      <c r="G915" s="96"/>
    </row>
    <row r="916" ht="14.25" customHeight="1" spans="4:7">
      <c r="D916" s="93"/>
      <c r="E916" s="94"/>
      <c r="F916" s="95"/>
      <c r="G916" s="96"/>
    </row>
    <row r="917" ht="14.25" customHeight="1" spans="4:7">
      <c r="D917" s="93"/>
      <c r="E917" s="94"/>
      <c r="F917" s="95"/>
      <c r="G917" s="96"/>
    </row>
    <row r="918" ht="14.25" customHeight="1" spans="4:7">
      <c r="D918" s="93"/>
      <c r="E918" s="94"/>
      <c r="F918" s="95"/>
      <c r="G918" s="96"/>
    </row>
    <row r="919" ht="14.25" customHeight="1" spans="4:7">
      <c r="D919" s="93"/>
      <c r="E919" s="94"/>
      <c r="F919" s="95"/>
      <c r="G919" s="96"/>
    </row>
    <row r="920" ht="14.25" customHeight="1" spans="4:7">
      <c r="D920" s="93"/>
      <c r="E920" s="94"/>
      <c r="F920" s="95"/>
      <c r="G920" s="96"/>
    </row>
    <row r="921" ht="14.25" customHeight="1" spans="4:7">
      <c r="D921" s="93"/>
      <c r="E921" s="94"/>
      <c r="F921" s="95"/>
      <c r="G921" s="96"/>
    </row>
    <row r="922" ht="14.25" customHeight="1" spans="4:7">
      <c r="D922" s="93"/>
      <c r="E922" s="94"/>
      <c r="F922" s="95"/>
      <c r="G922" s="96"/>
    </row>
    <row r="923" ht="14.25" customHeight="1" spans="4:7">
      <c r="D923" s="93"/>
      <c r="E923" s="94"/>
      <c r="F923" s="95"/>
      <c r="G923" s="96"/>
    </row>
    <row r="924" ht="14.25" customHeight="1" spans="4:7">
      <c r="D924" s="93"/>
      <c r="E924" s="94"/>
      <c r="F924" s="95"/>
      <c r="G924" s="96"/>
    </row>
    <row r="925" ht="14.25" customHeight="1" spans="4:7">
      <c r="D925" s="93"/>
      <c r="E925" s="94"/>
      <c r="F925" s="95"/>
      <c r="G925" s="96"/>
    </row>
    <row r="926" ht="14.25" customHeight="1" spans="4:7">
      <c r="D926" s="93"/>
      <c r="E926" s="94"/>
      <c r="F926" s="95"/>
      <c r="G926" s="96"/>
    </row>
    <row r="927" ht="14.25" customHeight="1" spans="4:7">
      <c r="D927" s="93"/>
      <c r="E927" s="94"/>
      <c r="F927" s="95"/>
      <c r="G927" s="96"/>
    </row>
    <row r="928" ht="14.25" customHeight="1" spans="4:7">
      <c r="D928" s="93"/>
      <c r="E928" s="94"/>
      <c r="F928" s="95"/>
      <c r="G928" s="96"/>
    </row>
    <row r="929" ht="14.25" customHeight="1" spans="4:7">
      <c r="D929" s="93"/>
      <c r="E929" s="94"/>
      <c r="F929" s="95"/>
      <c r="G929" s="96"/>
    </row>
    <row r="930" ht="14.25" customHeight="1" spans="4:7">
      <c r="D930" s="93"/>
      <c r="E930" s="94"/>
      <c r="F930" s="95"/>
      <c r="G930" s="96"/>
    </row>
    <row r="931" ht="14.25" customHeight="1" spans="4:7">
      <c r="D931" s="93"/>
      <c r="E931" s="94"/>
      <c r="F931" s="95"/>
      <c r="G931" s="96"/>
    </row>
    <row r="932" ht="14.25" customHeight="1" spans="4:7">
      <c r="D932" s="93"/>
      <c r="E932" s="94"/>
      <c r="F932" s="95"/>
      <c r="G932" s="96"/>
    </row>
    <row r="933" ht="14.25" customHeight="1" spans="4:7">
      <c r="D933" s="93"/>
      <c r="E933" s="94"/>
      <c r="F933" s="95"/>
      <c r="G933" s="96"/>
    </row>
    <row r="934" ht="14.25" customHeight="1" spans="4:7">
      <c r="D934" s="93"/>
      <c r="E934" s="94"/>
      <c r="F934" s="95"/>
      <c r="G934" s="96"/>
    </row>
    <row r="935" ht="14.25" customHeight="1" spans="4:7">
      <c r="D935" s="93"/>
      <c r="E935" s="94"/>
      <c r="F935" s="95"/>
      <c r="G935" s="96"/>
    </row>
    <row r="936" ht="14.25" customHeight="1" spans="4:7">
      <c r="D936" s="93"/>
      <c r="E936" s="94"/>
      <c r="F936" s="95"/>
      <c r="G936" s="96"/>
    </row>
    <row r="937" ht="14.25" customHeight="1" spans="4:7">
      <c r="D937" s="93"/>
      <c r="E937" s="94"/>
      <c r="F937" s="95"/>
      <c r="G937" s="96"/>
    </row>
    <row r="938" ht="14.25" customHeight="1" spans="4:7">
      <c r="D938" s="93"/>
      <c r="E938" s="94"/>
      <c r="F938" s="95"/>
      <c r="G938" s="96"/>
    </row>
    <row r="939" ht="14.25" customHeight="1" spans="4:7">
      <c r="D939" s="93"/>
      <c r="E939" s="94"/>
      <c r="F939" s="95"/>
      <c r="G939" s="96"/>
    </row>
    <row r="940" ht="14.25" customHeight="1" spans="4:7">
      <c r="D940" s="93"/>
      <c r="E940" s="94"/>
      <c r="F940" s="95"/>
      <c r="G940" s="96"/>
    </row>
    <row r="941" ht="14.25" customHeight="1" spans="4:7">
      <c r="D941" s="93"/>
      <c r="E941" s="94"/>
      <c r="F941" s="95"/>
      <c r="G941" s="96"/>
    </row>
    <row r="942" ht="14.25" customHeight="1" spans="4:7">
      <c r="D942" s="93"/>
      <c r="E942" s="94"/>
      <c r="F942" s="95"/>
      <c r="G942" s="96"/>
    </row>
    <row r="943" ht="14.25" customHeight="1" spans="4:7">
      <c r="D943" s="93"/>
      <c r="E943" s="94"/>
      <c r="F943" s="95"/>
      <c r="G943" s="96"/>
    </row>
    <row r="944" ht="14.25" customHeight="1" spans="4:7">
      <c r="D944" s="93"/>
      <c r="E944" s="94"/>
      <c r="F944" s="95"/>
      <c r="G944" s="96"/>
    </row>
    <row r="945" ht="14.25" customHeight="1" spans="4:7">
      <c r="D945" s="93"/>
      <c r="E945" s="94"/>
      <c r="F945" s="95"/>
      <c r="G945" s="96"/>
    </row>
    <row r="946" ht="14.25" customHeight="1" spans="4:7">
      <c r="D946" s="93"/>
      <c r="E946" s="94"/>
      <c r="F946" s="95"/>
      <c r="G946" s="96"/>
    </row>
    <row r="947" ht="14.25" customHeight="1" spans="4:7">
      <c r="D947" s="93"/>
      <c r="E947" s="94"/>
      <c r="F947" s="95"/>
      <c r="G947" s="96"/>
    </row>
    <row r="948" ht="14.25" customHeight="1" spans="4:7">
      <c r="D948" s="93"/>
      <c r="E948" s="94"/>
      <c r="F948" s="95"/>
      <c r="G948" s="96"/>
    </row>
    <row r="949" ht="14.25" customHeight="1" spans="4:7">
      <c r="D949" s="93"/>
      <c r="E949" s="94"/>
      <c r="F949" s="95"/>
      <c r="G949" s="96"/>
    </row>
    <row r="950" ht="14.25" customHeight="1" spans="4:7">
      <c r="D950" s="93"/>
      <c r="E950" s="94"/>
      <c r="F950" s="95"/>
      <c r="G950" s="96"/>
    </row>
    <row r="951" ht="14.25" customHeight="1" spans="4:7">
      <c r="D951" s="93"/>
      <c r="E951" s="94"/>
      <c r="F951" s="95"/>
      <c r="G951" s="96"/>
    </row>
    <row r="952" ht="14.25" customHeight="1" spans="4:7">
      <c r="D952" s="93"/>
      <c r="E952" s="94"/>
      <c r="F952" s="95"/>
      <c r="G952" s="96"/>
    </row>
    <row r="953" ht="14.25" customHeight="1" spans="4:7">
      <c r="D953" s="93"/>
      <c r="E953" s="94"/>
      <c r="F953" s="95"/>
      <c r="G953" s="96"/>
    </row>
    <row r="954" ht="14.25" customHeight="1" spans="4:7">
      <c r="D954" s="93"/>
      <c r="E954" s="94"/>
      <c r="F954" s="95"/>
      <c r="G954" s="96"/>
    </row>
    <row r="955" ht="14.25" customHeight="1" spans="4:7">
      <c r="D955" s="93"/>
      <c r="E955" s="94"/>
      <c r="F955" s="95"/>
      <c r="G955" s="96"/>
    </row>
    <row r="956" ht="14.25" customHeight="1" spans="4:7">
      <c r="D956" s="93"/>
      <c r="E956" s="94"/>
      <c r="F956" s="95"/>
      <c r="G956" s="96"/>
    </row>
    <row r="957" ht="14.25" customHeight="1" spans="4:7">
      <c r="D957" s="93"/>
      <c r="E957" s="94"/>
      <c r="F957" s="95"/>
      <c r="G957" s="96"/>
    </row>
    <row r="958" ht="14.25" customHeight="1" spans="4:7">
      <c r="D958" s="93"/>
      <c r="E958" s="94"/>
      <c r="F958" s="95"/>
      <c r="G958" s="96"/>
    </row>
    <row r="959" ht="14.25" customHeight="1" spans="4:7">
      <c r="D959" s="93"/>
      <c r="E959" s="94"/>
      <c r="F959" s="95"/>
      <c r="G959" s="96"/>
    </row>
    <row r="960" ht="14.25" customHeight="1" spans="4:7">
      <c r="D960" s="93"/>
      <c r="E960" s="94"/>
      <c r="F960" s="95"/>
      <c r="G960" s="96"/>
    </row>
    <row r="961" ht="14.25" customHeight="1" spans="4:7">
      <c r="D961" s="93"/>
      <c r="E961" s="94"/>
      <c r="F961" s="95"/>
      <c r="G961" s="96"/>
    </row>
    <row r="962" ht="14.25" customHeight="1" spans="4:7">
      <c r="D962" s="93"/>
      <c r="E962" s="94"/>
      <c r="F962" s="95"/>
      <c r="G962" s="96"/>
    </row>
    <row r="963" ht="14.25" customHeight="1" spans="4:7">
      <c r="D963" s="93"/>
      <c r="E963" s="94"/>
      <c r="F963" s="95"/>
      <c r="G963" s="96"/>
    </row>
    <row r="964" ht="14.25" customHeight="1" spans="4:7">
      <c r="D964" s="93"/>
      <c r="E964" s="94"/>
      <c r="F964" s="95"/>
      <c r="G964" s="96"/>
    </row>
    <row r="965" ht="14.25" customHeight="1" spans="4:7">
      <c r="D965" s="93"/>
      <c r="E965" s="94"/>
      <c r="F965" s="95"/>
      <c r="G965" s="96"/>
    </row>
    <row r="966" ht="14.25" customHeight="1" spans="4:7">
      <c r="D966" s="93"/>
      <c r="E966" s="94"/>
      <c r="F966" s="95"/>
      <c r="G966" s="96"/>
    </row>
    <row r="967" ht="14.25" customHeight="1" spans="4:7">
      <c r="D967" s="93"/>
      <c r="E967" s="94"/>
      <c r="F967" s="95"/>
      <c r="G967" s="96"/>
    </row>
    <row r="968" ht="14.25" customHeight="1" spans="4:7">
      <c r="D968" s="93"/>
      <c r="E968" s="94"/>
      <c r="F968" s="95"/>
      <c r="G968" s="96"/>
    </row>
    <row r="969" ht="14.25" customHeight="1" spans="4:7">
      <c r="D969" s="93"/>
      <c r="E969" s="94"/>
      <c r="F969" s="95"/>
      <c r="G969" s="96"/>
    </row>
    <row r="970" ht="14.25" customHeight="1" spans="4:7">
      <c r="D970" s="93"/>
      <c r="E970" s="94"/>
      <c r="F970" s="95"/>
      <c r="G970" s="96"/>
    </row>
    <row r="971" ht="14.25" customHeight="1" spans="4:7">
      <c r="D971" s="93"/>
      <c r="E971" s="94"/>
      <c r="F971" s="95"/>
      <c r="G971" s="96"/>
    </row>
    <row r="972" ht="14.25" customHeight="1" spans="4:7">
      <c r="D972" s="93"/>
      <c r="E972" s="94"/>
      <c r="F972" s="95"/>
      <c r="G972" s="96"/>
    </row>
    <row r="973" ht="14.25" customHeight="1" spans="4:7">
      <c r="D973" s="93"/>
      <c r="E973" s="94"/>
      <c r="F973" s="95"/>
      <c r="G973" s="96"/>
    </row>
    <row r="974" ht="14.25" customHeight="1" spans="4:7">
      <c r="D974" s="93"/>
      <c r="E974" s="94"/>
      <c r="F974" s="95"/>
      <c r="G974" s="96"/>
    </row>
    <row r="975" ht="14.25" customHeight="1" spans="4:7">
      <c r="D975" s="93"/>
      <c r="E975" s="94"/>
      <c r="F975" s="95"/>
      <c r="G975" s="96"/>
    </row>
    <row r="976" ht="14.25" customHeight="1" spans="4:7">
      <c r="D976" s="93"/>
      <c r="E976" s="94"/>
      <c r="F976" s="95"/>
      <c r="G976" s="96"/>
    </row>
    <row r="977" ht="14.25" customHeight="1" spans="4:7">
      <c r="D977" s="93"/>
      <c r="E977" s="94"/>
      <c r="F977" s="95"/>
      <c r="G977" s="96"/>
    </row>
    <row r="978" ht="14.25" customHeight="1" spans="4:7">
      <c r="D978" s="93"/>
      <c r="E978" s="94"/>
      <c r="F978" s="95"/>
      <c r="G978" s="96"/>
    </row>
    <row r="979" ht="14.25" customHeight="1" spans="4:7">
      <c r="D979" s="93"/>
      <c r="E979" s="94"/>
      <c r="F979" s="95"/>
      <c r="G979" s="96"/>
    </row>
    <row r="980" ht="14.25" customHeight="1" spans="4:7">
      <c r="D980" s="93"/>
      <c r="E980" s="94"/>
      <c r="F980" s="95"/>
      <c r="G980" s="96"/>
    </row>
    <row r="981" ht="14.25" customHeight="1" spans="4:7">
      <c r="D981" s="93"/>
      <c r="E981" s="94"/>
      <c r="F981" s="95"/>
      <c r="G981" s="96"/>
    </row>
    <row r="982" ht="14.25" customHeight="1" spans="4:7">
      <c r="D982" s="93"/>
      <c r="E982" s="94"/>
      <c r="F982" s="95"/>
      <c r="G982" s="96"/>
    </row>
    <row r="983" ht="14.25" customHeight="1" spans="4:7">
      <c r="D983" s="93"/>
      <c r="E983" s="94"/>
      <c r="F983" s="95"/>
      <c r="G983" s="96"/>
    </row>
    <row r="984" ht="14.25" customHeight="1" spans="4:7">
      <c r="D984" s="93"/>
      <c r="E984" s="94"/>
      <c r="F984" s="95"/>
      <c r="G984" s="96"/>
    </row>
    <row r="985" ht="14.25" customHeight="1" spans="4:7">
      <c r="D985" s="93"/>
      <c r="E985" s="94"/>
      <c r="F985" s="95"/>
      <c r="G985" s="96"/>
    </row>
    <row r="986" ht="14.25" customHeight="1" spans="4:7">
      <c r="D986" s="93"/>
      <c r="E986" s="94"/>
      <c r="F986" s="95"/>
      <c r="G986" s="96"/>
    </row>
    <row r="987" ht="14.25" customHeight="1" spans="4:7">
      <c r="D987" s="93"/>
      <c r="E987" s="94"/>
      <c r="F987" s="95"/>
      <c r="G987" s="96"/>
    </row>
    <row r="988" ht="14.25" customHeight="1" spans="4:7">
      <c r="D988" s="93"/>
      <c r="E988" s="94"/>
      <c r="F988" s="95"/>
      <c r="G988" s="96"/>
    </row>
    <row r="989" ht="14.25" customHeight="1" spans="4:7">
      <c r="D989" s="93"/>
      <c r="E989" s="94"/>
      <c r="F989" s="95"/>
      <c r="G989" s="96"/>
    </row>
    <row r="990" ht="14.25" customHeight="1" spans="4:7">
      <c r="D990" s="93"/>
      <c r="E990" s="94"/>
      <c r="F990" s="95"/>
      <c r="G990" s="96"/>
    </row>
    <row r="991" ht="14.25" customHeight="1" spans="4:7">
      <c r="D991" s="93"/>
      <c r="E991" s="94"/>
      <c r="F991" s="95"/>
      <c r="G991" s="96"/>
    </row>
    <row r="992" ht="14.25" customHeight="1" spans="4:7">
      <c r="D992" s="93"/>
      <c r="E992" s="94"/>
      <c r="F992" s="95"/>
      <c r="G992" s="96"/>
    </row>
    <row r="993" ht="14.25" customHeight="1" spans="4:7">
      <c r="D993" s="93"/>
      <c r="E993" s="94"/>
      <c r="F993" s="95"/>
      <c r="G993" s="96"/>
    </row>
    <row r="994" ht="14.25" customHeight="1" spans="4:7">
      <c r="D994" s="93"/>
      <c r="E994" s="94"/>
      <c r="F994" s="95"/>
      <c r="G994" s="96"/>
    </row>
    <row r="995" ht="14.25" customHeight="1" spans="4:7">
      <c r="D995" s="93"/>
      <c r="E995" s="94"/>
      <c r="F995" s="95"/>
      <c r="G995" s="96"/>
    </row>
    <row r="996" ht="14.25" customHeight="1" spans="4:7">
      <c r="D996" s="93"/>
      <c r="E996" s="94"/>
      <c r="F996" s="95"/>
      <c r="G996" s="96"/>
    </row>
    <row r="997" ht="14.25" customHeight="1" spans="4:7">
      <c r="D997" s="93"/>
      <c r="E997" s="94"/>
      <c r="F997" s="95"/>
      <c r="G997" s="96"/>
    </row>
    <row r="998" ht="14.25" customHeight="1" spans="4:7">
      <c r="D998" s="93"/>
      <c r="E998" s="94"/>
      <c r="F998" s="95"/>
      <c r="G998" s="96"/>
    </row>
    <row r="999" ht="14.25" customHeight="1" spans="4:7">
      <c r="D999" s="93"/>
      <c r="E999" s="94"/>
      <c r="F999" s="95"/>
      <c r="G999" s="96"/>
    </row>
    <row r="1000" ht="14.25" customHeight="1" spans="4:7">
      <c r="D1000" s="93"/>
      <c r="E1000" s="94"/>
      <c r="F1000" s="95"/>
      <c r="G1000" s="96"/>
    </row>
    <row r="1001" ht="14.25" customHeight="1" spans="4:7">
      <c r="D1001" s="93"/>
      <c r="E1001" s="94"/>
      <c r="F1001" s="95"/>
      <c r="G1001" s="96"/>
    </row>
    <row r="1002" ht="14.25" customHeight="1" spans="4:7">
      <c r="D1002" s="93"/>
      <c r="E1002" s="94"/>
      <c r="F1002" s="95"/>
      <c r="G1002" s="96"/>
    </row>
    <row r="1003" ht="14.25" customHeight="1" spans="4:7">
      <c r="D1003" s="93"/>
      <c r="E1003" s="94"/>
      <c r="F1003" s="95"/>
      <c r="G1003" s="96"/>
    </row>
    <row r="1004" ht="14.25" customHeight="1" spans="4:7">
      <c r="D1004" s="93"/>
      <c r="E1004" s="94"/>
      <c r="F1004" s="95"/>
      <c r="G1004" s="96"/>
    </row>
    <row r="1005" ht="14.25" customHeight="1" spans="4:7">
      <c r="D1005" s="93"/>
      <c r="E1005" s="94"/>
      <c r="F1005" s="95"/>
      <c r="G1005" s="96"/>
    </row>
    <row r="1006" ht="14.25" customHeight="1" spans="4:7">
      <c r="D1006" s="93"/>
      <c r="E1006" s="94"/>
      <c r="F1006" s="95"/>
      <c r="G1006" s="96"/>
    </row>
    <row r="1007" ht="14.25" customHeight="1" spans="4:7">
      <c r="D1007" s="93"/>
      <c r="E1007" s="94"/>
      <c r="F1007" s="95"/>
      <c r="G1007" s="96"/>
    </row>
    <row r="1008" ht="14.25" customHeight="1" spans="4:7">
      <c r="D1008" s="93"/>
      <c r="E1008" s="94"/>
      <c r="F1008" s="95"/>
      <c r="G1008" s="96"/>
    </row>
    <row r="1009" ht="14.25" customHeight="1"/>
    <row r="1010" ht="14.25" customHeight="1"/>
  </sheetData>
  <mergeCells count="13">
    <mergeCell ref="D1:G1"/>
    <mergeCell ref="H1:K1"/>
    <mergeCell ref="L1:O1"/>
    <mergeCell ref="D4:O4"/>
    <mergeCell ref="A13:O13"/>
    <mergeCell ref="A22:O22"/>
    <mergeCell ref="D42:G42"/>
    <mergeCell ref="H42:K42"/>
    <mergeCell ref="L42:O42"/>
    <mergeCell ref="A5:A12"/>
    <mergeCell ref="A14:A21"/>
    <mergeCell ref="A23:A31"/>
    <mergeCell ref="A1:B3"/>
  </mergeCells>
  <pageMargins left="0.7" right="0.7" top="0.75" bottom="0.75" header="0" footer="0"/>
  <pageSetup paperSize="1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011"/>
  <sheetViews>
    <sheetView topLeftCell="A30" workbookViewId="0">
      <selection activeCell="C4" sqref="C4"/>
    </sheetView>
  </sheetViews>
  <sheetFormatPr defaultColWidth="14.4285714285714" defaultRowHeight="15" customHeight="1"/>
  <cols>
    <col min="1" max="2" width="10.7142857142857" customWidth="1"/>
    <col min="3" max="3" width="33" customWidth="1"/>
    <col min="4" max="28" width="9.42857142857143" customWidth="1"/>
  </cols>
  <sheetData>
    <row r="1" ht="14.25" customHeight="1" spans="1:28">
      <c r="A1" s="17"/>
      <c r="B1" s="18"/>
      <c r="C1" s="19" t="s">
        <v>0</v>
      </c>
      <c r="D1" s="20">
        <v>2022</v>
      </c>
      <c r="E1" s="3"/>
      <c r="F1" s="3"/>
      <c r="G1" s="4"/>
      <c r="H1" s="20">
        <v>2023</v>
      </c>
      <c r="I1" s="3"/>
      <c r="J1" s="3"/>
      <c r="K1" s="4"/>
      <c r="L1" s="20">
        <v>2024</v>
      </c>
      <c r="M1" s="3"/>
      <c r="N1" s="3"/>
      <c r="O1" s="4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</row>
    <row r="2" ht="14.25" customHeight="1" spans="1:28">
      <c r="A2" s="21"/>
      <c r="B2" s="22"/>
      <c r="C2" s="19" t="s">
        <v>1</v>
      </c>
      <c r="D2" s="23" t="s">
        <v>2</v>
      </c>
      <c r="E2" s="24" t="s">
        <v>3</v>
      </c>
      <c r="F2" s="25" t="s">
        <v>4</v>
      </c>
      <c r="G2" s="26" t="s">
        <v>5</v>
      </c>
      <c r="H2" s="23" t="s">
        <v>2</v>
      </c>
      <c r="I2" s="24" t="s">
        <v>3</v>
      </c>
      <c r="J2" s="25" t="s">
        <v>4</v>
      </c>
      <c r="K2" s="26" t="s">
        <v>5</v>
      </c>
      <c r="L2" s="23" t="s">
        <v>2</v>
      </c>
      <c r="M2" s="24" t="s">
        <v>3</v>
      </c>
      <c r="N2" s="25" t="s">
        <v>4</v>
      </c>
      <c r="O2" s="26" t="s">
        <v>5</v>
      </c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</row>
    <row r="3" ht="14.25" customHeight="1" spans="1:28">
      <c r="A3" s="27"/>
      <c r="B3" s="28"/>
      <c r="C3" s="29" t="s">
        <v>6</v>
      </c>
      <c r="D3" s="105">
        <v>44736</v>
      </c>
      <c r="E3" s="106">
        <v>44776</v>
      </c>
      <c r="F3" s="84" t="s">
        <v>59</v>
      </c>
      <c r="G3" s="107">
        <v>44957</v>
      </c>
      <c r="H3" s="105">
        <v>45097</v>
      </c>
      <c r="I3" s="106">
        <v>45148</v>
      </c>
      <c r="J3" s="115">
        <v>45225</v>
      </c>
      <c r="K3" s="107">
        <v>45334</v>
      </c>
      <c r="L3" s="116"/>
      <c r="M3" s="117"/>
      <c r="N3" s="118"/>
      <c r="O3" s="119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</row>
    <row r="4" ht="14.25" customHeight="1" spans="1:28">
      <c r="A4" s="35" t="s">
        <v>7</v>
      </c>
      <c r="B4" s="35" t="s">
        <v>8</v>
      </c>
      <c r="C4" s="35" t="s">
        <v>9</v>
      </c>
      <c r="D4" s="108"/>
      <c r="E4" s="3"/>
      <c r="F4" s="3"/>
      <c r="G4" s="3"/>
      <c r="H4" s="3"/>
      <c r="I4" s="3"/>
      <c r="J4" s="3"/>
      <c r="K4" s="3"/>
      <c r="L4" s="3"/>
      <c r="M4" s="3"/>
      <c r="N4" s="3"/>
      <c r="O4" s="4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</row>
    <row r="5" ht="23.25" customHeight="1" spans="1:28">
      <c r="A5" s="37" t="s">
        <v>10</v>
      </c>
      <c r="B5" s="38" t="s">
        <v>11</v>
      </c>
      <c r="C5" s="38" t="s">
        <v>12</v>
      </c>
      <c r="D5" s="39">
        <v>0</v>
      </c>
      <c r="E5" s="40">
        <v>0</v>
      </c>
      <c r="F5" s="41" t="s">
        <v>59</v>
      </c>
      <c r="G5" s="42">
        <v>0</v>
      </c>
      <c r="H5" s="39">
        <v>0</v>
      </c>
      <c r="I5" s="40">
        <v>0</v>
      </c>
      <c r="J5" s="41">
        <v>0</v>
      </c>
      <c r="K5" s="42">
        <v>0</v>
      </c>
      <c r="L5" s="39"/>
      <c r="M5" s="40"/>
      <c r="N5" s="41"/>
      <c r="O5" s="42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</row>
    <row r="6" ht="22.5" customHeight="1" spans="1:28">
      <c r="A6" s="43"/>
      <c r="B6" s="44" t="s">
        <v>13</v>
      </c>
      <c r="C6" s="44" t="s">
        <v>14</v>
      </c>
      <c r="D6" s="6">
        <v>0</v>
      </c>
      <c r="E6" s="7">
        <v>0</v>
      </c>
      <c r="F6" s="25" t="s">
        <v>59</v>
      </c>
      <c r="G6" s="26">
        <v>0</v>
      </c>
      <c r="H6" s="6">
        <v>0</v>
      </c>
      <c r="I6" s="7">
        <v>0</v>
      </c>
      <c r="J6" s="25">
        <v>0</v>
      </c>
      <c r="K6" s="26">
        <v>0</v>
      </c>
      <c r="L6" s="6"/>
      <c r="M6" s="7"/>
      <c r="N6" s="25"/>
      <c r="O6" s="26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</row>
    <row r="7" ht="22.5" customHeight="1" spans="1:28">
      <c r="A7" s="43"/>
      <c r="B7" s="38" t="s">
        <v>15</v>
      </c>
      <c r="C7" s="38" t="s">
        <v>16</v>
      </c>
      <c r="D7" s="39">
        <v>0</v>
      </c>
      <c r="E7" s="40">
        <v>0</v>
      </c>
      <c r="F7" s="41" t="s">
        <v>59</v>
      </c>
      <c r="G7" s="42">
        <v>0</v>
      </c>
      <c r="H7" s="39">
        <v>2</v>
      </c>
      <c r="I7" s="40">
        <v>1</v>
      </c>
      <c r="J7" s="41">
        <v>0</v>
      </c>
      <c r="K7" s="42">
        <v>0</v>
      </c>
      <c r="L7" s="39"/>
      <c r="M7" s="40"/>
      <c r="N7" s="41"/>
      <c r="O7" s="42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</row>
    <row r="8" ht="22.5" customHeight="1" spans="1:28">
      <c r="A8" s="43"/>
      <c r="B8" s="44" t="s">
        <v>17</v>
      </c>
      <c r="C8" s="44" t="s">
        <v>18</v>
      </c>
      <c r="D8" s="6">
        <v>0</v>
      </c>
      <c r="E8" s="7">
        <v>0</v>
      </c>
      <c r="F8" s="25" t="s">
        <v>59</v>
      </c>
      <c r="G8" s="26">
        <v>0</v>
      </c>
      <c r="H8" s="6">
        <v>0</v>
      </c>
      <c r="I8" s="7">
        <v>0</v>
      </c>
      <c r="J8" s="25">
        <v>0</v>
      </c>
      <c r="K8" s="26">
        <v>1</v>
      </c>
      <c r="L8" s="6"/>
      <c r="M8" s="7"/>
      <c r="N8" s="25"/>
      <c r="O8" s="26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</row>
    <row r="9" ht="22.5" customHeight="1" spans="1:28">
      <c r="A9" s="43"/>
      <c r="B9" s="38" t="s">
        <v>19</v>
      </c>
      <c r="C9" s="38" t="s">
        <v>20</v>
      </c>
      <c r="D9" s="39">
        <v>3</v>
      </c>
      <c r="E9" s="40">
        <v>0</v>
      </c>
      <c r="F9" s="41" t="s">
        <v>59</v>
      </c>
      <c r="G9" s="42">
        <v>0</v>
      </c>
      <c r="H9" s="39">
        <v>2</v>
      </c>
      <c r="I9" s="40">
        <v>10</v>
      </c>
      <c r="J9" s="41">
        <v>12</v>
      </c>
      <c r="K9" s="42">
        <v>0</v>
      </c>
      <c r="L9" s="39"/>
      <c r="M9" s="40"/>
      <c r="N9" s="41"/>
      <c r="O9" s="42"/>
      <c r="P9" s="67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</row>
    <row r="10" ht="23.25" customHeight="1" spans="1:28">
      <c r="A10" s="43"/>
      <c r="B10" s="44" t="s">
        <v>21</v>
      </c>
      <c r="C10" s="44" t="s">
        <v>22</v>
      </c>
      <c r="D10" s="6">
        <v>2</v>
      </c>
      <c r="E10" s="7">
        <v>4</v>
      </c>
      <c r="F10" s="25" t="s">
        <v>59</v>
      </c>
      <c r="G10" s="26">
        <v>15</v>
      </c>
      <c r="H10" s="6">
        <v>27</v>
      </c>
      <c r="I10" s="7">
        <v>7</v>
      </c>
      <c r="J10" s="25">
        <v>17</v>
      </c>
      <c r="K10" s="26">
        <v>6</v>
      </c>
      <c r="L10" s="6"/>
      <c r="M10" s="7"/>
      <c r="N10" s="25"/>
      <c r="O10" s="26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</row>
    <row r="11" ht="24" customHeight="1" spans="1:28">
      <c r="A11" s="43"/>
      <c r="B11" s="38" t="s">
        <v>23</v>
      </c>
      <c r="C11" s="38" t="s">
        <v>24</v>
      </c>
      <c r="D11" s="39">
        <v>0</v>
      </c>
      <c r="E11" s="40">
        <v>1</v>
      </c>
      <c r="F11" s="41" t="s">
        <v>59</v>
      </c>
      <c r="G11" s="42">
        <v>2</v>
      </c>
      <c r="H11" s="39">
        <v>0</v>
      </c>
      <c r="I11" s="40">
        <v>0</v>
      </c>
      <c r="J11" s="41">
        <v>1</v>
      </c>
      <c r="K11" s="42">
        <v>0</v>
      </c>
      <c r="L11" s="39"/>
      <c r="M11" s="40"/>
      <c r="N11" s="41"/>
      <c r="O11" s="42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</row>
    <row r="12" ht="24.75" customHeight="1" spans="1:28">
      <c r="A12" s="5"/>
      <c r="B12" s="44" t="s">
        <v>25</v>
      </c>
      <c r="C12" s="44" t="s">
        <v>26</v>
      </c>
      <c r="D12" s="6">
        <v>0</v>
      </c>
      <c r="E12" s="7">
        <v>0</v>
      </c>
      <c r="F12" s="25" t="s">
        <v>59</v>
      </c>
      <c r="G12" s="26">
        <v>0</v>
      </c>
      <c r="H12" s="6">
        <v>0</v>
      </c>
      <c r="I12" s="7">
        <v>0</v>
      </c>
      <c r="J12" s="25">
        <v>0</v>
      </c>
      <c r="K12" s="26">
        <v>1</v>
      </c>
      <c r="L12" s="6"/>
      <c r="M12" s="7"/>
      <c r="N12" s="25"/>
      <c r="O12" s="26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</row>
    <row r="13" ht="6" customHeight="1" spans="1:28">
      <c r="A13" s="45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4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</row>
    <row r="14" ht="24.75" customHeight="1" spans="1:28">
      <c r="A14" s="46" t="s">
        <v>27</v>
      </c>
      <c r="B14" s="38" t="s">
        <v>11</v>
      </c>
      <c r="C14" s="38" t="s">
        <v>12</v>
      </c>
      <c r="D14" s="39">
        <v>0</v>
      </c>
      <c r="E14" s="109">
        <v>0</v>
      </c>
      <c r="F14" s="41" t="s">
        <v>59</v>
      </c>
      <c r="G14" s="42">
        <v>0</v>
      </c>
      <c r="H14" s="39">
        <v>0</v>
      </c>
      <c r="I14" s="40">
        <v>0</v>
      </c>
      <c r="J14" s="41">
        <v>0</v>
      </c>
      <c r="K14" s="42">
        <v>0</v>
      </c>
      <c r="L14" s="39"/>
      <c r="M14" s="40"/>
      <c r="N14" s="41"/>
      <c r="O14" s="42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</row>
    <row r="15" ht="25.5" customHeight="1" spans="1:28">
      <c r="A15" s="43"/>
      <c r="B15" s="44" t="s">
        <v>28</v>
      </c>
      <c r="C15" s="44" t="s">
        <v>29</v>
      </c>
      <c r="D15" s="6">
        <v>1</v>
      </c>
      <c r="E15" s="110">
        <v>0</v>
      </c>
      <c r="F15" s="25" t="s">
        <v>59</v>
      </c>
      <c r="G15" s="26">
        <v>43</v>
      </c>
      <c r="H15" s="6">
        <v>19</v>
      </c>
      <c r="I15" s="7">
        <v>12</v>
      </c>
      <c r="J15" s="25">
        <v>96</v>
      </c>
      <c r="K15" s="26">
        <v>0</v>
      </c>
      <c r="L15" s="6"/>
      <c r="M15" s="7"/>
      <c r="N15" s="25"/>
      <c r="O15" s="26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</row>
    <row r="16" ht="23.25" customHeight="1" spans="1:28">
      <c r="A16" s="43"/>
      <c r="B16" s="38" t="s">
        <v>15</v>
      </c>
      <c r="C16" s="38" t="s">
        <v>16</v>
      </c>
      <c r="D16" s="39">
        <v>1</v>
      </c>
      <c r="E16" s="111">
        <v>1</v>
      </c>
      <c r="F16" s="41" t="s">
        <v>59</v>
      </c>
      <c r="G16" s="42">
        <v>0</v>
      </c>
      <c r="H16" s="39">
        <v>0</v>
      </c>
      <c r="I16" s="40">
        <v>0</v>
      </c>
      <c r="J16" s="41">
        <v>0</v>
      </c>
      <c r="K16" s="42">
        <v>0</v>
      </c>
      <c r="L16" s="39"/>
      <c r="M16" s="40"/>
      <c r="N16" s="41"/>
      <c r="O16" s="42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</row>
    <row r="17" ht="25.5" customHeight="1" spans="1:28">
      <c r="A17" s="43"/>
      <c r="B17" s="44" t="s">
        <v>17</v>
      </c>
      <c r="C17" s="44" t="s">
        <v>18</v>
      </c>
      <c r="D17" s="6">
        <v>0</v>
      </c>
      <c r="E17" s="110">
        <v>0</v>
      </c>
      <c r="F17" s="25" t="s">
        <v>59</v>
      </c>
      <c r="G17" s="26">
        <v>0</v>
      </c>
      <c r="H17" s="6">
        <v>0</v>
      </c>
      <c r="I17" s="7">
        <v>0</v>
      </c>
      <c r="J17" s="25">
        <v>0</v>
      </c>
      <c r="K17" s="26">
        <v>0</v>
      </c>
      <c r="L17" s="6"/>
      <c r="M17" s="7"/>
      <c r="N17" s="25"/>
      <c r="O17" s="26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</row>
    <row r="18" ht="22.5" customHeight="1" spans="1:28">
      <c r="A18" s="43"/>
      <c r="B18" s="38" t="s">
        <v>19</v>
      </c>
      <c r="C18" s="38" t="s">
        <v>20</v>
      </c>
      <c r="D18" s="39">
        <v>24</v>
      </c>
      <c r="E18" s="111">
        <v>0</v>
      </c>
      <c r="F18" s="41" t="s">
        <v>59</v>
      </c>
      <c r="G18" s="42">
        <v>1</v>
      </c>
      <c r="H18" s="39">
        <v>3</v>
      </c>
      <c r="I18" s="40">
        <v>6</v>
      </c>
      <c r="J18" s="41">
        <v>13</v>
      </c>
      <c r="K18" s="42">
        <v>0</v>
      </c>
      <c r="L18" s="39"/>
      <c r="M18" s="40"/>
      <c r="N18" s="41"/>
      <c r="O18" s="42"/>
      <c r="P18" s="81"/>
      <c r="Q18" s="81"/>
      <c r="R18" s="81"/>
      <c r="S18" s="81"/>
      <c r="T18" s="81"/>
      <c r="U18" s="81"/>
      <c r="V18" s="80"/>
      <c r="W18" s="80"/>
      <c r="X18" s="80"/>
      <c r="Y18" s="80"/>
      <c r="Z18" s="80"/>
      <c r="AA18" s="80"/>
      <c r="AB18" s="80"/>
    </row>
    <row r="19" ht="24" customHeight="1" spans="1:28">
      <c r="A19" s="43"/>
      <c r="B19" s="44" t="s">
        <v>21</v>
      </c>
      <c r="C19" s="44" t="s">
        <v>22</v>
      </c>
      <c r="D19" s="6">
        <v>0</v>
      </c>
      <c r="E19" s="112">
        <v>3</v>
      </c>
      <c r="F19" s="25" t="s">
        <v>59</v>
      </c>
      <c r="G19" s="26">
        <v>11</v>
      </c>
      <c r="H19" s="6">
        <v>22</v>
      </c>
      <c r="I19" s="7">
        <v>22</v>
      </c>
      <c r="J19" s="25">
        <v>24</v>
      </c>
      <c r="K19" s="26">
        <v>7</v>
      </c>
      <c r="L19" s="6"/>
      <c r="M19" s="7"/>
      <c r="N19" s="25"/>
      <c r="O19" s="26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</row>
    <row r="20" ht="25.5" customHeight="1" spans="1:28">
      <c r="A20" s="43"/>
      <c r="B20" s="38" t="s">
        <v>23</v>
      </c>
      <c r="C20" s="38" t="s">
        <v>24</v>
      </c>
      <c r="D20" s="39">
        <v>0</v>
      </c>
      <c r="E20" s="109">
        <v>1</v>
      </c>
      <c r="F20" s="41" t="s">
        <v>59</v>
      </c>
      <c r="G20" s="42">
        <v>0</v>
      </c>
      <c r="H20" s="39">
        <v>0</v>
      </c>
      <c r="I20" s="40">
        <v>0</v>
      </c>
      <c r="J20" s="41">
        <v>2</v>
      </c>
      <c r="K20" s="42">
        <v>0</v>
      </c>
      <c r="L20" s="39"/>
      <c r="M20" s="40"/>
      <c r="N20" s="41"/>
      <c r="O20" s="42"/>
      <c r="P20" s="81"/>
      <c r="Q20" s="81"/>
      <c r="R20" s="81"/>
      <c r="S20" s="81"/>
      <c r="T20" s="81"/>
      <c r="U20" s="81"/>
      <c r="V20" s="120"/>
      <c r="W20" s="120"/>
      <c r="X20" s="120"/>
      <c r="Y20" s="120"/>
      <c r="Z20" s="120"/>
      <c r="AA20" s="120"/>
      <c r="AB20" s="120"/>
    </row>
    <row r="21" ht="25.5" customHeight="1" spans="1:28">
      <c r="A21" s="5"/>
      <c r="B21" s="44" t="s">
        <v>25</v>
      </c>
      <c r="C21" s="44" t="s">
        <v>26</v>
      </c>
      <c r="D21" s="6">
        <v>0</v>
      </c>
      <c r="E21" s="110">
        <v>0</v>
      </c>
      <c r="F21" s="25" t="s">
        <v>59</v>
      </c>
      <c r="G21" s="26">
        <v>0</v>
      </c>
      <c r="H21" s="6">
        <v>2</v>
      </c>
      <c r="I21" s="7">
        <v>0</v>
      </c>
      <c r="J21" s="25">
        <v>11</v>
      </c>
      <c r="K21" s="26">
        <v>0</v>
      </c>
      <c r="L21" s="6"/>
      <c r="M21" s="7"/>
      <c r="N21" s="25"/>
      <c r="O21" s="26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</row>
    <row r="22" ht="6" customHeight="1" spans="1:28">
      <c r="A22" s="45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4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</row>
    <row r="23" ht="22.5" customHeight="1" spans="1:28">
      <c r="A23" s="51" t="s">
        <v>30</v>
      </c>
      <c r="B23" s="52" t="s">
        <v>11</v>
      </c>
      <c r="C23" s="52" t="s">
        <v>12</v>
      </c>
      <c r="D23" s="39">
        <f t="shared" ref="D23:E23" si="0">SUM(D5+D14)</f>
        <v>0</v>
      </c>
      <c r="E23" s="40">
        <f t="shared" si="0"/>
        <v>0</v>
      </c>
      <c r="F23" s="47" t="s">
        <v>59</v>
      </c>
      <c r="G23" s="48">
        <f t="shared" ref="G23:O23" si="1">SUM(G5+G14)</f>
        <v>0</v>
      </c>
      <c r="H23" s="39">
        <f t="shared" si="1"/>
        <v>0</v>
      </c>
      <c r="I23" s="40">
        <f t="shared" si="1"/>
        <v>0</v>
      </c>
      <c r="J23" s="47">
        <f t="shared" si="1"/>
        <v>0</v>
      </c>
      <c r="K23" s="48">
        <f t="shared" si="1"/>
        <v>0</v>
      </c>
      <c r="L23" s="39">
        <f t="shared" si="1"/>
        <v>0</v>
      </c>
      <c r="M23" s="40">
        <f t="shared" si="1"/>
        <v>0</v>
      </c>
      <c r="N23" s="47">
        <f t="shared" si="1"/>
        <v>0</v>
      </c>
      <c r="O23" s="48">
        <f t="shared" si="1"/>
        <v>0</v>
      </c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</row>
    <row r="24" ht="22.5" customHeight="1" spans="1:28">
      <c r="A24" s="43"/>
      <c r="B24" s="44" t="s">
        <v>13</v>
      </c>
      <c r="C24" s="44" t="s">
        <v>14</v>
      </c>
      <c r="D24" s="6">
        <f t="shared" ref="D24:E24" si="2">SUM(D6)</f>
        <v>0</v>
      </c>
      <c r="E24" s="7">
        <f t="shared" si="2"/>
        <v>0</v>
      </c>
      <c r="F24" s="8" t="s">
        <v>59</v>
      </c>
      <c r="G24" s="9">
        <f t="shared" ref="G24:O24" si="3">G5</f>
        <v>0</v>
      </c>
      <c r="H24" s="6">
        <f t="shared" si="3"/>
        <v>0</v>
      </c>
      <c r="I24" s="7">
        <f t="shared" si="3"/>
        <v>0</v>
      </c>
      <c r="J24" s="8">
        <f t="shared" si="3"/>
        <v>0</v>
      </c>
      <c r="K24" s="9">
        <f t="shared" si="3"/>
        <v>0</v>
      </c>
      <c r="L24" s="6">
        <f t="shared" si="3"/>
        <v>0</v>
      </c>
      <c r="M24" s="7">
        <f t="shared" si="3"/>
        <v>0</v>
      </c>
      <c r="N24" s="8">
        <f t="shared" si="3"/>
        <v>0</v>
      </c>
      <c r="O24" s="9">
        <f t="shared" si="3"/>
        <v>0</v>
      </c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</row>
    <row r="25" ht="25.5" customHeight="1" spans="1:28">
      <c r="A25" s="43"/>
      <c r="B25" s="52" t="s">
        <v>28</v>
      </c>
      <c r="C25" s="52" t="s">
        <v>29</v>
      </c>
      <c r="D25" s="39">
        <f t="shared" ref="D25:H25" si="4">D15</f>
        <v>1</v>
      </c>
      <c r="E25" s="40">
        <f t="shared" si="4"/>
        <v>0</v>
      </c>
      <c r="F25" s="47" t="str">
        <f t="shared" si="4"/>
        <v>X</v>
      </c>
      <c r="G25" s="48">
        <f t="shared" si="4"/>
        <v>43</v>
      </c>
      <c r="H25" s="39">
        <f t="shared" si="4"/>
        <v>19</v>
      </c>
      <c r="I25" s="40">
        <v>18</v>
      </c>
      <c r="J25" s="47">
        <f t="shared" ref="J25:O25" si="5">J15</f>
        <v>96</v>
      </c>
      <c r="K25" s="48">
        <f t="shared" si="5"/>
        <v>0</v>
      </c>
      <c r="L25" s="39">
        <f t="shared" si="5"/>
        <v>0</v>
      </c>
      <c r="M25" s="40">
        <f t="shared" si="5"/>
        <v>0</v>
      </c>
      <c r="N25" s="47">
        <f t="shared" si="5"/>
        <v>0</v>
      </c>
      <c r="O25" s="48">
        <f t="shared" si="5"/>
        <v>0</v>
      </c>
      <c r="P25" s="104">
        <f>SUM(D25:J25)</f>
        <v>177</v>
      </c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</row>
    <row r="26" ht="24.75" customHeight="1" spans="1:28">
      <c r="A26" s="43"/>
      <c r="B26" s="44" t="s">
        <v>15</v>
      </c>
      <c r="C26" s="44" t="s">
        <v>16</v>
      </c>
      <c r="D26" s="6">
        <f t="shared" ref="D26:E26" si="6">SUM(D7+D16)</f>
        <v>1</v>
      </c>
      <c r="E26" s="7">
        <f t="shared" si="6"/>
        <v>1</v>
      </c>
      <c r="F26" s="8" t="s">
        <v>59</v>
      </c>
      <c r="G26" s="9">
        <f t="shared" ref="G26:O26" si="7">SUM(G7+G16)</f>
        <v>0</v>
      </c>
      <c r="H26" s="6">
        <f t="shared" si="7"/>
        <v>2</v>
      </c>
      <c r="I26" s="7">
        <f t="shared" si="7"/>
        <v>1</v>
      </c>
      <c r="J26" s="8">
        <f t="shared" si="7"/>
        <v>0</v>
      </c>
      <c r="K26" s="9">
        <f t="shared" si="7"/>
        <v>0</v>
      </c>
      <c r="L26" s="6">
        <f t="shared" si="7"/>
        <v>0</v>
      </c>
      <c r="M26" s="7">
        <f t="shared" si="7"/>
        <v>0</v>
      </c>
      <c r="N26" s="8">
        <f t="shared" si="7"/>
        <v>0</v>
      </c>
      <c r="O26" s="9">
        <f t="shared" si="7"/>
        <v>0</v>
      </c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</row>
    <row r="27" ht="23.25" customHeight="1" spans="1:28">
      <c r="A27" s="43"/>
      <c r="B27" s="52" t="s">
        <v>17</v>
      </c>
      <c r="C27" s="52" t="s">
        <v>18</v>
      </c>
      <c r="D27" s="39">
        <f t="shared" ref="D27:E27" si="8">SUM(D8+D17)</f>
        <v>0</v>
      </c>
      <c r="E27" s="40">
        <f t="shared" si="8"/>
        <v>0</v>
      </c>
      <c r="F27" s="47" t="s">
        <v>59</v>
      </c>
      <c r="G27" s="48">
        <f t="shared" ref="G27:O27" si="9">SUM(G8+G17)</f>
        <v>0</v>
      </c>
      <c r="H27" s="39">
        <f t="shared" si="9"/>
        <v>0</v>
      </c>
      <c r="I27" s="40">
        <f t="shared" si="9"/>
        <v>0</v>
      </c>
      <c r="J27" s="47">
        <f t="shared" si="9"/>
        <v>0</v>
      </c>
      <c r="K27" s="48">
        <f t="shared" si="9"/>
        <v>1</v>
      </c>
      <c r="L27" s="39">
        <f t="shared" si="9"/>
        <v>0</v>
      </c>
      <c r="M27" s="40">
        <f t="shared" si="9"/>
        <v>0</v>
      </c>
      <c r="N27" s="47">
        <f t="shared" si="9"/>
        <v>0</v>
      </c>
      <c r="O27" s="48">
        <f t="shared" si="9"/>
        <v>0</v>
      </c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</row>
    <row r="28" ht="22.5" customHeight="1" spans="1:28">
      <c r="A28" s="43"/>
      <c r="B28" s="44" t="s">
        <v>19</v>
      </c>
      <c r="C28" s="44" t="s">
        <v>20</v>
      </c>
      <c r="D28" s="6">
        <f t="shared" ref="D28:E28" si="10">SUM(D9+D18)</f>
        <v>27</v>
      </c>
      <c r="E28" s="7">
        <f t="shared" si="10"/>
        <v>0</v>
      </c>
      <c r="F28" s="8" t="s">
        <v>59</v>
      </c>
      <c r="G28" s="9">
        <f t="shared" ref="G28:O28" si="11">SUM(G9+G18)</f>
        <v>1</v>
      </c>
      <c r="H28" s="6">
        <f t="shared" si="11"/>
        <v>5</v>
      </c>
      <c r="I28" s="7">
        <f t="shared" si="11"/>
        <v>16</v>
      </c>
      <c r="J28" s="8">
        <f t="shared" si="11"/>
        <v>25</v>
      </c>
      <c r="K28" s="9">
        <f t="shared" si="11"/>
        <v>0</v>
      </c>
      <c r="L28" s="6">
        <f t="shared" si="11"/>
        <v>0</v>
      </c>
      <c r="M28" s="7">
        <f t="shared" si="11"/>
        <v>0</v>
      </c>
      <c r="N28" s="8">
        <f t="shared" si="11"/>
        <v>0</v>
      </c>
      <c r="O28" s="9">
        <f t="shared" si="11"/>
        <v>0</v>
      </c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</row>
    <row r="29" ht="24.75" customHeight="1" spans="1:28">
      <c r="A29" s="43"/>
      <c r="B29" s="52" t="s">
        <v>21</v>
      </c>
      <c r="C29" s="52" t="s">
        <v>22</v>
      </c>
      <c r="D29" s="39">
        <f t="shared" ref="D29:E29" si="12">SUM(D10+D19)</f>
        <v>2</v>
      </c>
      <c r="E29" s="40">
        <f t="shared" si="12"/>
        <v>7</v>
      </c>
      <c r="F29" s="47" t="s">
        <v>59</v>
      </c>
      <c r="G29" s="48">
        <f t="shared" ref="G29:O29" si="13">SUM(G10+G19)</f>
        <v>26</v>
      </c>
      <c r="H29" s="39">
        <f t="shared" si="13"/>
        <v>49</v>
      </c>
      <c r="I29" s="40">
        <f t="shared" si="13"/>
        <v>29</v>
      </c>
      <c r="J29" s="47">
        <f t="shared" si="13"/>
        <v>41</v>
      </c>
      <c r="K29" s="48">
        <f t="shared" si="13"/>
        <v>13</v>
      </c>
      <c r="L29" s="39">
        <f t="shared" si="13"/>
        <v>0</v>
      </c>
      <c r="M29" s="40">
        <f t="shared" si="13"/>
        <v>0</v>
      </c>
      <c r="N29" s="47">
        <f t="shared" si="13"/>
        <v>0</v>
      </c>
      <c r="O29" s="48">
        <f t="shared" si="13"/>
        <v>0</v>
      </c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</row>
    <row r="30" ht="24.75" customHeight="1" spans="1:28">
      <c r="A30" s="43"/>
      <c r="B30" s="44" t="s">
        <v>23</v>
      </c>
      <c r="C30" s="44" t="s">
        <v>24</v>
      </c>
      <c r="D30" s="6">
        <f t="shared" ref="D30:E30" si="14">SUM(D11+D20)</f>
        <v>0</v>
      </c>
      <c r="E30" s="7">
        <f t="shared" si="14"/>
        <v>2</v>
      </c>
      <c r="F30" s="8" t="s">
        <v>59</v>
      </c>
      <c r="G30" s="9">
        <f t="shared" ref="G30:O30" si="15">SUM(G11+G20)</f>
        <v>2</v>
      </c>
      <c r="H30" s="6">
        <f t="shared" si="15"/>
        <v>0</v>
      </c>
      <c r="I30" s="7">
        <f t="shared" si="15"/>
        <v>0</v>
      </c>
      <c r="J30" s="8">
        <f t="shared" si="15"/>
        <v>3</v>
      </c>
      <c r="K30" s="9">
        <f t="shared" si="15"/>
        <v>0</v>
      </c>
      <c r="L30" s="6">
        <f t="shared" si="15"/>
        <v>0</v>
      </c>
      <c r="M30" s="7">
        <f t="shared" si="15"/>
        <v>0</v>
      </c>
      <c r="N30" s="8">
        <f t="shared" si="15"/>
        <v>0</v>
      </c>
      <c r="O30" s="9">
        <f t="shared" si="15"/>
        <v>0</v>
      </c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</row>
    <row r="31" ht="25.5" customHeight="1" spans="1:28">
      <c r="A31" s="5"/>
      <c r="B31" s="52" t="s">
        <v>25</v>
      </c>
      <c r="C31" s="52" t="s">
        <v>26</v>
      </c>
      <c r="D31" s="39">
        <f t="shared" ref="D31:E31" si="16">SUM(D12+D21)</f>
        <v>0</v>
      </c>
      <c r="E31" s="40">
        <f t="shared" si="16"/>
        <v>0</v>
      </c>
      <c r="F31" s="47" t="s">
        <v>59</v>
      </c>
      <c r="G31" s="48">
        <f t="shared" ref="G31:O31" si="17">SUM(G12+G21)</f>
        <v>0</v>
      </c>
      <c r="H31" s="39">
        <f t="shared" si="17"/>
        <v>2</v>
      </c>
      <c r="I31" s="40">
        <f t="shared" si="17"/>
        <v>0</v>
      </c>
      <c r="J31" s="47">
        <f t="shared" si="17"/>
        <v>11</v>
      </c>
      <c r="K31" s="48">
        <f t="shared" si="17"/>
        <v>1</v>
      </c>
      <c r="L31" s="39">
        <f t="shared" si="17"/>
        <v>0</v>
      </c>
      <c r="M31" s="40">
        <f t="shared" si="17"/>
        <v>0</v>
      </c>
      <c r="N31" s="47">
        <f t="shared" si="17"/>
        <v>0</v>
      </c>
      <c r="O31" s="48">
        <f t="shared" si="17"/>
        <v>0</v>
      </c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</row>
    <row r="32" ht="21.75" customHeight="1" spans="1:28">
      <c r="A32" s="53"/>
      <c r="B32" s="53"/>
      <c r="C32" s="54" t="s">
        <v>30</v>
      </c>
      <c r="D32" s="55">
        <f t="shared" ref="D32:E32" si="18">SUM(D23:D31)</f>
        <v>31</v>
      </c>
      <c r="E32" s="56">
        <f t="shared" si="18"/>
        <v>10</v>
      </c>
      <c r="F32" s="90" t="s">
        <v>59</v>
      </c>
      <c r="G32" s="57">
        <f t="shared" ref="G32:O32" si="19">SUM(G23:G31)</f>
        <v>72</v>
      </c>
      <c r="H32" s="113">
        <f t="shared" si="19"/>
        <v>77</v>
      </c>
      <c r="I32" s="56">
        <f t="shared" si="19"/>
        <v>64</v>
      </c>
      <c r="J32" s="90">
        <f t="shared" si="19"/>
        <v>176</v>
      </c>
      <c r="K32" s="57">
        <f t="shared" si="19"/>
        <v>15</v>
      </c>
      <c r="L32" s="55">
        <f t="shared" si="19"/>
        <v>0</v>
      </c>
      <c r="M32" s="56">
        <f t="shared" si="19"/>
        <v>0</v>
      </c>
      <c r="N32" s="90">
        <f t="shared" si="19"/>
        <v>0</v>
      </c>
      <c r="O32" s="57">
        <f t="shared" si="19"/>
        <v>0</v>
      </c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</row>
    <row r="33" ht="24.75" customHeight="1" spans="1:28">
      <c r="A33" s="58"/>
      <c r="B33" s="58"/>
      <c r="C33" s="54" t="s">
        <v>31</v>
      </c>
      <c r="D33" s="59">
        <f t="shared" ref="D33:E33" si="20">D32*40</f>
        <v>1240</v>
      </c>
      <c r="E33" s="60">
        <f t="shared" si="20"/>
        <v>400</v>
      </c>
      <c r="F33" s="61" t="s">
        <v>59</v>
      </c>
      <c r="G33" s="62">
        <f t="shared" ref="G33:O33" si="21">G32*40</f>
        <v>2880</v>
      </c>
      <c r="H33" s="59">
        <f t="shared" si="21"/>
        <v>3080</v>
      </c>
      <c r="I33" s="60">
        <f t="shared" si="21"/>
        <v>2560</v>
      </c>
      <c r="J33" s="61">
        <f t="shared" si="21"/>
        <v>7040</v>
      </c>
      <c r="K33" s="62">
        <f t="shared" si="21"/>
        <v>600</v>
      </c>
      <c r="L33" s="59">
        <f t="shared" si="21"/>
        <v>0</v>
      </c>
      <c r="M33" s="60">
        <f t="shared" si="21"/>
        <v>0</v>
      </c>
      <c r="N33" s="61">
        <f t="shared" si="21"/>
        <v>0</v>
      </c>
      <c r="O33" s="62">
        <f t="shared" si="21"/>
        <v>0</v>
      </c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</row>
    <row r="34" ht="27.75" customHeight="1" spans="1:28">
      <c r="A34" s="58"/>
      <c r="B34" s="58"/>
      <c r="C34" s="114" t="s">
        <v>37</v>
      </c>
      <c r="D34" s="64"/>
      <c r="E34" s="64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</row>
    <row r="35" customHeight="1" spans="2:28">
      <c r="B35" s="70"/>
      <c r="C35" s="70"/>
      <c r="D35" s="67"/>
      <c r="E35" s="67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</row>
    <row r="36" customHeight="1" spans="2:28">
      <c r="B36" s="69" t="s">
        <v>32</v>
      </c>
      <c r="C36" s="70"/>
      <c r="D36" s="67"/>
      <c r="E36" s="67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</row>
    <row r="37" ht="15.75" customHeight="1" spans="2:28">
      <c r="B37" s="71" t="s">
        <v>33</v>
      </c>
      <c r="C37" s="72" t="s">
        <v>60</v>
      </c>
      <c r="D37" s="67"/>
      <c r="E37" s="67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</row>
    <row r="38" ht="15.75" customHeight="1" spans="2:28">
      <c r="B38" s="71" t="s">
        <v>34</v>
      </c>
      <c r="C38" s="72" t="s">
        <v>61</v>
      </c>
      <c r="D38" s="67"/>
      <c r="E38" s="67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</row>
    <row r="39" ht="13.5" customHeight="1" spans="2:28">
      <c r="B39" s="71" t="s">
        <v>35</v>
      </c>
      <c r="C39" s="72" t="s">
        <v>62</v>
      </c>
      <c r="D39" s="67"/>
      <c r="E39" s="67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</row>
    <row r="40" customHeight="1" spans="1:28">
      <c r="A40" s="58"/>
      <c r="B40" s="71" t="s">
        <v>36</v>
      </c>
      <c r="C40" s="72" t="s">
        <v>63</v>
      </c>
      <c r="D40" s="67"/>
      <c r="E40" s="67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</row>
    <row r="41" customHeight="1" spans="1:28">
      <c r="A41" s="58"/>
      <c r="B41" s="58"/>
      <c r="C41" s="58"/>
      <c r="D41" s="67"/>
      <c r="E41" s="67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</row>
    <row r="42" customHeight="1" spans="1:28">
      <c r="A42" s="58"/>
      <c r="B42" s="58"/>
      <c r="C42" s="58"/>
      <c r="D42" s="73">
        <v>2022</v>
      </c>
      <c r="E42" s="3"/>
      <c r="F42" s="3"/>
      <c r="G42" s="4"/>
      <c r="H42" s="74">
        <v>2023</v>
      </c>
      <c r="I42" s="3"/>
      <c r="J42" s="3"/>
      <c r="K42" s="4"/>
      <c r="L42" s="74">
        <v>2024</v>
      </c>
      <c r="M42" s="3"/>
      <c r="N42" s="3"/>
      <c r="O42" s="4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</row>
    <row r="43" customHeight="1" spans="1:28">
      <c r="A43" s="58"/>
      <c r="B43" s="58"/>
      <c r="C43" s="58"/>
      <c r="D43" s="75" t="s">
        <v>42</v>
      </c>
      <c r="E43" s="76" t="s">
        <v>43</v>
      </c>
      <c r="F43" s="77" t="s">
        <v>44</v>
      </c>
      <c r="G43" s="78" t="s">
        <v>45</v>
      </c>
      <c r="H43" s="79" t="s">
        <v>46</v>
      </c>
      <c r="I43" s="76" t="s">
        <v>47</v>
      </c>
      <c r="J43" s="77" t="s">
        <v>48</v>
      </c>
      <c r="K43" s="78" t="s">
        <v>49</v>
      </c>
      <c r="L43" s="79" t="s">
        <v>50</v>
      </c>
      <c r="M43" s="76" t="s">
        <v>51</v>
      </c>
      <c r="N43" s="77" t="s">
        <v>52</v>
      </c>
      <c r="O43" s="78" t="s">
        <v>53</v>
      </c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</row>
    <row r="44" ht="23.25" customHeight="1" spans="3:28">
      <c r="C44" s="52" t="s">
        <v>11</v>
      </c>
      <c r="D44" s="11">
        <f t="shared" ref="D44:O44" si="22">D23/5*100</f>
        <v>0</v>
      </c>
      <c r="E44" s="11">
        <f t="shared" si="22"/>
        <v>0</v>
      </c>
      <c r="F44" s="11" t="e">
        <f t="shared" si="22"/>
        <v>#VALUE!</v>
      </c>
      <c r="G44" s="11">
        <f t="shared" si="22"/>
        <v>0</v>
      </c>
      <c r="H44" s="11">
        <f t="shared" si="22"/>
        <v>0</v>
      </c>
      <c r="I44" s="11">
        <f t="shared" si="22"/>
        <v>0</v>
      </c>
      <c r="J44" s="11">
        <f t="shared" si="22"/>
        <v>0</v>
      </c>
      <c r="K44" s="11">
        <f t="shared" si="22"/>
        <v>0</v>
      </c>
      <c r="L44" s="11">
        <f t="shared" si="22"/>
        <v>0</v>
      </c>
      <c r="M44" s="11">
        <f t="shared" si="22"/>
        <v>0</v>
      </c>
      <c r="N44" s="11">
        <f t="shared" si="22"/>
        <v>0</v>
      </c>
      <c r="O44" s="11">
        <f t="shared" si="22"/>
        <v>0</v>
      </c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</row>
    <row r="45" ht="14.25" customHeight="1" spans="3:28">
      <c r="C45" s="44" t="s">
        <v>13</v>
      </c>
      <c r="D45" s="11">
        <f t="shared" ref="D45:O45" si="23">D24/5*100</f>
        <v>0</v>
      </c>
      <c r="E45" s="11">
        <f t="shared" si="23"/>
        <v>0</v>
      </c>
      <c r="F45" s="11" t="e">
        <f t="shared" si="23"/>
        <v>#VALUE!</v>
      </c>
      <c r="G45" s="11">
        <f t="shared" si="23"/>
        <v>0</v>
      </c>
      <c r="H45" s="11">
        <f t="shared" si="23"/>
        <v>0</v>
      </c>
      <c r="I45" s="11">
        <f t="shared" si="23"/>
        <v>0</v>
      </c>
      <c r="J45" s="11">
        <f t="shared" si="23"/>
        <v>0</v>
      </c>
      <c r="K45" s="11">
        <f t="shared" si="23"/>
        <v>0</v>
      </c>
      <c r="L45" s="11">
        <f t="shared" si="23"/>
        <v>0</v>
      </c>
      <c r="M45" s="11">
        <f t="shared" si="23"/>
        <v>0</v>
      </c>
      <c r="N45" s="11">
        <f t="shared" si="23"/>
        <v>0</v>
      </c>
      <c r="O45" s="11">
        <f t="shared" si="23"/>
        <v>0</v>
      </c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</row>
    <row r="46" ht="14.25" customHeight="1" spans="3:28">
      <c r="C46" s="52" t="s">
        <v>28</v>
      </c>
      <c r="D46" s="11">
        <f t="shared" ref="D46:O46" si="24">D25/5*100</f>
        <v>20</v>
      </c>
      <c r="E46" s="11">
        <f t="shared" si="24"/>
        <v>0</v>
      </c>
      <c r="F46" s="11" t="e">
        <f t="shared" si="24"/>
        <v>#VALUE!</v>
      </c>
      <c r="G46" s="11">
        <f t="shared" si="24"/>
        <v>860</v>
      </c>
      <c r="H46" s="11">
        <f t="shared" si="24"/>
        <v>380</v>
      </c>
      <c r="I46" s="11">
        <f t="shared" si="24"/>
        <v>360</v>
      </c>
      <c r="J46" s="11">
        <f t="shared" si="24"/>
        <v>1920</v>
      </c>
      <c r="K46" s="11">
        <f t="shared" si="24"/>
        <v>0</v>
      </c>
      <c r="L46" s="11">
        <f t="shared" si="24"/>
        <v>0</v>
      </c>
      <c r="M46" s="11">
        <f t="shared" si="24"/>
        <v>0</v>
      </c>
      <c r="N46" s="11">
        <f t="shared" si="24"/>
        <v>0</v>
      </c>
      <c r="O46" s="11">
        <f t="shared" si="24"/>
        <v>0</v>
      </c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</row>
    <row r="47" ht="14.25" customHeight="1" spans="3:28">
      <c r="C47" s="44" t="s">
        <v>15</v>
      </c>
      <c r="D47" s="11">
        <f t="shared" ref="D47:O47" si="25">D26/5*100</f>
        <v>20</v>
      </c>
      <c r="E47" s="11">
        <f t="shared" si="25"/>
        <v>20</v>
      </c>
      <c r="F47" s="11" t="e">
        <f t="shared" si="25"/>
        <v>#VALUE!</v>
      </c>
      <c r="G47" s="11">
        <f t="shared" si="25"/>
        <v>0</v>
      </c>
      <c r="H47" s="11">
        <f t="shared" si="25"/>
        <v>40</v>
      </c>
      <c r="I47" s="11">
        <f t="shared" si="25"/>
        <v>20</v>
      </c>
      <c r="J47" s="11">
        <f t="shared" si="25"/>
        <v>0</v>
      </c>
      <c r="K47" s="11">
        <f t="shared" si="25"/>
        <v>0</v>
      </c>
      <c r="L47" s="11">
        <f t="shared" si="25"/>
        <v>0</v>
      </c>
      <c r="M47" s="11">
        <f t="shared" si="25"/>
        <v>0</v>
      </c>
      <c r="N47" s="11">
        <f t="shared" si="25"/>
        <v>0</v>
      </c>
      <c r="O47" s="11">
        <f t="shared" si="25"/>
        <v>0</v>
      </c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</row>
    <row r="48" ht="14.25" customHeight="1" spans="3:28">
      <c r="C48" s="52" t="s">
        <v>17</v>
      </c>
      <c r="D48" s="11">
        <f t="shared" ref="D48:O48" si="26">D27/5*100</f>
        <v>0</v>
      </c>
      <c r="E48" s="11">
        <f t="shared" si="26"/>
        <v>0</v>
      </c>
      <c r="F48" s="11" t="e">
        <f t="shared" si="26"/>
        <v>#VALUE!</v>
      </c>
      <c r="G48" s="11">
        <f t="shared" si="26"/>
        <v>0</v>
      </c>
      <c r="H48" s="11">
        <f t="shared" si="26"/>
        <v>0</v>
      </c>
      <c r="I48" s="11">
        <f t="shared" si="26"/>
        <v>0</v>
      </c>
      <c r="J48" s="11">
        <f t="shared" si="26"/>
        <v>0</v>
      </c>
      <c r="K48" s="11">
        <f t="shared" si="26"/>
        <v>20</v>
      </c>
      <c r="L48" s="11">
        <f t="shared" si="26"/>
        <v>0</v>
      </c>
      <c r="M48" s="11">
        <f t="shared" si="26"/>
        <v>0</v>
      </c>
      <c r="N48" s="11">
        <f t="shared" si="26"/>
        <v>0</v>
      </c>
      <c r="O48" s="11">
        <f t="shared" si="26"/>
        <v>0</v>
      </c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</row>
    <row r="49" ht="14.25" customHeight="1" spans="3:28">
      <c r="C49" s="44" t="s">
        <v>19</v>
      </c>
      <c r="D49" s="11">
        <f t="shared" ref="D49:O49" si="27">D28/5*100</f>
        <v>540</v>
      </c>
      <c r="E49" s="11">
        <f t="shared" si="27"/>
        <v>0</v>
      </c>
      <c r="F49" s="11" t="e">
        <f t="shared" si="27"/>
        <v>#VALUE!</v>
      </c>
      <c r="G49" s="11">
        <f t="shared" si="27"/>
        <v>20</v>
      </c>
      <c r="H49" s="11">
        <f t="shared" si="27"/>
        <v>100</v>
      </c>
      <c r="I49" s="11">
        <f t="shared" si="27"/>
        <v>320</v>
      </c>
      <c r="J49" s="11">
        <f t="shared" si="27"/>
        <v>500</v>
      </c>
      <c r="K49" s="11">
        <f t="shared" si="27"/>
        <v>0</v>
      </c>
      <c r="L49" s="11">
        <f t="shared" si="27"/>
        <v>0</v>
      </c>
      <c r="M49" s="11">
        <f t="shared" si="27"/>
        <v>0</v>
      </c>
      <c r="N49" s="11">
        <f t="shared" si="27"/>
        <v>0</v>
      </c>
      <c r="O49" s="11">
        <f t="shared" si="27"/>
        <v>0</v>
      </c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</row>
    <row r="50" ht="14.25" customHeight="1" spans="3:28">
      <c r="C50" s="52" t="s">
        <v>21</v>
      </c>
      <c r="D50" s="11">
        <f t="shared" ref="D50:O50" si="28">D29/5*100</f>
        <v>40</v>
      </c>
      <c r="E50" s="11">
        <f t="shared" si="28"/>
        <v>140</v>
      </c>
      <c r="F50" s="11" t="e">
        <f t="shared" si="28"/>
        <v>#VALUE!</v>
      </c>
      <c r="G50" s="11">
        <f t="shared" si="28"/>
        <v>520</v>
      </c>
      <c r="H50" s="11">
        <f t="shared" si="28"/>
        <v>980</v>
      </c>
      <c r="I50" s="11">
        <f t="shared" si="28"/>
        <v>580</v>
      </c>
      <c r="J50" s="11">
        <f t="shared" si="28"/>
        <v>820</v>
      </c>
      <c r="K50" s="11">
        <f t="shared" si="28"/>
        <v>260</v>
      </c>
      <c r="L50" s="11">
        <f t="shared" si="28"/>
        <v>0</v>
      </c>
      <c r="M50" s="11">
        <f t="shared" si="28"/>
        <v>0</v>
      </c>
      <c r="N50" s="11">
        <f t="shared" si="28"/>
        <v>0</v>
      </c>
      <c r="O50" s="11">
        <f t="shared" si="28"/>
        <v>0</v>
      </c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</row>
    <row r="51" ht="14.25" customHeight="1" spans="3:28">
      <c r="C51" s="44" t="s">
        <v>23</v>
      </c>
      <c r="D51" s="11">
        <f t="shared" ref="D51:O51" si="29">D30/5*100</f>
        <v>0</v>
      </c>
      <c r="E51" s="11">
        <f t="shared" si="29"/>
        <v>40</v>
      </c>
      <c r="F51" s="11" t="e">
        <f t="shared" si="29"/>
        <v>#VALUE!</v>
      </c>
      <c r="G51" s="11">
        <f t="shared" si="29"/>
        <v>40</v>
      </c>
      <c r="H51" s="11">
        <f t="shared" si="29"/>
        <v>0</v>
      </c>
      <c r="I51" s="11">
        <f t="shared" si="29"/>
        <v>0</v>
      </c>
      <c r="J51" s="11">
        <f t="shared" si="29"/>
        <v>60</v>
      </c>
      <c r="K51" s="11">
        <f t="shared" si="29"/>
        <v>0</v>
      </c>
      <c r="L51" s="11">
        <f t="shared" si="29"/>
        <v>0</v>
      </c>
      <c r="M51" s="11">
        <f t="shared" si="29"/>
        <v>0</v>
      </c>
      <c r="N51" s="11">
        <f t="shared" si="29"/>
        <v>0</v>
      </c>
      <c r="O51" s="11">
        <f t="shared" si="29"/>
        <v>0</v>
      </c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</row>
    <row r="52" ht="14.25" customHeight="1" spans="3:28">
      <c r="C52" s="52" t="s">
        <v>25</v>
      </c>
      <c r="D52" s="11">
        <f t="shared" ref="D52:O52" si="30">D31/5*100</f>
        <v>0</v>
      </c>
      <c r="E52" s="11">
        <f t="shared" si="30"/>
        <v>0</v>
      </c>
      <c r="F52" s="11" t="e">
        <f t="shared" si="30"/>
        <v>#VALUE!</v>
      </c>
      <c r="G52" s="11">
        <f t="shared" si="30"/>
        <v>0</v>
      </c>
      <c r="H52" s="11">
        <f t="shared" si="30"/>
        <v>40</v>
      </c>
      <c r="I52" s="11">
        <f t="shared" si="30"/>
        <v>0</v>
      </c>
      <c r="J52" s="11">
        <f t="shared" si="30"/>
        <v>220</v>
      </c>
      <c r="K52" s="11">
        <f t="shared" si="30"/>
        <v>20</v>
      </c>
      <c r="L52" s="11">
        <f t="shared" si="30"/>
        <v>0</v>
      </c>
      <c r="M52" s="11">
        <f t="shared" si="30"/>
        <v>0</v>
      </c>
      <c r="N52" s="11">
        <f t="shared" si="30"/>
        <v>0</v>
      </c>
      <c r="O52" s="11">
        <f t="shared" si="30"/>
        <v>0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</row>
    <row r="53" ht="14.25" customHeight="1" spans="4:28"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</row>
    <row r="54" ht="14.25" customHeight="1" spans="4:28"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</row>
    <row r="55" ht="14.25" customHeight="1" spans="4:28"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</row>
    <row r="56" ht="14.25" customHeight="1" spans="4:28"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</row>
    <row r="57" ht="14.25" customHeight="1" spans="4:28"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</row>
    <row r="58" ht="14.25" customHeight="1" spans="4:28"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</row>
    <row r="59" ht="14.25" customHeight="1" spans="4:28"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  <c r="AB59" s="68"/>
    </row>
    <row r="60" ht="14.25" customHeight="1" spans="4:28"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  <c r="AB60" s="68"/>
    </row>
    <row r="61" ht="14.25" customHeight="1" spans="4:28"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  <c r="AB61" s="68"/>
    </row>
    <row r="62" ht="14.25" customHeight="1" spans="4:28"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  <c r="AB62" s="68"/>
    </row>
    <row r="63" ht="14.25" customHeight="1" spans="4:28"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</row>
    <row r="64" ht="14.25" customHeight="1" spans="4:28"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  <c r="AB64" s="68"/>
    </row>
    <row r="65" ht="14.25" customHeight="1" spans="4:28"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</row>
    <row r="66" ht="14.25" customHeight="1" spans="4:28"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</row>
    <row r="67" ht="14.25" customHeight="1" spans="4:28"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  <c r="AB67" s="68"/>
    </row>
    <row r="68" ht="14.25" customHeight="1" spans="4:28"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</row>
    <row r="69" ht="14.25" customHeight="1" spans="4:28"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</row>
    <row r="70" ht="14.25" customHeight="1" spans="4:28"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  <c r="AB70" s="68"/>
    </row>
    <row r="71" ht="14.25" customHeight="1" spans="4:28"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  <c r="AB71" s="68"/>
    </row>
    <row r="72" ht="14.25" customHeight="1" spans="4:28"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  <c r="AB72" s="68"/>
    </row>
    <row r="73" ht="14.25" customHeight="1" spans="4:28"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</row>
    <row r="74" ht="14.25" customHeight="1" spans="4:28"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  <c r="AB74" s="68"/>
    </row>
    <row r="75" ht="14.25" customHeight="1" spans="4:28"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68"/>
    </row>
    <row r="76" ht="14.25" customHeight="1" spans="4:28"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</row>
    <row r="77" ht="14.25" customHeight="1" spans="4:28"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</row>
    <row r="78" ht="14.25" customHeight="1" spans="4:28"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</row>
    <row r="79" ht="14.25" customHeight="1" spans="4:28"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</row>
    <row r="80" ht="14.25" customHeight="1" spans="4:28"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</row>
    <row r="81" ht="14.25" customHeight="1" spans="4:28"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  <c r="AB81" s="68"/>
    </row>
    <row r="82" ht="14.25" customHeight="1" spans="4:28"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</row>
    <row r="83" ht="14.25" customHeight="1" spans="4:28"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</row>
    <row r="84" ht="14.25" customHeight="1" spans="4:28"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</row>
    <row r="85" ht="14.25" customHeight="1" spans="4:28"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</row>
    <row r="86" ht="14.25" customHeight="1" spans="4:28"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</row>
    <row r="87" ht="14.25" customHeight="1" spans="4:28"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</row>
    <row r="88" ht="14.25" customHeight="1" spans="4:28"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</row>
    <row r="89" ht="14.25" customHeight="1" spans="4:28"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</row>
    <row r="90" ht="14.25" customHeight="1" spans="4:28"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</row>
    <row r="91" ht="14.25" customHeight="1" spans="4:28"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</row>
    <row r="92" ht="14.25" customHeight="1" spans="4:28"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</row>
    <row r="93" ht="14.25" customHeight="1" spans="4:28"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</row>
    <row r="94" ht="14.25" customHeight="1" spans="4:28"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</row>
    <row r="95" ht="14.25" customHeight="1" spans="4:28"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</row>
    <row r="96" ht="14.25" customHeight="1" spans="4:28"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</row>
    <row r="97" ht="14.25" customHeight="1" spans="4:28"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</row>
    <row r="98" ht="14.25" customHeight="1" spans="4:28"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</row>
    <row r="99" ht="14.25" customHeight="1" spans="4:28"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</row>
    <row r="100" ht="14.25" customHeight="1" spans="4:28"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</row>
    <row r="101" ht="14.25" customHeight="1" spans="4:28"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</row>
    <row r="102" ht="14.25" customHeight="1" spans="4:28"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</row>
    <row r="103" ht="14.25" customHeight="1" spans="4:28"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</row>
    <row r="104" ht="14.25" customHeight="1" spans="4:28"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</row>
    <row r="105" ht="14.25" customHeight="1" spans="4:28"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</row>
    <row r="106" ht="14.25" customHeight="1" spans="4:28"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</row>
    <row r="107" ht="14.25" customHeight="1" spans="4:28"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</row>
    <row r="108" ht="14.25" customHeight="1" spans="4:28"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</row>
    <row r="109" ht="14.25" customHeight="1" spans="4:28"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</row>
    <row r="110" ht="14.25" customHeight="1" spans="4:28"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8"/>
      <c r="AB110" s="68"/>
    </row>
    <row r="111" ht="14.25" customHeight="1" spans="4:28"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</row>
    <row r="112" ht="14.25" customHeight="1" spans="4:28"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68"/>
      <c r="AB112" s="68"/>
    </row>
    <row r="113" ht="14.25" customHeight="1" spans="4:28"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  <c r="AA113" s="68"/>
      <c r="AB113" s="68"/>
    </row>
    <row r="114" ht="14.25" customHeight="1" spans="4:7">
      <c r="D114" s="93"/>
      <c r="E114" s="94"/>
      <c r="F114" s="95"/>
      <c r="G114" s="96"/>
    </row>
    <row r="115" ht="14.25" customHeight="1" spans="4:7">
      <c r="D115" s="93"/>
      <c r="E115" s="94"/>
      <c r="F115" s="95"/>
      <c r="G115" s="96"/>
    </row>
    <row r="116" ht="14.25" customHeight="1" spans="4:7">
      <c r="D116" s="93"/>
      <c r="E116" s="94"/>
      <c r="F116" s="95"/>
      <c r="G116" s="96"/>
    </row>
    <row r="117" ht="14.25" customHeight="1" spans="4:7">
      <c r="D117" s="93"/>
      <c r="E117" s="94"/>
      <c r="F117" s="95"/>
      <c r="G117" s="96"/>
    </row>
    <row r="118" ht="14.25" customHeight="1" spans="4:7">
      <c r="D118" s="93"/>
      <c r="E118" s="94"/>
      <c r="F118" s="95"/>
      <c r="G118" s="96"/>
    </row>
    <row r="119" ht="14.25" customHeight="1" spans="4:7">
      <c r="D119" s="93"/>
      <c r="E119" s="94"/>
      <c r="F119" s="95"/>
      <c r="G119" s="96"/>
    </row>
    <row r="120" ht="14.25" customHeight="1" spans="4:7">
      <c r="D120" s="93"/>
      <c r="E120" s="94"/>
      <c r="F120" s="95"/>
      <c r="G120" s="96"/>
    </row>
    <row r="121" ht="14.25" customHeight="1" spans="4:7">
      <c r="D121" s="93"/>
      <c r="E121" s="94"/>
      <c r="F121" s="95"/>
      <c r="G121" s="96"/>
    </row>
    <row r="122" ht="14.25" customHeight="1" spans="4:7">
      <c r="D122" s="93"/>
      <c r="E122" s="94"/>
      <c r="F122" s="95"/>
      <c r="G122" s="96"/>
    </row>
    <row r="123" ht="14.25" customHeight="1" spans="4:7">
      <c r="D123" s="93"/>
      <c r="E123" s="94"/>
      <c r="F123" s="95"/>
      <c r="G123" s="96"/>
    </row>
    <row r="124" ht="14.25" customHeight="1" spans="4:7">
      <c r="D124" s="93"/>
      <c r="E124" s="94"/>
      <c r="F124" s="95"/>
      <c r="G124" s="96"/>
    </row>
    <row r="125" ht="14.25" customHeight="1" spans="4:7">
      <c r="D125" s="93"/>
      <c r="E125" s="94"/>
      <c r="F125" s="95"/>
      <c r="G125" s="96"/>
    </row>
    <row r="126" ht="14.25" customHeight="1" spans="4:7">
      <c r="D126" s="93"/>
      <c r="E126" s="94"/>
      <c r="F126" s="95"/>
      <c r="G126" s="96"/>
    </row>
    <row r="127" ht="14.25" customHeight="1" spans="4:7">
      <c r="D127" s="93"/>
      <c r="E127" s="94"/>
      <c r="F127" s="95"/>
      <c r="G127" s="96"/>
    </row>
    <row r="128" ht="14.25" customHeight="1" spans="4:7">
      <c r="D128" s="93"/>
      <c r="E128" s="94"/>
      <c r="F128" s="95"/>
      <c r="G128" s="96"/>
    </row>
    <row r="129" ht="14.25" customHeight="1" spans="4:7">
      <c r="D129" s="93"/>
      <c r="E129" s="94"/>
      <c r="F129" s="95"/>
      <c r="G129" s="96"/>
    </row>
    <row r="130" ht="14.25" customHeight="1" spans="4:7">
      <c r="D130" s="93"/>
      <c r="E130" s="94"/>
      <c r="F130" s="95"/>
      <c r="G130" s="96"/>
    </row>
    <row r="131" ht="14.25" customHeight="1" spans="4:7">
      <c r="D131" s="93"/>
      <c r="E131" s="94"/>
      <c r="F131" s="95"/>
      <c r="G131" s="96"/>
    </row>
    <row r="132" ht="14.25" customHeight="1" spans="4:7">
      <c r="D132" s="93"/>
      <c r="E132" s="94"/>
      <c r="F132" s="95"/>
      <c r="G132" s="96"/>
    </row>
    <row r="133" ht="14.25" customHeight="1" spans="4:7">
      <c r="D133" s="93"/>
      <c r="E133" s="94"/>
      <c r="F133" s="95"/>
      <c r="G133" s="96"/>
    </row>
    <row r="134" ht="14.25" customHeight="1" spans="4:7">
      <c r="D134" s="93"/>
      <c r="E134" s="94"/>
      <c r="F134" s="95"/>
      <c r="G134" s="96"/>
    </row>
    <row r="135" ht="14.25" customHeight="1" spans="4:7">
      <c r="D135" s="93"/>
      <c r="E135" s="94"/>
      <c r="F135" s="95"/>
      <c r="G135" s="96"/>
    </row>
    <row r="136" ht="14.25" customHeight="1" spans="4:7">
      <c r="D136" s="93"/>
      <c r="E136" s="94"/>
      <c r="F136" s="95"/>
      <c r="G136" s="96"/>
    </row>
    <row r="137" ht="14.25" customHeight="1" spans="4:7">
      <c r="D137" s="93"/>
      <c r="E137" s="94"/>
      <c r="F137" s="95"/>
      <c r="G137" s="96"/>
    </row>
    <row r="138" ht="14.25" customHeight="1" spans="4:7">
      <c r="D138" s="93"/>
      <c r="E138" s="94"/>
      <c r="F138" s="95"/>
      <c r="G138" s="96"/>
    </row>
    <row r="139" ht="14.25" customHeight="1" spans="4:7">
      <c r="D139" s="93"/>
      <c r="E139" s="94"/>
      <c r="F139" s="95"/>
      <c r="G139" s="96"/>
    </row>
    <row r="140" ht="14.25" customHeight="1" spans="4:7">
      <c r="D140" s="93"/>
      <c r="E140" s="94"/>
      <c r="F140" s="95"/>
      <c r="G140" s="96"/>
    </row>
    <row r="141" ht="14.25" customHeight="1" spans="4:7">
      <c r="D141" s="93"/>
      <c r="E141" s="94"/>
      <c r="F141" s="95"/>
      <c r="G141" s="96"/>
    </row>
    <row r="142" ht="14.25" customHeight="1" spans="4:7">
      <c r="D142" s="93"/>
      <c r="E142" s="94"/>
      <c r="F142" s="95"/>
      <c r="G142" s="96"/>
    </row>
    <row r="143" ht="14.25" customHeight="1" spans="4:7">
      <c r="D143" s="93"/>
      <c r="E143" s="94"/>
      <c r="F143" s="95"/>
      <c r="G143" s="96"/>
    </row>
    <row r="144" ht="14.25" customHeight="1" spans="4:7">
      <c r="D144" s="93"/>
      <c r="E144" s="94"/>
      <c r="F144" s="95"/>
      <c r="G144" s="96"/>
    </row>
    <row r="145" ht="14.25" customHeight="1" spans="4:7">
      <c r="D145" s="93"/>
      <c r="E145" s="94"/>
      <c r="F145" s="95"/>
      <c r="G145" s="96"/>
    </row>
    <row r="146" ht="14.25" customHeight="1" spans="4:7">
      <c r="D146" s="93"/>
      <c r="E146" s="94"/>
      <c r="F146" s="95"/>
      <c r="G146" s="96"/>
    </row>
    <row r="147" ht="14.25" customHeight="1" spans="4:7">
      <c r="D147" s="93"/>
      <c r="E147" s="94"/>
      <c r="F147" s="95"/>
      <c r="G147" s="96"/>
    </row>
    <row r="148" ht="14.25" customHeight="1" spans="4:7">
      <c r="D148" s="93"/>
      <c r="E148" s="94"/>
      <c r="F148" s="95"/>
      <c r="G148" s="96"/>
    </row>
    <row r="149" ht="14.25" customHeight="1" spans="4:7">
      <c r="D149" s="93"/>
      <c r="E149" s="94"/>
      <c r="F149" s="95"/>
      <c r="G149" s="96"/>
    </row>
    <row r="150" ht="14.25" customHeight="1" spans="4:7">
      <c r="D150" s="93"/>
      <c r="E150" s="94"/>
      <c r="F150" s="95"/>
      <c r="G150" s="96"/>
    </row>
    <row r="151" ht="14.25" customHeight="1" spans="4:7">
      <c r="D151" s="93"/>
      <c r="E151" s="94"/>
      <c r="F151" s="95"/>
      <c r="G151" s="96"/>
    </row>
    <row r="152" ht="14.25" customHeight="1" spans="4:7">
      <c r="D152" s="93"/>
      <c r="E152" s="94"/>
      <c r="F152" s="95"/>
      <c r="G152" s="96"/>
    </row>
    <row r="153" ht="14.25" customHeight="1" spans="4:7">
      <c r="D153" s="93"/>
      <c r="E153" s="94"/>
      <c r="F153" s="95"/>
      <c r="G153" s="96"/>
    </row>
    <row r="154" ht="14.25" customHeight="1" spans="4:7">
      <c r="D154" s="93"/>
      <c r="E154" s="94"/>
      <c r="F154" s="95"/>
      <c r="G154" s="96"/>
    </row>
    <row r="155" ht="14.25" customHeight="1" spans="4:7">
      <c r="D155" s="93"/>
      <c r="E155" s="94"/>
      <c r="F155" s="95"/>
      <c r="G155" s="96"/>
    </row>
    <row r="156" ht="14.25" customHeight="1" spans="4:7">
      <c r="D156" s="93"/>
      <c r="E156" s="94"/>
      <c r="F156" s="95"/>
      <c r="G156" s="96"/>
    </row>
    <row r="157" ht="14.25" customHeight="1" spans="4:7">
      <c r="D157" s="93"/>
      <c r="E157" s="94"/>
      <c r="F157" s="95"/>
      <c r="G157" s="96"/>
    </row>
    <row r="158" ht="14.25" customHeight="1" spans="4:7">
      <c r="D158" s="93"/>
      <c r="E158" s="94"/>
      <c r="F158" s="95"/>
      <c r="G158" s="96"/>
    </row>
    <row r="159" ht="14.25" customHeight="1" spans="4:7">
      <c r="D159" s="93"/>
      <c r="E159" s="94"/>
      <c r="F159" s="95"/>
      <c r="G159" s="96"/>
    </row>
    <row r="160" ht="14.25" customHeight="1" spans="4:7">
      <c r="D160" s="93"/>
      <c r="E160" s="94"/>
      <c r="F160" s="95"/>
      <c r="G160" s="96"/>
    </row>
    <row r="161" ht="14.25" customHeight="1" spans="4:7">
      <c r="D161" s="93"/>
      <c r="E161" s="94"/>
      <c r="F161" s="95"/>
      <c r="G161" s="96"/>
    </row>
    <row r="162" ht="14.25" customHeight="1" spans="4:7">
      <c r="D162" s="93"/>
      <c r="E162" s="94"/>
      <c r="F162" s="95"/>
      <c r="G162" s="96"/>
    </row>
    <row r="163" ht="14.25" customHeight="1" spans="4:7">
      <c r="D163" s="93"/>
      <c r="E163" s="94"/>
      <c r="F163" s="95"/>
      <c r="G163" s="96"/>
    </row>
    <row r="164" ht="14.25" customHeight="1" spans="4:7">
      <c r="D164" s="93"/>
      <c r="E164" s="94"/>
      <c r="F164" s="95"/>
      <c r="G164" s="96"/>
    </row>
    <row r="165" ht="14.25" customHeight="1" spans="4:7">
      <c r="D165" s="93"/>
      <c r="E165" s="94"/>
      <c r="F165" s="95"/>
      <c r="G165" s="96"/>
    </row>
    <row r="166" ht="14.25" customHeight="1" spans="4:7">
      <c r="D166" s="93"/>
      <c r="E166" s="94"/>
      <c r="F166" s="95"/>
      <c r="G166" s="96"/>
    </row>
    <row r="167" ht="14.25" customHeight="1" spans="4:7">
      <c r="D167" s="93"/>
      <c r="E167" s="94"/>
      <c r="F167" s="95"/>
      <c r="G167" s="96"/>
    </row>
    <row r="168" ht="14.25" customHeight="1" spans="4:7">
      <c r="D168" s="93"/>
      <c r="E168" s="94"/>
      <c r="F168" s="95"/>
      <c r="G168" s="96"/>
    </row>
    <row r="169" ht="14.25" customHeight="1" spans="4:7">
      <c r="D169" s="93"/>
      <c r="E169" s="94"/>
      <c r="F169" s="95"/>
      <c r="G169" s="96"/>
    </row>
    <row r="170" ht="14.25" customHeight="1" spans="4:7">
      <c r="D170" s="93"/>
      <c r="E170" s="94"/>
      <c r="F170" s="95"/>
      <c r="G170" s="96"/>
    </row>
    <row r="171" ht="14.25" customHeight="1" spans="4:7">
      <c r="D171" s="93"/>
      <c r="E171" s="94"/>
      <c r="F171" s="95"/>
      <c r="G171" s="96"/>
    </row>
    <row r="172" ht="14.25" customHeight="1" spans="4:7">
      <c r="D172" s="93"/>
      <c r="E172" s="94"/>
      <c r="F172" s="95"/>
      <c r="G172" s="96"/>
    </row>
    <row r="173" ht="14.25" customHeight="1" spans="4:7">
      <c r="D173" s="93"/>
      <c r="E173" s="94"/>
      <c r="F173" s="95"/>
      <c r="G173" s="96"/>
    </row>
    <row r="174" ht="14.25" customHeight="1" spans="4:7">
      <c r="D174" s="93"/>
      <c r="E174" s="94"/>
      <c r="F174" s="95"/>
      <c r="G174" s="96"/>
    </row>
    <row r="175" ht="14.25" customHeight="1" spans="4:7">
      <c r="D175" s="93"/>
      <c r="E175" s="94"/>
      <c r="F175" s="95"/>
      <c r="G175" s="96"/>
    </row>
    <row r="176" ht="14.25" customHeight="1" spans="4:7">
      <c r="D176" s="93"/>
      <c r="E176" s="94"/>
      <c r="F176" s="95"/>
      <c r="G176" s="96"/>
    </row>
    <row r="177" ht="14.25" customHeight="1" spans="4:7">
      <c r="D177" s="93"/>
      <c r="E177" s="94"/>
      <c r="F177" s="95"/>
      <c r="G177" s="96"/>
    </row>
    <row r="178" ht="14.25" customHeight="1" spans="4:7">
      <c r="D178" s="93"/>
      <c r="E178" s="94"/>
      <c r="F178" s="95"/>
      <c r="G178" s="96"/>
    </row>
    <row r="179" ht="14.25" customHeight="1" spans="4:7">
      <c r="D179" s="93"/>
      <c r="E179" s="94"/>
      <c r="F179" s="95"/>
      <c r="G179" s="96"/>
    </row>
    <row r="180" ht="14.25" customHeight="1" spans="4:7">
      <c r="D180" s="93"/>
      <c r="E180" s="94"/>
      <c r="F180" s="95"/>
      <c r="G180" s="96"/>
    </row>
    <row r="181" ht="14.25" customHeight="1" spans="4:7">
      <c r="D181" s="93"/>
      <c r="E181" s="94"/>
      <c r="F181" s="95"/>
      <c r="G181" s="96"/>
    </row>
    <row r="182" ht="14.25" customHeight="1" spans="4:7">
      <c r="D182" s="93"/>
      <c r="E182" s="94"/>
      <c r="F182" s="95"/>
      <c r="G182" s="96"/>
    </row>
    <row r="183" ht="14.25" customHeight="1" spans="4:7">
      <c r="D183" s="93"/>
      <c r="E183" s="94"/>
      <c r="F183" s="95"/>
      <c r="G183" s="96"/>
    </row>
    <row r="184" ht="14.25" customHeight="1" spans="4:7">
      <c r="D184" s="93"/>
      <c r="E184" s="94"/>
      <c r="F184" s="95"/>
      <c r="G184" s="96"/>
    </row>
    <row r="185" ht="14.25" customHeight="1" spans="4:7">
      <c r="D185" s="93"/>
      <c r="E185" s="94"/>
      <c r="F185" s="95"/>
      <c r="G185" s="96"/>
    </row>
    <row r="186" ht="14.25" customHeight="1" spans="4:7">
      <c r="D186" s="93"/>
      <c r="E186" s="94"/>
      <c r="F186" s="95"/>
      <c r="G186" s="96"/>
    </row>
    <row r="187" ht="14.25" customHeight="1" spans="4:7">
      <c r="D187" s="93"/>
      <c r="E187" s="94"/>
      <c r="F187" s="95"/>
      <c r="G187" s="96"/>
    </row>
    <row r="188" ht="14.25" customHeight="1" spans="4:7">
      <c r="D188" s="93"/>
      <c r="E188" s="94"/>
      <c r="F188" s="95"/>
      <c r="G188" s="96"/>
    </row>
    <row r="189" ht="14.25" customHeight="1" spans="4:7">
      <c r="D189" s="93"/>
      <c r="E189" s="94"/>
      <c r="F189" s="95"/>
      <c r="G189" s="96"/>
    </row>
    <row r="190" ht="14.25" customHeight="1" spans="4:7">
      <c r="D190" s="93"/>
      <c r="E190" s="94"/>
      <c r="F190" s="95"/>
      <c r="G190" s="96"/>
    </row>
    <row r="191" ht="14.25" customHeight="1" spans="4:7">
      <c r="D191" s="93"/>
      <c r="E191" s="94"/>
      <c r="F191" s="95"/>
      <c r="G191" s="96"/>
    </row>
    <row r="192" ht="14.25" customHeight="1" spans="4:7">
      <c r="D192" s="93"/>
      <c r="E192" s="94"/>
      <c r="F192" s="95"/>
      <c r="G192" s="96"/>
    </row>
    <row r="193" ht="14.25" customHeight="1" spans="4:7">
      <c r="D193" s="93"/>
      <c r="E193" s="94"/>
      <c r="F193" s="95"/>
      <c r="G193" s="96"/>
    </row>
    <row r="194" ht="14.25" customHeight="1" spans="4:7">
      <c r="D194" s="93"/>
      <c r="E194" s="94"/>
      <c r="F194" s="95"/>
      <c r="G194" s="96"/>
    </row>
    <row r="195" ht="14.25" customHeight="1" spans="4:7">
      <c r="D195" s="93"/>
      <c r="E195" s="94"/>
      <c r="F195" s="95"/>
      <c r="G195" s="96"/>
    </row>
    <row r="196" ht="14.25" customHeight="1" spans="4:7">
      <c r="D196" s="93"/>
      <c r="E196" s="94"/>
      <c r="F196" s="95"/>
      <c r="G196" s="96"/>
    </row>
    <row r="197" ht="14.25" customHeight="1" spans="4:7">
      <c r="D197" s="93"/>
      <c r="E197" s="94"/>
      <c r="F197" s="95"/>
      <c r="G197" s="96"/>
    </row>
    <row r="198" ht="14.25" customHeight="1" spans="4:7">
      <c r="D198" s="93"/>
      <c r="E198" s="94"/>
      <c r="F198" s="95"/>
      <c r="G198" s="96"/>
    </row>
    <row r="199" ht="14.25" customHeight="1" spans="4:7">
      <c r="D199" s="93"/>
      <c r="E199" s="94"/>
      <c r="F199" s="95"/>
      <c r="G199" s="96"/>
    </row>
    <row r="200" ht="14.25" customHeight="1" spans="4:7">
      <c r="D200" s="93"/>
      <c r="E200" s="94"/>
      <c r="F200" s="95"/>
      <c r="G200" s="96"/>
    </row>
    <row r="201" ht="14.25" customHeight="1" spans="4:7">
      <c r="D201" s="93"/>
      <c r="E201" s="94"/>
      <c r="F201" s="95"/>
      <c r="G201" s="96"/>
    </row>
    <row r="202" ht="14.25" customHeight="1" spans="4:7">
      <c r="D202" s="93"/>
      <c r="E202" s="94"/>
      <c r="F202" s="95"/>
      <c r="G202" s="96"/>
    </row>
    <row r="203" ht="14.25" customHeight="1" spans="4:7">
      <c r="D203" s="93"/>
      <c r="E203" s="94"/>
      <c r="F203" s="95"/>
      <c r="G203" s="96"/>
    </row>
    <row r="204" ht="14.25" customHeight="1" spans="4:7">
      <c r="D204" s="93"/>
      <c r="E204" s="94"/>
      <c r="F204" s="95"/>
      <c r="G204" s="96"/>
    </row>
    <row r="205" ht="14.25" customHeight="1" spans="4:7">
      <c r="D205" s="93"/>
      <c r="E205" s="94"/>
      <c r="F205" s="95"/>
      <c r="G205" s="96"/>
    </row>
    <row r="206" ht="14.25" customHeight="1" spans="4:7">
      <c r="D206" s="93"/>
      <c r="E206" s="94"/>
      <c r="F206" s="95"/>
      <c r="G206" s="96"/>
    </row>
    <row r="207" ht="14.25" customHeight="1" spans="4:7">
      <c r="D207" s="93"/>
      <c r="E207" s="94"/>
      <c r="F207" s="95"/>
      <c r="G207" s="96"/>
    </row>
    <row r="208" ht="14.25" customHeight="1" spans="4:7">
      <c r="D208" s="93"/>
      <c r="E208" s="94"/>
      <c r="F208" s="95"/>
      <c r="G208" s="96"/>
    </row>
    <row r="209" ht="14.25" customHeight="1" spans="4:7">
      <c r="D209" s="93"/>
      <c r="E209" s="94"/>
      <c r="F209" s="95"/>
      <c r="G209" s="96"/>
    </row>
    <row r="210" ht="14.25" customHeight="1" spans="4:7">
      <c r="D210" s="93"/>
      <c r="E210" s="94"/>
      <c r="F210" s="95"/>
      <c r="G210" s="96"/>
    </row>
    <row r="211" ht="14.25" customHeight="1" spans="4:7">
      <c r="D211" s="93"/>
      <c r="E211" s="94"/>
      <c r="F211" s="95"/>
      <c r="G211" s="96"/>
    </row>
    <row r="212" ht="14.25" customHeight="1" spans="4:7">
      <c r="D212" s="93"/>
      <c r="E212" s="94"/>
      <c r="F212" s="95"/>
      <c r="G212" s="96"/>
    </row>
    <row r="213" ht="14.25" customHeight="1" spans="4:7">
      <c r="D213" s="93"/>
      <c r="E213" s="94"/>
      <c r="F213" s="95"/>
      <c r="G213" s="96"/>
    </row>
    <row r="214" ht="14.25" customHeight="1" spans="4:7">
      <c r="D214" s="93"/>
      <c r="E214" s="94"/>
      <c r="F214" s="95"/>
      <c r="G214" s="96"/>
    </row>
    <row r="215" ht="14.25" customHeight="1" spans="4:7">
      <c r="D215" s="93"/>
      <c r="E215" s="94"/>
      <c r="F215" s="95"/>
      <c r="G215" s="96"/>
    </row>
    <row r="216" ht="14.25" customHeight="1" spans="4:7">
      <c r="D216" s="93"/>
      <c r="E216" s="94"/>
      <c r="F216" s="95"/>
      <c r="G216" s="96"/>
    </row>
    <row r="217" ht="14.25" customHeight="1" spans="4:7">
      <c r="D217" s="93"/>
      <c r="E217" s="94"/>
      <c r="F217" s="95"/>
      <c r="G217" s="96"/>
    </row>
    <row r="218" ht="14.25" customHeight="1" spans="4:7">
      <c r="D218" s="93"/>
      <c r="E218" s="94"/>
      <c r="F218" s="95"/>
      <c r="G218" s="96"/>
    </row>
    <row r="219" ht="14.25" customHeight="1" spans="4:7">
      <c r="D219" s="93"/>
      <c r="E219" s="94"/>
      <c r="F219" s="95"/>
      <c r="G219" s="96"/>
    </row>
    <row r="220" ht="14.25" customHeight="1" spans="4:7">
      <c r="D220" s="93"/>
      <c r="E220" s="94"/>
      <c r="F220" s="95"/>
      <c r="G220" s="96"/>
    </row>
    <row r="221" ht="14.25" customHeight="1" spans="4:7">
      <c r="D221" s="93"/>
      <c r="E221" s="94"/>
      <c r="F221" s="95"/>
      <c r="G221" s="96"/>
    </row>
    <row r="222" ht="14.25" customHeight="1" spans="4:7">
      <c r="D222" s="93"/>
      <c r="E222" s="94"/>
      <c r="F222" s="95"/>
      <c r="G222" s="96"/>
    </row>
    <row r="223" ht="14.25" customHeight="1" spans="4:7">
      <c r="D223" s="93"/>
      <c r="E223" s="94"/>
      <c r="F223" s="95"/>
      <c r="G223" s="96"/>
    </row>
    <row r="224" ht="14.25" customHeight="1" spans="4:7">
      <c r="D224" s="93"/>
      <c r="E224" s="94"/>
      <c r="F224" s="95"/>
      <c r="G224" s="96"/>
    </row>
    <row r="225" ht="14.25" customHeight="1" spans="4:7">
      <c r="D225" s="93"/>
      <c r="E225" s="94"/>
      <c r="F225" s="95"/>
      <c r="G225" s="96"/>
    </row>
    <row r="226" ht="14.25" customHeight="1" spans="4:7">
      <c r="D226" s="93"/>
      <c r="E226" s="94"/>
      <c r="F226" s="95"/>
      <c r="G226" s="96"/>
    </row>
    <row r="227" ht="14.25" customHeight="1" spans="4:7">
      <c r="D227" s="93"/>
      <c r="E227" s="94"/>
      <c r="F227" s="95"/>
      <c r="G227" s="96"/>
    </row>
    <row r="228" ht="14.25" customHeight="1" spans="4:7">
      <c r="D228" s="93"/>
      <c r="E228" s="94"/>
      <c r="F228" s="95"/>
      <c r="G228" s="96"/>
    </row>
    <row r="229" ht="14.25" customHeight="1" spans="4:7">
      <c r="D229" s="93"/>
      <c r="E229" s="94"/>
      <c r="F229" s="95"/>
      <c r="G229" s="96"/>
    </row>
    <row r="230" ht="14.25" customHeight="1" spans="4:7">
      <c r="D230" s="93"/>
      <c r="E230" s="94"/>
      <c r="F230" s="95"/>
      <c r="G230" s="96"/>
    </row>
    <row r="231" ht="14.25" customHeight="1" spans="4:7">
      <c r="D231" s="93"/>
      <c r="E231" s="94"/>
      <c r="F231" s="95"/>
      <c r="G231" s="96"/>
    </row>
    <row r="232" ht="14.25" customHeight="1" spans="4:7">
      <c r="D232" s="93"/>
      <c r="E232" s="94"/>
      <c r="F232" s="95"/>
      <c r="G232" s="96"/>
    </row>
    <row r="233" ht="14.25" customHeight="1" spans="4:7">
      <c r="D233" s="93"/>
      <c r="E233" s="94"/>
      <c r="F233" s="95"/>
      <c r="G233" s="96"/>
    </row>
    <row r="234" ht="14.25" customHeight="1" spans="4:7">
      <c r="D234" s="93"/>
      <c r="E234" s="94"/>
      <c r="F234" s="95"/>
      <c r="G234" s="96"/>
    </row>
    <row r="235" ht="14.25" customHeight="1" spans="4:7">
      <c r="D235" s="93"/>
      <c r="E235" s="94"/>
      <c r="F235" s="95"/>
      <c r="G235" s="96"/>
    </row>
    <row r="236" ht="14.25" customHeight="1" spans="4:7">
      <c r="D236" s="93"/>
      <c r="E236" s="94"/>
      <c r="F236" s="95"/>
      <c r="G236" s="96"/>
    </row>
    <row r="237" ht="14.25" customHeight="1" spans="4:7">
      <c r="D237" s="93"/>
      <c r="E237" s="94"/>
      <c r="F237" s="95"/>
      <c r="G237" s="96"/>
    </row>
    <row r="238" ht="14.25" customHeight="1" spans="4:7">
      <c r="D238" s="93"/>
      <c r="E238" s="94"/>
      <c r="F238" s="95"/>
      <c r="G238" s="96"/>
    </row>
    <row r="239" ht="14.25" customHeight="1" spans="4:7">
      <c r="D239" s="93"/>
      <c r="E239" s="94"/>
      <c r="F239" s="95"/>
      <c r="G239" s="96"/>
    </row>
    <row r="240" ht="14.25" customHeight="1" spans="4:7">
      <c r="D240" s="93"/>
      <c r="E240" s="94"/>
      <c r="F240" s="95"/>
      <c r="G240" s="96"/>
    </row>
    <row r="241" ht="14.25" customHeight="1" spans="4:7">
      <c r="D241" s="93"/>
      <c r="E241" s="94"/>
      <c r="F241" s="95"/>
      <c r="G241" s="96"/>
    </row>
    <row r="242" ht="14.25" customHeight="1" spans="4:7">
      <c r="D242" s="93"/>
      <c r="E242" s="94"/>
      <c r="F242" s="95"/>
      <c r="G242" s="96"/>
    </row>
    <row r="243" ht="14.25" customHeight="1" spans="4:7">
      <c r="D243" s="93"/>
      <c r="E243" s="94"/>
      <c r="F243" s="95"/>
      <c r="G243" s="96"/>
    </row>
    <row r="244" ht="14.25" customHeight="1" spans="4:7">
      <c r="D244" s="93"/>
      <c r="E244" s="94"/>
      <c r="F244" s="95"/>
      <c r="G244" s="96"/>
    </row>
    <row r="245" ht="14.25" customHeight="1" spans="4:7">
      <c r="D245" s="93"/>
      <c r="E245" s="94"/>
      <c r="F245" s="95"/>
      <c r="G245" s="96"/>
    </row>
    <row r="246" ht="14.25" customHeight="1" spans="4:7">
      <c r="D246" s="93"/>
      <c r="E246" s="94"/>
      <c r="F246" s="95"/>
      <c r="G246" s="96"/>
    </row>
    <row r="247" ht="14.25" customHeight="1" spans="4:7">
      <c r="D247" s="93"/>
      <c r="E247" s="94"/>
      <c r="F247" s="95"/>
      <c r="G247" s="96"/>
    </row>
    <row r="248" ht="14.25" customHeight="1" spans="4:7">
      <c r="D248" s="93"/>
      <c r="E248" s="94"/>
      <c r="F248" s="95"/>
      <c r="G248" s="96"/>
    </row>
    <row r="249" ht="14.25" customHeight="1" spans="4:7">
      <c r="D249" s="93"/>
      <c r="E249" s="94"/>
      <c r="F249" s="95"/>
      <c r="G249" s="96"/>
    </row>
    <row r="250" ht="14.25" customHeight="1" spans="4:7">
      <c r="D250" s="93"/>
      <c r="E250" s="94"/>
      <c r="F250" s="95"/>
      <c r="G250" s="96"/>
    </row>
    <row r="251" ht="14.25" customHeight="1" spans="4:7">
      <c r="D251" s="93"/>
      <c r="E251" s="94"/>
      <c r="F251" s="95"/>
      <c r="G251" s="96"/>
    </row>
    <row r="252" ht="14.25" customHeight="1" spans="4:7">
      <c r="D252" s="93"/>
      <c r="E252" s="94"/>
      <c r="F252" s="95"/>
      <c r="G252" s="96"/>
    </row>
    <row r="253" ht="14.25" customHeight="1" spans="4:7">
      <c r="D253" s="93"/>
      <c r="E253" s="94"/>
      <c r="F253" s="95"/>
      <c r="G253" s="96"/>
    </row>
    <row r="254" ht="14.25" customHeight="1" spans="4:7">
      <c r="D254" s="93"/>
      <c r="E254" s="94"/>
      <c r="F254" s="95"/>
      <c r="G254" s="96"/>
    </row>
    <row r="255" ht="14.25" customHeight="1" spans="4:7">
      <c r="D255" s="93"/>
      <c r="E255" s="94"/>
      <c r="F255" s="95"/>
      <c r="G255" s="96"/>
    </row>
    <row r="256" ht="14.25" customHeight="1" spans="4:7">
      <c r="D256" s="93"/>
      <c r="E256" s="94"/>
      <c r="F256" s="95"/>
      <c r="G256" s="96"/>
    </row>
    <row r="257" ht="14.25" customHeight="1" spans="4:7">
      <c r="D257" s="93"/>
      <c r="E257" s="94"/>
      <c r="F257" s="95"/>
      <c r="G257" s="96"/>
    </row>
    <row r="258" ht="14.25" customHeight="1" spans="4:7">
      <c r="D258" s="93"/>
      <c r="E258" s="94"/>
      <c r="F258" s="95"/>
      <c r="G258" s="96"/>
    </row>
    <row r="259" ht="14.25" customHeight="1" spans="4:7">
      <c r="D259" s="93"/>
      <c r="E259" s="94"/>
      <c r="F259" s="95"/>
      <c r="G259" s="96"/>
    </row>
    <row r="260" ht="14.25" customHeight="1" spans="4:7">
      <c r="D260" s="93"/>
      <c r="E260" s="94"/>
      <c r="F260" s="95"/>
      <c r="G260" s="96"/>
    </row>
    <row r="261" ht="14.25" customHeight="1" spans="4:7">
      <c r="D261" s="93"/>
      <c r="E261" s="94"/>
      <c r="F261" s="95"/>
      <c r="G261" s="96"/>
    </row>
    <row r="262" ht="14.25" customHeight="1" spans="4:7">
      <c r="D262" s="93"/>
      <c r="E262" s="94"/>
      <c r="F262" s="95"/>
      <c r="G262" s="96"/>
    </row>
    <row r="263" ht="14.25" customHeight="1" spans="4:7">
      <c r="D263" s="93"/>
      <c r="E263" s="94"/>
      <c r="F263" s="95"/>
      <c r="G263" s="96"/>
    </row>
    <row r="264" ht="14.25" customHeight="1" spans="4:7">
      <c r="D264" s="93"/>
      <c r="E264" s="94"/>
      <c r="F264" s="95"/>
      <c r="G264" s="96"/>
    </row>
    <row r="265" ht="14.25" customHeight="1" spans="4:7">
      <c r="D265" s="93"/>
      <c r="E265" s="94"/>
      <c r="F265" s="95"/>
      <c r="G265" s="96"/>
    </row>
    <row r="266" ht="14.25" customHeight="1" spans="4:7">
      <c r="D266" s="93"/>
      <c r="E266" s="94"/>
      <c r="F266" s="95"/>
      <c r="G266" s="96"/>
    </row>
    <row r="267" ht="14.25" customHeight="1" spans="4:7">
      <c r="D267" s="93"/>
      <c r="E267" s="94"/>
      <c r="F267" s="95"/>
      <c r="G267" s="96"/>
    </row>
    <row r="268" ht="14.25" customHeight="1" spans="4:7">
      <c r="D268" s="93"/>
      <c r="E268" s="94"/>
      <c r="F268" s="95"/>
      <c r="G268" s="96"/>
    </row>
    <row r="269" ht="14.25" customHeight="1" spans="4:7">
      <c r="D269" s="93"/>
      <c r="E269" s="94"/>
      <c r="F269" s="95"/>
      <c r="G269" s="96"/>
    </row>
    <row r="270" ht="14.25" customHeight="1" spans="4:7">
      <c r="D270" s="93"/>
      <c r="E270" s="94"/>
      <c r="F270" s="95"/>
      <c r="G270" s="96"/>
    </row>
    <row r="271" ht="14.25" customHeight="1" spans="4:7">
      <c r="D271" s="93"/>
      <c r="E271" s="94"/>
      <c r="F271" s="95"/>
      <c r="G271" s="96"/>
    </row>
    <row r="272" ht="14.25" customHeight="1" spans="4:7">
      <c r="D272" s="93"/>
      <c r="E272" s="94"/>
      <c r="F272" s="95"/>
      <c r="G272" s="96"/>
    </row>
    <row r="273" ht="14.25" customHeight="1" spans="4:7">
      <c r="D273" s="93"/>
      <c r="E273" s="94"/>
      <c r="F273" s="95"/>
      <c r="G273" s="96"/>
    </row>
    <row r="274" ht="14.25" customHeight="1" spans="4:7">
      <c r="D274" s="93"/>
      <c r="E274" s="94"/>
      <c r="F274" s="95"/>
      <c r="G274" s="96"/>
    </row>
    <row r="275" ht="14.25" customHeight="1" spans="4:7">
      <c r="D275" s="93"/>
      <c r="E275" s="94"/>
      <c r="F275" s="95"/>
      <c r="G275" s="96"/>
    </row>
    <row r="276" ht="14.25" customHeight="1" spans="4:7">
      <c r="D276" s="93"/>
      <c r="E276" s="94"/>
      <c r="F276" s="95"/>
      <c r="G276" s="96"/>
    </row>
    <row r="277" ht="14.25" customHeight="1" spans="4:7">
      <c r="D277" s="93"/>
      <c r="E277" s="94"/>
      <c r="F277" s="95"/>
      <c r="G277" s="96"/>
    </row>
    <row r="278" ht="14.25" customHeight="1" spans="4:7">
      <c r="D278" s="93"/>
      <c r="E278" s="94"/>
      <c r="F278" s="95"/>
      <c r="G278" s="96"/>
    </row>
    <row r="279" ht="14.25" customHeight="1" spans="4:7">
      <c r="D279" s="93"/>
      <c r="E279" s="94"/>
      <c r="F279" s="95"/>
      <c r="G279" s="96"/>
    </row>
    <row r="280" ht="14.25" customHeight="1" spans="4:7">
      <c r="D280" s="93"/>
      <c r="E280" s="94"/>
      <c r="F280" s="95"/>
      <c r="G280" s="96"/>
    </row>
    <row r="281" ht="14.25" customHeight="1" spans="4:7">
      <c r="D281" s="93"/>
      <c r="E281" s="94"/>
      <c r="F281" s="95"/>
      <c r="G281" s="96"/>
    </row>
    <row r="282" ht="14.25" customHeight="1" spans="4:7">
      <c r="D282" s="93"/>
      <c r="E282" s="94"/>
      <c r="F282" s="95"/>
      <c r="G282" s="96"/>
    </row>
    <row r="283" ht="14.25" customHeight="1" spans="4:7">
      <c r="D283" s="93"/>
      <c r="E283" s="94"/>
      <c r="F283" s="95"/>
      <c r="G283" s="96"/>
    </row>
    <row r="284" ht="14.25" customHeight="1" spans="4:7">
      <c r="D284" s="93"/>
      <c r="E284" s="94"/>
      <c r="F284" s="95"/>
      <c r="G284" s="96"/>
    </row>
    <row r="285" ht="14.25" customHeight="1" spans="4:7">
      <c r="D285" s="93"/>
      <c r="E285" s="94"/>
      <c r="F285" s="95"/>
      <c r="G285" s="96"/>
    </row>
    <row r="286" ht="14.25" customHeight="1" spans="4:7">
      <c r="D286" s="93"/>
      <c r="E286" s="94"/>
      <c r="F286" s="95"/>
      <c r="G286" s="96"/>
    </row>
    <row r="287" ht="14.25" customHeight="1" spans="4:7">
      <c r="D287" s="93"/>
      <c r="E287" s="94"/>
      <c r="F287" s="95"/>
      <c r="G287" s="96"/>
    </row>
    <row r="288" ht="14.25" customHeight="1" spans="4:7">
      <c r="D288" s="93"/>
      <c r="E288" s="94"/>
      <c r="F288" s="95"/>
      <c r="G288" s="96"/>
    </row>
    <row r="289" ht="14.25" customHeight="1" spans="4:7">
      <c r="D289" s="93"/>
      <c r="E289" s="94"/>
      <c r="F289" s="95"/>
      <c r="G289" s="96"/>
    </row>
    <row r="290" ht="14.25" customHeight="1" spans="4:7">
      <c r="D290" s="93"/>
      <c r="E290" s="94"/>
      <c r="F290" s="95"/>
      <c r="G290" s="96"/>
    </row>
    <row r="291" ht="14.25" customHeight="1" spans="4:7">
      <c r="D291" s="93"/>
      <c r="E291" s="94"/>
      <c r="F291" s="95"/>
      <c r="G291" s="96"/>
    </row>
    <row r="292" ht="14.25" customHeight="1" spans="4:7">
      <c r="D292" s="93"/>
      <c r="E292" s="94"/>
      <c r="F292" s="95"/>
      <c r="G292" s="96"/>
    </row>
    <row r="293" ht="14.25" customHeight="1" spans="4:7">
      <c r="D293" s="93"/>
      <c r="E293" s="94"/>
      <c r="F293" s="95"/>
      <c r="G293" s="96"/>
    </row>
    <row r="294" ht="14.25" customHeight="1" spans="4:7">
      <c r="D294" s="93"/>
      <c r="E294" s="94"/>
      <c r="F294" s="95"/>
      <c r="G294" s="96"/>
    </row>
    <row r="295" ht="14.25" customHeight="1" spans="4:7">
      <c r="D295" s="93"/>
      <c r="E295" s="94"/>
      <c r="F295" s="95"/>
      <c r="G295" s="96"/>
    </row>
    <row r="296" ht="14.25" customHeight="1" spans="4:7">
      <c r="D296" s="93"/>
      <c r="E296" s="94"/>
      <c r="F296" s="95"/>
      <c r="G296" s="96"/>
    </row>
    <row r="297" ht="14.25" customHeight="1" spans="4:7">
      <c r="D297" s="93"/>
      <c r="E297" s="94"/>
      <c r="F297" s="95"/>
      <c r="G297" s="96"/>
    </row>
    <row r="298" ht="14.25" customHeight="1" spans="4:7">
      <c r="D298" s="93"/>
      <c r="E298" s="94"/>
      <c r="F298" s="95"/>
      <c r="G298" s="96"/>
    </row>
    <row r="299" ht="14.25" customHeight="1" spans="4:7">
      <c r="D299" s="93"/>
      <c r="E299" s="94"/>
      <c r="F299" s="95"/>
      <c r="G299" s="96"/>
    </row>
    <row r="300" ht="14.25" customHeight="1" spans="4:7">
      <c r="D300" s="93"/>
      <c r="E300" s="94"/>
      <c r="F300" s="95"/>
      <c r="G300" s="96"/>
    </row>
    <row r="301" ht="14.25" customHeight="1" spans="4:7">
      <c r="D301" s="93"/>
      <c r="E301" s="94"/>
      <c r="F301" s="95"/>
      <c r="G301" s="96"/>
    </row>
    <row r="302" ht="14.25" customHeight="1" spans="4:7">
      <c r="D302" s="93"/>
      <c r="E302" s="94"/>
      <c r="F302" s="95"/>
      <c r="G302" s="96"/>
    </row>
    <row r="303" ht="14.25" customHeight="1" spans="4:7">
      <c r="D303" s="93"/>
      <c r="E303" s="94"/>
      <c r="F303" s="95"/>
      <c r="G303" s="96"/>
    </row>
    <row r="304" ht="14.25" customHeight="1" spans="4:7">
      <c r="D304" s="93"/>
      <c r="E304" s="94"/>
      <c r="F304" s="95"/>
      <c r="G304" s="96"/>
    </row>
    <row r="305" ht="14.25" customHeight="1" spans="4:7">
      <c r="D305" s="93"/>
      <c r="E305" s="94"/>
      <c r="F305" s="95"/>
      <c r="G305" s="96"/>
    </row>
    <row r="306" ht="14.25" customHeight="1" spans="4:7">
      <c r="D306" s="93"/>
      <c r="E306" s="94"/>
      <c r="F306" s="95"/>
      <c r="G306" s="96"/>
    </row>
    <row r="307" ht="14.25" customHeight="1" spans="4:7">
      <c r="D307" s="93"/>
      <c r="E307" s="94"/>
      <c r="F307" s="95"/>
      <c r="G307" s="96"/>
    </row>
    <row r="308" ht="14.25" customHeight="1" spans="4:7">
      <c r="D308" s="93"/>
      <c r="E308" s="94"/>
      <c r="F308" s="95"/>
      <c r="G308" s="96"/>
    </row>
    <row r="309" ht="14.25" customHeight="1" spans="4:7">
      <c r="D309" s="93"/>
      <c r="E309" s="94"/>
      <c r="F309" s="95"/>
      <c r="G309" s="96"/>
    </row>
    <row r="310" ht="14.25" customHeight="1" spans="4:7">
      <c r="D310" s="93"/>
      <c r="E310" s="94"/>
      <c r="F310" s="95"/>
      <c r="G310" s="96"/>
    </row>
    <row r="311" ht="14.25" customHeight="1" spans="4:7">
      <c r="D311" s="93"/>
      <c r="E311" s="94"/>
      <c r="F311" s="95"/>
      <c r="G311" s="96"/>
    </row>
    <row r="312" ht="14.25" customHeight="1" spans="4:7">
      <c r="D312" s="93"/>
      <c r="E312" s="94"/>
      <c r="F312" s="95"/>
      <c r="G312" s="96"/>
    </row>
    <row r="313" ht="14.25" customHeight="1" spans="4:7">
      <c r="D313" s="93"/>
      <c r="E313" s="94"/>
      <c r="F313" s="95"/>
      <c r="G313" s="96"/>
    </row>
    <row r="314" ht="14.25" customHeight="1" spans="4:7">
      <c r="D314" s="93"/>
      <c r="E314" s="94"/>
      <c r="F314" s="95"/>
      <c r="G314" s="96"/>
    </row>
    <row r="315" ht="14.25" customHeight="1" spans="4:7">
      <c r="D315" s="93"/>
      <c r="E315" s="94"/>
      <c r="F315" s="95"/>
      <c r="G315" s="96"/>
    </row>
    <row r="316" ht="14.25" customHeight="1" spans="4:7">
      <c r="D316" s="93"/>
      <c r="E316" s="94"/>
      <c r="F316" s="95"/>
      <c r="G316" s="96"/>
    </row>
    <row r="317" ht="14.25" customHeight="1" spans="4:7">
      <c r="D317" s="93"/>
      <c r="E317" s="94"/>
      <c r="F317" s="95"/>
      <c r="G317" s="96"/>
    </row>
    <row r="318" ht="14.25" customHeight="1" spans="4:7">
      <c r="D318" s="93"/>
      <c r="E318" s="94"/>
      <c r="F318" s="95"/>
      <c r="G318" s="96"/>
    </row>
    <row r="319" ht="14.25" customHeight="1" spans="4:7">
      <c r="D319" s="93"/>
      <c r="E319" s="94"/>
      <c r="F319" s="95"/>
      <c r="G319" s="96"/>
    </row>
    <row r="320" ht="14.25" customHeight="1" spans="4:7">
      <c r="D320" s="93"/>
      <c r="E320" s="94"/>
      <c r="F320" s="95"/>
      <c r="G320" s="96"/>
    </row>
    <row r="321" ht="14.25" customHeight="1" spans="4:7">
      <c r="D321" s="93"/>
      <c r="E321" s="94"/>
      <c r="F321" s="95"/>
      <c r="G321" s="96"/>
    </row>
    <row r="322" ht="14.25" customHeight="1" spans="4:7">
      <c r="D322" s="93"/>
      <c r="E322" s="94"/>
      <c r="F322" s="95"/>
      <c r="G322" s="96"/>
    </row>
    <row r="323" ht="14.25" customHeight="1" spans="4:7">
      <c r="D323" s="93"/>
      <c r="E323" s="94"/>
      <c r="F323" s="95"/>
      <c r="G323" s="96"/>
    </row>
    <row r="324" ht="14.25" customHeight="1" spans="4:7">
      <c r="D324" s="93"/>
      <c r="E324" s="94"/>
      <c r="F324" s="95"/>
      <c r="G324" s="96"/>
    </row>
    <row r="325" ht="14.25" customHeight="1" spans="4:7">
      <c r="D325" s="93"/>
      <c r="E325" s="94"/>
      <c r="F325" s="95"/>
      <c r="G325" s="96"/>
    </row>
    <row r="326" ht="14.25" customHeight="1" spans="4:7">
      <c r="D326" s="93"/>
      <c r="E326" s="94"/>
      <c r="F326" s="95"/>
      <c r="G326" s="96"/>
    </row>
    <row r="327" ht="14.25" customHeight="1" spans="4:7">
      <c r="D327" s="93"/>
      <c r="E327" s="94"/>
      <c r="F327" s="95"/>
      <c r="G327" s="96"/>
    </row>
    <row r="328" ht="14.25" customHeight="1" spans="4:7">
      <c r="D328" s="93"/>
      <c r="E328" s="94"/>
      <c r="F328" s="95"/>
      <c r="G328" s="96"/>
    </row>
    <row r="329" ht="14.25" customHeight="1" spans="4:7">
      <c r="D329" s="93"/>
      <c r="E329" s="94"/>
      <c r="F329" s="95"/>
      <c r="G329" s="96"/>
    </row>
    <row r="330" ht="14.25" customHeight="1" spans="4:7">
      <c r="D330" s="93"/>
      <c r="E330" s="94"/>
      <c r="F330" s="95"/>
      <c r="G330" s="96"/>
    </row>
    <row r="331" ht="14.25" customHeight="1" spans="4:7">
      <c r="D331" s="93"/>
      <c r="E331" s="94"/>
      <c r="F331" s="95"/>
      <c r="G331" s="96"/>
    </row>
    <row r="332" ht="14.25" customHeight="1" spans="4:7">
      <c r="D332" s="93"/>
      <c r="E332" s="94"/>
      <c r="F332" s="95"/>
      <c r="G332" s="96"/>
    </row>
    <row r="333" ht="14.25" customHeight="1" spans="4:7">
      <c r="D333" s="93"/>
      <c r="E333" s="94"/>
      <c r="F333" s="95"/>
      <c r="G333" s="96"/>
    </row>
    <row r="334" ht="14.25" customHeight="1" spans="4:7">
      <c r="D334" s="93"/>
      <c r="E334" s="94"/>
      <c r="F334" s="95"/>
      <c r="G334" s="96"/>
    </row>
    <row r="335" ht="14.25" customHeight="1" spans="4:7">
      <c r="D335" s="93"/>
      <c r="E335" s="94"/>
      <c r="F335" s="95"/>
      <c r="G335" s="96"/>
    </row>
    <row r="336" ht="14.25" customHeight="1" spans="4:7">
      <c r="D336" s="93"/>
      <c r="E336" s="94"/>
      <c r="F336" s="95"/>
      <c r="G336" s="96"/>
    </row>
    <row r="337" ht="14.25" customHeight="1" spans="4:7">
      <c r="D337" s="93"/>
      <c r="E337" s="94"/>
      <c r="F337" s="95"/>
      <c r="G337" s="96"/>
    </row>
    <row r="338" ht="14.25" customHeight="1" spans="4:7">
      <c r="D338" s="93"/>
      <c r="E338" s="94"/>
      <c r="F338" s="95"/>
      <c r="G338" s="96"/>
    </row>
    <row r="339" ht="14.25" customHeight="1" spans="4:7">
      <c r="D339" s="93"/>
      <c r="E339" s="94"/>
      <c r="F339" s="95"/>
      <c r="G339" s="96"/>
    </row>
    <row r="340" ht="14.25" customHeight="1" spans="4:7">
      <c r="D340" s="93"/>
      <c r="E340" s="94"/>
      <c r="F340" s="95"/>
      <c r="G340" s="96"/>
    </row>
    <row r="341" ht="14.25" customHeight="1" spans="4:7">
      <c r="D341" s="93"/>
      <c r="E341" s="94"/>
      <c r="F341" s="95"/>
      <c r="G341" s="96"/>
    </row>
    <row r="342" ht="14.25" customHeight="1" spans="4:7">
      <c r="D342" s="93"/>
      <c r="E342" s="94"/>
      <c r="F342" s="95"/>
      <c r="G342" s="96"/>
    </row>
    <row r="343" ht="14.25" customHeight="1" spans="4:7">
      <c r="D343" s="93"/>
      <c r="E343" s="94"/>
      <c r="F343" s="95"/>
      <c r="G343" s="96"/>
    </row>
    <row r="344" ht="14.25" customHeight="1" spans="4:7">
      <c r="D344" s="93"/>
      <c r="E344" s="94"/>
      <c r="F344" s="95"/>
      <c r="G344" s="96"/>
    </row>
    <row r="345" ht="14.25" customHeight="1" spans="4:7">
      <c r="D345" s="93"/>
      <c r="E345" s="94"/>
      <c r="F345" s="95"/>
      <c r="G345" s="96"/>
    </row>
    <row r="346" ht="14.25" customHeight="1" spans="4:7">
      <c r="D346" s="93"/>
      <c r="E346" s="94"/>
      <c r="F346" s="95"/>
      <c r="G346" s="96"/>
    </row>
    <row r="347" ht="14.25" customHeight="1" spans="4:7">
      <c r="D347" s="93"/>
      <c r="E347" s="94"/>
      <c r="F347" s="95"/>
      <c r="G347" s="96"/>
    </row>
    <row r="348" ht="14.25" customHeight="1" spans="4:7">
      <c r="D348" s="93"/>
      <c r="E348" s="94"/>
      <c r="F348" s="95"/>
      <c r="G348" s="96"/>
    </row>
    <row r="349" ht="14.25" customHeight="1" spans="4:7">
      <c r="D349" s="93"/>
      <c r="E349" s="94"/>
      <c r="F349" s="95"/>
      <c r="G349" s="96"/>
    </row>
    <row r="350" ht="14.25" customHeight="1" spans="4:7">
      <c r="D350" s="93"/>
      <c r="E350" s="94"/>
      <c r="F350" s="95"/>
      <c r="G350" s="96"/>
    </row>
    <row r="351" ht="14.25" customHeight="1" spans="4:7">
      <c r="D351" s="93"/>
      <c r="E351" s="94"/>
      <c r="F351" s="95"/>
      <c r="G351" s="96"/>
    </row>
    <row r="352" ht="14.25" customHeight="1" spans="4:7">
      <c r="D352" s="93"/>
      <c r="E352" s="94"/>
      <c r="F352" s="95"/>
      <c r="G352" s="96"/>
    </row>
    <row r="353" ht="14.25" customHeight="1" spans="4:7">
      <c r="D353" s="93"/>
      <c r="E353" s="94"/>
      <c r="F353" s="95"/>
      <c r="G353" s="96"/>
    </row>
    <row r="354" ht="14.25" customHeight="1" spans="4:7">
      <c r="D354" s="93"/>
      <c r="E354" s="94"/>
      <c r="F354" s="95"/>
      <c r="G354" s="96"/>
    </row>
    <row r="355" ht="14.25" customHeight="1" spans="4:7">
      <c r="D355" s="93"/>
      <c r="E355" s="94"/>
      <c r="F355" s="95"/>
      <c r="G355" s="96"/>
    </row>
    <row r="356" ht="14.25" customHeight="1" spans="4:7">
      <c r="D356" s="93"/>
      <c r="E356" s="94"/>
      <c r="F356" s="95"/>
      <c r="G356" s="96"/>
    </row>
    <row r="357" ht="14.25" customHeight="1" spans="4:7">
      <c r="D357" s="93"/>
      <c r="E357" s="94"/>
      <c r="F357" s="95"/>
      <c r="G357" s="96"/>
    </row>
    <row r="358" ht="14.25" customHeight="1" spans="4:7">
      <c r="D358" s="93"/>
      <c r="E358" s="94"/>
      <c r="F358" s="95"/>
      <c r="G358" s="96"/>
    </row>
    <row r="359" ht="14.25" customHeight="1" spans="4:7">
      <c r="D359" s="93"/>
      <c r="E359" s="94"/>
      <c r="F359" s="95"/>
      <c r="G359" s="96"/>
    </row>
    <row r="360" ht="14.25" customHeight="1" spans="4:7">
      <c r="D360" s="93"/>
      <c r="E360" s="94"/>
      <c r="F360" s="95"/>
      <c r="G360" s="96"/>
    </row>
    <row r="361" ht="14.25" customHeight="1" spans="4:7">
      <c r="D361" s="93"/>
      <c r="E361" s="94"/>
      <c r="F361" s="95"/>
      <c r="G361" s="96"/>
    </row>
    <row r="362" ht="14.25" customHeight="1" spans="4:7">
      <c r="D362" s="93"/>
      <c r="E362" s="94"/>
      <c r="F362" s="95"/>
      <c r="G362" s="96"/>
    </row>
    <row r="363" ht="14.25" customHeight="1" spans="4:7">
      <c r="D363" s="93"/>
      <c r="E363" s="94"/>
      <c r="F363" s="95"/>
      <c r="G363" s="96"/>
    </row>
    <row r="364" ht="14.25" customHeight="1" spans="4:7">
      <c r="D364" s="93"/>
      <c r="E364" s="94"/>
      <c r="F364" s="95"/>
      <c r="G364" s="96"/>
    </row>
    <row r="365" ht="14.25" customHeight="1" spans="4:7">
      <c r="D365" s="93"/>
      <c r="E365" s="94"/>
      <c r="F365" s="95"/>
      <c r="G365" s="96"/>
    </row>
    <row r="366" ht="14.25" customHeight="1" spans="4:7">
      <c r="D366" s="93"/>
      <c r="E366" s="94"/>
      <c r="F366" s="95"/>
      <c r="G366" s="96"/>
    </row>
    <row r="367" ht="14.25" customHeight="1" spans="4:7">
      <c r="D367" s="93"/>
      <c r="E367" s="94"/>
      <c r="F367" s="95"/>
      <c r="G367" s="96"/>
    </row>
    <row r="368" ht="14.25" customHeight="1" spans="4:7">
      <c r="D368" s="93"/>
      <c r="E368" s="94"/>
      <c r="F368" s="95"/>
      <c r="G368" s="96"/>
    </row>
    <row r="369" ht="14.25" customHeight="1" spans="4:7">
      <c r="D369" s="93"/>
      <c r="E369" s="94"/>
      <c r="F369" s="95"/>
      <c r="G369" s="96"/>
    </row>
    <row r="370" ht="14.25" customHeight="1" spans="4:7">
      <c r="D370" s="93"/>
      <c r="E370" s="94"/>
      <c r="F370" s="95"/>
      <c r="G370" s="96"/>
    </row>
    <row r="371" ht="14.25" customHeight="1" spans="4:7">
      <c r="D371" s="93"/>
      <c r="E371" s="94"/>
      <c r="F371" s="95"/>
      <c r="G371" s="96"/>
    </row>
    <row r="372" ht="14.25" customHeight="1" spans="4:7">
      <c r="D372" s="93"/>
      <c r="E372" s="94"/>
      <c r="F372" s="95"/>
      <c r="G372" s="96"/>
    </row>
    <row r="373" ht="14.25" customHeight="1" spans="4:7">
      <c r="D373" s="93"/>
      <c r="E373" s="94"/>
      <c r="F373" s="95"/>
      <c r="G373" s="96"/>
    </row>
    <row r="374" ht="14.25" customHeight="1" spans="4:7">
      <c r="D374" s="93"/>
      <c r="E374" s="94"/>
      <c r="F374" s="95"/>
      <c r="G374" s="96"/>
    </row>
    <row r="375" ht="14.25" customHeight="1" spans="4:7">
      <c r="D375" s="93"/>
      <c r="E375" s="94"/>
      <c r="F375" s="95"/>
      <c r="G375" s="96"/>
    </row>
    <row r="376" ht="14.25" customHeight="1" spans="4:7">
      <c r="D376" s="93"/>
      <c r="E376" s="94"/>
      <c r="F376" s="95"/>
      <c r="G376" s="96"/>
    </row>
    <row r="377" ht="14.25" customHeight="1" spans="4:7">
      <c r="D377" s="93"/>
      <c r="E377" s="94"/>
      <c r="F377" s="95"/>
      <c r="G377" s="96"/>
    </row>
    <row r="378" ht="14.25" customHeight="1" spans="4:7">
      <c r="D378" s="93"/>
      <c r="E378" s="94"/>
      <c r="F378" s="95"/>
      <c r="G378" s="96"/>
    </row>
    <row r="379" ht="14.25" customHeight="1" spans="4:7">
      <c r="D379" s="93"/>
      <c r="E379" s="94"/>
      <c r="F379" s="95"/>
      <c r="G379" s="96"/>
    </row>
    <row r="380" ht="14.25" customHeight="1" spans="4:7">
      <c r="D380" s="93"/>
      <c r="E380" s="94"/>
      <c r="F380" s="95"/>
      <c r="G380" s="96"/>
    </row>
    <row r="381" ht="14.25" customHeight="1" spans="4:7">
      <c r="D381" s="93"/>
      <c r="E381" s="94"/>
      <c r="F381" s="95"/>
      <c r="G381" s="96"/>
    </row>
    <row r="382" ht="14.25" customHeight="1" spans="4:7">
      <c r="D382" s="93"/>
      <c r="E382" s="94"/>
      <c r="F382" s="95"/>
      <c r="G382" s="96"/>
    </row>
    <row r="383" ht="14.25" customHeight="1" spans="4:7">
      <c r="D383" s="93"/>
      <c r="E383" s="94"/>
      <c r="F383" s="95"/>
      <c r="G383" s="96"/>
    </row>
    <row r="384" ht="14.25" customHeight="1" spans="4:7">
      <c r="D384" s="93"/>
      <c r="E384" s="94"/>
      <c r="F384" s="95"/>
      <c r="G384" s="96"/>
    </row>
    <row r="385" ht="14.25" customHeight="1" spans="4:7">
      <c r="D385" s="93"/>
      <c r="E385" s="94"/>
      <c r="F385" s="95"/>
      <c r="G385" s="96"/>
    </row>
    <row r="386" ht="14.25" customHeight="1" spans="4:7">
      <c r="D386" s="93"/>
      <c r="E386" s="94"/>
      <c r="F386" s="95"/>
      <c r="G386" s="96"/>
    </row>
    <row r="387" ht="14.25" customHeight="1" spans="4:7">
      <c r="D387" s="93"/>
      <c r="E387" s="94"/>
      <c r="F387" s="95"/>
      <c r="G387" s="96"/>
    </row>
    <row r="388" ht="14.25" customHeight="1" spans="4:7">
      <c r="D388" s="93"/>
      <c r="E388" s="94"/>
      <c r="F388" s="95"/>
      <c r="G388" s="96"/>
    </row>
    <row r="389" ht="14.25" customHeight="1" spans="4:7">
      <c r="D389" s="93"/>
      <c r="E389" s="94"/>
      <c r="F389" s="95"/>
      <c r="G389" s="96"/>
    </row>
    <row r="390" ht="14.25" customHeight="1" spans="4:7">
      <c r="D390" s="93"/>
      <c r="E390" s="94"/>
      <c r="F390" s="95"/>
      <c r="G390" s="96"/>
    </row>
    <row r="391" ht="14.25" customHeight="1" spans="4:7">
      <c r="D391" s="93"/>
      <c r="E391" s="94"/>
      <c r="F391" s="95"/>
      <c r="G391" s="96"/>
    </row>
    <row r="392" ht="14.25" customHeight="1" spans="4:7">
      <c r="D392" s="93"/>
      <c r="E392" s="94"/>
      <c r="F392" s="95"/>
      <c r="G392" s="96"/>
    </row>
    <row r="393" ht="14.25" customHeight="1" spans="4:7">
      <c r="D393" s="93"/>
      <c r="E393" s="94"/>
      <c r="F393" s="95"/>
      <c r="G393" s="96"/>
    </row>
    <row r="394" ht="14.25" customHeight="1" spans="4:7">
      <c r="D394" s="93"/>
      <c r="E394" s="94"/>
      <c r="F394" s="95"/>
      <c r="G394" s="96"/>
    </row>
    <row r="395" ht="14.25" customHeight="1" spans="4:7">
      <c r="D395" s="93"/>
      <c r="E395" s="94"/>
      <c r="F395" s="95"/>
      <c r="G395" s="96"/>
    </row>
    <row r="396" ht="14.25" customHeight="1" spans="4:7">
      <c r="D396" s="93"/>
      <c r="E396" s="94"/>
      <c r="F396" s="95"/>
      <c r="G396" s="96"/>
    </row>
    <row r="397" ht="14.25" customHeight="1" spans="4:7">
      <c r="D397" s="93"/>
      <c r="E397" s="94"/>
      <c r="F397" s="95"/>
      <c r="G397" s="96"/>
    </row>
    <row r="398" ht="14.25" customHeight="1" spans="4:7">
      <c r="D398" s="93"/>
      <c r="E398" s="94"/>
      <c r="F398" s="95"/>
      <c r="G398" s="96"/>
    </row>
    <row r="399" ht="14.25" customHeight="1" spans="4:7">
      <c r="D399" s="93"/>
      <c r="E399" s="94"/>
      <c r="F399" s="95"/>
      <c r="G399" s="96"/>
    </row>
    <row r="400" ht="14.25" customHeight="1" spans="4:7">
      <c r="D400" s="93"/>
      <c r="E400" s="94"/>
      <c r="F400" s="95"/>
      <c r="G400" s="96"/>
    </row>
    <row r="401" ht="14.25" customHeight="1" spans="4:7">
      <c r="D401" s="93"/>
      <c r="E401" s="94"/>
      <c r="F401" s="95"/>
      <c r="G401" s="96"/>
    </row>
    <row r="402" ht="14.25" customHeight="1" spans="4:7">
      <c r="D402" s="93"/>
      <c r="E402" s="94"/>
      <c r="F402" s="95"/>
      <c r="G402" s="96"/>
    </row>
    <row r="403" ht="14.25" customHeight="1" spans="4:7">
      <c r="D403" s="93"/>
      <c r="E403" s="94"/>
      <c r="F403" s="95"/>
      <c r="G403" s="96"/>
    </row>
    <row r="404" ht="14.25" customHeight="1" spans="4:7">
      <c r="D404" s="93"/>
      <c r="E404" s="94"/>
      <c r="F404" s="95"/>
      <c r="G404" s="96"/>
    </row>
    <row r="405" ht="14.25" customHeight="1" spans="4:7">
      <c r="D405" s="93"/>
      <c r="E405" s="94"/>
      <c r="F405" s="95"/>
      <c r="G405" s="96"/>
    </row>
    <row r="406" ht="14.25" customHeight="1" spans="4:7">
      <c r="D406" s="93"/>
      <c r="E406" s="94"/>
      <c r="F406" s="95"/>
      <c r="G406" s="96"/>
    </row>
    <row r="407" ht="14.25" customHeight="1" spans="4:7">
      <c r="D407" s="93"/>
      <c r="E407" s="94"/>
      <c r="F407" s="95"/>
      <c r="G407" s="96"/>
    </row>
    <row r="408" ht="14.25" customHeight="1" spans="4:7">
      <c r="D408" s="93"/>
      <c r="E408" s="94"/>
      <c r="F408" s="95"/>
      <c r="G408" s="96"/>
    </row>
    <row r="409" ht="14.25" customHeight="1" spans="4:7">
      <c r="D409" s="93"/>
      <c r="E409" s="94"/>
      <c r="F409" s="95"/>
      <c r="G409" s="96"/>
    </row>
    <row r="410" ht="14.25" customHeight="1" spans="4:7">
      <c r="D410" s="93"/>
      <c r="E410" s="94"/>
      <c r="F410" s="95"/>
      <c r="G410" s="96"/>
    </row>
    <row r="411" ht="14.25" customHeight="1" spans="4:7">
      <c r="D411" s="93"/>
      <c r="E411" s="94"/>
      <c r="F411" s="95"/>
      <c r="G411" s="96"/>
    </row>
    <row r="412" ht="14.25" customHeight="1" spans="4:7">
      <c r="D412" s="93"/>
      <c r="E412" s="94"/>
      <c r="F412" s="95"/>
      <c r="G412" s="96"/>
    </row>
    <row r="413" ht="14.25" customHeight="1" spans="4:7">
      <c r="D413" s="93"/>
      <c r="E413" s="94"/>
      <c r="F413" s="95"/>
      <c r="G413" s="96"/>
    </row>
    <row r="414" ht="14.25" customHeight="1" spans="4:7">
      <c r="D414" s="93"/>
      <c r="E414" s="94"/>
      <c r="F414" s="95"/>
      <c r="G414" s="96"/>
    </row>
    <row r="415" ht="14.25" customHeight="1" spans="4:7">
      <c r="D415" s="93"/>
      <c r="E415" s="94"/>
      <c r="F415" s="95"/>
      <c r="G415" s="96"/>
    </row>
    <row r="416" ht="14.25" customHeight="1" spans="4:7">
      <c r="D416" s="93"/>
      <c r="E416" s="94"/>
      <c r="F416" s="95"/>
      <c r="G416" s="96"/>
    </row>
    <row r="417" ht="14.25" customHeight="1" spans="4:7">
      <c r="D417" s="93"/>
      <c r="E417" s="94"/>
      <c r="F417" s="95"/>
      <c r="G417" s="96"/>
    </row>
    <row r="418" ht="14.25" customHeight="1" spans="4:7">
      <c r="D418" s="93"/>
      <c r="E418" s="94"/>
      <c r="F418" s="95"/>
      <c r="G418" s="96"/>
    </row>
    <row r="419" ht="14.25" customHeight="1" spans="4:7">
      <c r="D419" s="93"/>
      <c r="E419" s="94"/>
      <c r="F419" s="95"/>
      <c r="G419" s="96"/>
    </row>
    <row r="420" ht="14.25" customHeight="1" spans="4:7">
      <c r="D420" s="93"/>
      <c r="E420" s="94"/>
      <c r="F420" s="95"/>
      <c r="G420" s="96"/>
    </row>
    <row r="421" ht="14.25" customHeight="1" spans="4:7">
      <c r="D421" s="93"/>
      <c r="E421" s="94"/>
      <c r="F421" s="95"/>
      <c r="G421" s="96"/>
    </row>
    <row r="422" ht="14.25" customHeight="1" spans="4:7">
      <c r="D422" s="93"/>
      <c r="E422" s="94"/>
      <c r="F422" s="95"/>
      <c r="G422" s="96"/>
    </row>
    <row r="423" ht="14.25" customHeight="1" spans="4:7">
      <c r="D423" s="93"/>
      <c r="E423" s="94"/>
      <c r="F423" s="95"/>
      <c r="G423" s="96"/>
    </row>
    <row r="424" ht="14.25" customHeight="1" spans="4:7">
      <c r="D424" s="93"/>
      <c r="E424" s="94"/>
      <c r="F424" s="95"/>
      <c r="G424" s="96"/>
    </row>
    <row r="425" ht="14.25" customHeight="1" spans="4:7">
      <c r="D425" s="93"/>
      <c r="E425" s="94"/>
      <c r="F425" s="95"/>
      <c r="G425" s="96"/>
    </row>
    <row r="426" ht="14.25" customHeight="1" spans="4:7">
      <c r="D426" s="93"/>
      <c r="E426" s="94"/>
      <c r="F426" s="95"/>
      <c r="G426" s="96"/>
    </row>
    <row r="427" ht="14.25" customHeight="1" spans="4:7">
      <c r="D427" s="93"/>
      <c r="E427" s="94"/>
      <c r="F427" s="95"/>
      <c r="G427" s="96"/>
    </row>
    <row r="428" ht="14.25" customHeight="1" spans="4:7">
      <c r="D428" s="93"/>
      <c r="E428" s="94"/>
      <c r="F428" s="95"/>
      <c r="G428" s="96"/>
    </row>
    <row r="429" ht="14.25" customHeight="1" spans="4:7">
      <c r="D429" s="93"/>
      <c r="E429" s="94"/>
      <c r="F429" s="95"/>
      <c r="G429" s="96"/>
    </row>
    <row r="430" ht="14.25" customHeight="1" spans="4:7">
      <c r="D430" s="93"/>
      <c r="E430" s="94"/>
      <c r="F430" s="95"/>
      <c r="G430" s="96"/>
    </row>
    <row r="431" ht="14.25" customHeight="1" spans="4:7">
      <c r="D431" s="93"/>
      <c r="E431" s="94"/>
      <c r="F431" s="95"/>
      <c r="G431" s="96"/>
    </row>
    <row r="432" ht="14.25" customHeight="1" spans="4:7">
      <c r="D432" s="93"/>
      <c r="E432" s="94"/>
      <c r="F432" s="95"/>
      <c r="G432" s="96"/>
    </row>
    <row r="433" ht="14.25" customHeight="1" spans="4:7">
      <c r="D433" s="93"/>
      <c r="E433" s="94"/>
      <c r="F433" s="95"/>
      <c r="G433" s="96"/>
    </row>
    <row r="434" ht="14.25" customHeight="1" spans="4:7">
      <c r="D434" s="93"/>
      <c r="E434" s="94"/>
      <c r="F434" s="95"/>
      <c r="G434" s="96"/>
    </row>
    <row r="435" ht="14.25" customHeight="1" spans="4:7">
      <c r="D435" s="93"/>
      <c r="E435" s="94"/>
      <c r="F435" s="95"/>
      <c r="G435" s="96"/>
    </row>
    <row r="436" ht="14.25" customHeight="1" spans="4:7">
      <c r="D436" s="93"/>
      <c r="E436" s="94"/>
      <c r="F436" s="95"/>
      <c r="G436" s="96"/>
    </row>
    <row r="437" ht="14.25" customHeight="1" spans="4:7">
      <c r="D437" s="93"/>
      <c r="E437" s="94"/>
      <c r="F437" s="95"/>
      <c r="G437" s="96"/>
    </row>
    <row r="438" ht="14.25" customHeight="1" spans="4:7">
      <c r="D438" s="93"/>
      <c r="E438" s="94"/>
      <c r="F438" s="95"/>
      <c r="G438" s="96"/>
    </row>
    <row r="439" ht="14.25" customHeight="1" spans="4:7">
      <c r="D439" s="93"/>
      <c r="E439" s="94"/>
      <c r="F439" s="95"/>
      <c r="G439" s="96"/>
    </row>
    <row r="440" ht="14.25" customHeight="1" spans="4:7">
      <c r="D440" s="93"/>
      <c r="E440" s="94"/>
      <c r="F440" s="95"/>
      <c r="G440" s="96"/>
    </row>
    <row r="441" ht="14.25" customHeight="1" spans="4:7">
      <c r="D441" s="93"/>
      <c r="E441" s="94"/>
      <c r="F441" s="95"/>
      <c r="G441" s="96"/>
    </row>
    <row r="442" ht="14.25" customHeight="1" spans="4:7">
      <c r="D442" s="93"/>
      <c r="E442" s="94"/>
      <c r="F442" s="95"/>
      <c r="G442" s="96"/>
    </row>
    <row r="443" ht="14.25" customHeight="1" spans="4:7">
      <c r="D443" s="93"/>
      <c r="E443" s="94"/>
      <c r="F443" s="95"/>
      <c r="G443" s="96"/>
    </row>
    <row r="444" ht="14.25" customHeight="1" spans="4:7">
      <c r="D444" s="93"/>
      <c r="E444" s="94"/>
      <c r="F444" s="95"/>
      <c r="G444" s="96"/>
    </row>
    <row r="445" ht="14.25" customHeight="1" spans="4:7">
      <c r="D445" s="93"/>
      <c r="E445" s="94"/>
      <c r="F445" s="95"/>
      <c r="G445" s="96"/>
    </row>
    <row r="446" ht="14.25" customHeight="1" spans="4:7">
      <c r="D446" s="93"/>
      <c r="E446" s="94"/>
      <c r="F446" s="95"/>
      <c r="G446" s="96"/>
    </row>
    <row r="447" ht="14.25" customHeight="1" spans="4:7">
      <c r="D447" s="93"/>
      <c r="E447" s="94"/>
      <c r="F447" s="95"/>
      <c r="G447" s="96"/>
    </row>
    <row r="448" ht="14.25" customHeight="1" spans="4:7">
      <c r="D448" s="93"/>
      <c r="E448" s="94"/>
      <c r="F448" s="95"/>
      <c r="G448" s="96"/>
    </row>
    <row r="449" ht="14.25" customHeight="1" spans="4:7">
      <c r="D449" s="93"/>
      <c r="E449" s="94"/>
      <c r="F449" s="95"/>
      <c r="G449" s="96"/>
    </row>
    <row r="450" ht="14.25" customHeight="1" spans="4:7">
      <c r="D450" s="93"/>
      <c r="E450" s="94"/>
      <c r="F450" s="95"/>
      <c r="G450" s="96"/>
    </row>
    <row r="451" ht="14.25" customHeight="1" spans="4:7">
      <c r="D451" s="93"/>
      <c r="E451" s="94"/>
      <c r="F451" s="95"/>
      <c r="G451" s="96"/>
    </row>
    <row r="452" ht="14.25" customHeight="1" spans="4:7">
      <c r="D452" s="93"/>
      <c r="E452" s="94"/>
      <c r="F452" s="95"/>
      <c r="G452" s="96"/>
    </row>
    <row r="453" ht="14.25" customHeight="1" spans="4:7">
      <c r="D453" s="93"/>
      <c r="E453" s="94"/>
      <c r="F453" s="95"/>
      <c r="G453" s="96"/>
    </row>
    <row r="454" ht="14.25" customHeight="1" spans="4:7">
      <c r="D454" s="93"/>
      <c r="E454" s="94"/>
      <c r="F454" s="95"/>
      <c r="G454" s="96"/>
    </row>
    <row r="455" ht="14.25" customHeight="1" spans="4:7">
      <c r="D455" s="93"/>
      <c r="E455" s="94"/>
      <c r="F455" s="95"/>
      <c r="G455" s="96"/>
    </row>
    <row r="456" ht="14.25" customHeight="1" spans="4:7">
      <c r="D456" s="93"/>
      <c r="E456" s="94"/>
      <c r="F456" s="95"/>
      <c r="G456" s="96"/>
    </row>
    <row r="457" ht="14.25" customHeight="1" spans="4:7">
      <c r="D457" s="93"/>
      <c r="E457" s="94"/>
      <c r="F457" s="95"/>
      <c r="G457" s="96"/>
    </row>
    <row r="458" ht="14.25" customHeight="1" spans="4:7">
      <c r="D458" s="93"/>
      <c r="E458" s="94"/>
      <c r="F458" s="95"/>
      <c r="G458" s="96"/>
    </row>
    <row r="459" ht="14.25" customHeight="1" spans="4:7">
      <c r="D459" s="93"/>
      <c r="E459" s="94"/>
      <c r="F459" s="95"/>
      <c r="G459" s="96"/>
    </row>
    <row r="460" ht="14.25" customHeight="1" spans="4:7">
      <c r="D460" s="93"/>
      <c r="E460" s="94"/>
      <c r="F460" s="95"/>
      <c r="G460" s="96"/>
    </row>
    <row r="461" ht="14.25" customHeight="1" spans="4:7">
      <c r="D461" s="93"/>
      <c r="E461" s="94"/>
      <c r="F461" s="95"/>
      <c r="G461" s="96"/>
    </row>
    <row r="462" ht="14.25" customHeight="1" spans="4:7">
      <c r="D462" s="93"/>
      <c r="E462" s="94"/>
      <c r="F462" s="95"/>
      <c r="G462" s="96"/>
    </row>
    <row r="463" ht="14.25" customHeight="1" spans="4:7">
      <c r="D463" s="93"/>
      <c r="E463" s="94"/>
      <c r="F463" s="95"/>
      <c r="G463" s="96"/>
    </row>
    <row r="464" ht="14.25" customHeight="1" spans="4:7">
      <c r="D464" s="93"/>
      <c r="E464" s="94"/>
      <c r="F464" s="95"/>
      <c r="G464" s="96"/>
    </row>
    <row r="465" ht="14.25" customHeight="1" spans="4:7">
      <c r="D465" s="93"/>
      <c r="E465" s="94"/>
      <c r="F465" s="95"/>
      <c r="G465" s="96"/>
    </row>
    <row r="466" ht="14.25" customHeight="1" spans="4:7">
      <c r="D466" s="93"/>
      <c r="E466" s="94"/>
      <c r="F466" s="95"/>
      <c r="G466" s="96"/>
    </row>
    <row r="467" ht="14.25" customHeight="1" spans="4:7">
      <c r="D467" s="93"/>
      <c r="E467" s="94"/>
      <c r="F467" s="95"/>
      <c r="G467" s="96"/>
    </row>
    <row r="468" ht="14.25" customHeight="1" spans="4:7">
      <c r="D468" s="93"/>
      <c r="E468" s="94"/>
      <c r="F468" s="95"/>
      <c r="G468" s="96"/>
    </row>
    <row r="469" ht="14.25" customHeight="1" spans="4:7">
      <c r="D469" s="93"/>
      <c r="E469" s="94"/>
      <c r="F469" s="95"/>
      <c r="G469" s="96"/>
    </row>
    <row r="470" ht="14.25" customHeight="1" spans="4:7">
      <c r="D470" s="93"/>
      <c r="E470" s="94"/>
      <c r="F470" s="95"/>
      <c r="G470" s="96"/>
    </row>
    <row r="471" ht="14.25" customHeight="1" spans="4:7">
      <c r="D471" s="93"/>
      <c r="E471" s="94"/>
      <c r="F471" s="95"/>
      <c r="G471" s="96"/>
    </row>
    <row r="472" ht="14.25" customHeight="1" spans="4:7">
      <c r="D472" s="93"/>
      <c r="E472" s="94"/>
      <c r="F472" s="95"/>
      <c r="G472" s="96"/>
    </row>
    <row r="473" ht="14.25" customHeight="1" spans="4:7">
      <c r="D473" s="93"/>
      <c r="E473" s="94"/>
      <c r="F473" s="95"/>
      <c r="G473" s="96"/>
    </row>
    <row r="474" ht="14.25" customHeight="1" spans="4:7">
      <c r="D474" s="93"/>
      <c r="E474" s="94"/>
      <c r="F474" s="95"/>
      <c r="G474" s="96"/>
    </row>
    <row r="475" ht="14.25" customHeight="1" spans="4:7">
      <c r="D475" s="93"/>
      <c r="E475" s="94"/>
      <c r="F475" s="95"/>
      <c r="G475" s="96"/>
    </row>
    <row r="476" ht="14.25" customHeight="1" spans="4:7">
      <c r="D476" s="93"/>
      <c r="E476" s="94"/>
      <c r="F476" s="95"/>
      <c r="G476" s="96"/>
    </row>
    <row r="477" ht="14.25" customHeight="1" spans="4:7">
      <c r="D477" s="93"/>
      <c r="E477" s="94"/>
      <c r="F477" s="95"/>
      <c r="G477" s="96"/>
    </row>
    <row r="478" ht="14.25" customHeight="1" spans="4:7">
      <c r="D478" s="93"/>
      <c r="E478" s="94"/>
      <c r="F478" s="95"/>
      <c r="G478" s="96"/>
    </row>
    <row r="479" ht="14.25" customHeight="1" spans="4:7">
      <c r="D479" s="93"/>
      <c r="E479" s="94"/>
      <c r="F479" s="95"/>
      <c r="G479" s="96"/>
    </row>
    <row r="480" ht="14.25" customHeight="1" spans="4:7">
      <c r="D480" s="93"/>
      <c r="E480" s="94"/>
      <c r="F480" s="95"/>
      <c r="G480" s="96"/>
    </row>
    <row r="481" ht="14.25" customHeight="1" spans="4:7">
      <c r="D481" s="93"/>
      <c r="E481" s="94"/>
      <c r="F481" s="95"/>
      <c r="G481" s="96"/>
    </row>
    <row r="482" ht="14.25" customHeight="1" spans="4:7">
      <c r="D482" s="93"/>
      <c r="E482" s="94"/>
      <c r="F482" s="95"/>
      <c r="G482" s="96"/>
    </row>
    <row r="483" ht="14.25" customHeight="1" spans="4:7">
      <c r="D483" s="93"/>
      <c r="E483" s="94"/>
      <c r="F483" s="95"/>
      <c r="G483" s="96"/>
    </row>
    <row r="484" ht="14.25" customHeight="1" spans="4:7">
      <c r="D484" s="93"/>
      <c r="E484" s="94"/>
      <c r="F484" s="95"/>
      <c r="G484" s="96"/>
    </row>
    <row r="485" ht="14.25" customHeight="1" spans="4:7">
      <c r="D485" s="93"/>
      <c r="E485" s="94"/>
      <c r="F485" s="95"/>
      <c r="G485" s="96"/>
    </row>
    <row r="486" ht="14.25" customHeight="1" spans="4:7">
      <c r="D486" s="93"/>
      <c r="E486" s="94"/>
      <c r="F486" s="95"/>
      <c r="G486" s="96"/>
    </row>
    <row r="487" ht="14.25" customHeight="1" spans="4:7">
      <c r="D487" s="93"/>
      <c r="E487" s="94"/>
      <c r="F487" s="95"/>
      <c r="G487" s="96"/>
    </row>
    <row r="488" ht="14.25" customHeight="1" spans="4:7">
      <c r="D488" s="93"/>
      <c r="E488" s="94"/>
      <c r="F488" s="95"/>
      <c r="G488" s="96"/>
    </row>
    <row r="489" ht="14.25" customHeight="1" spans="4:7">
      <c r="D489" s="93"/>
      <c r="E489" s="94"/>
      <c r="F489" s="95"/>
      <c r="G489" s="96"/>
    </row>
    <row r="490" ht="14.25" customHeight="1" spans="4:7">
      <c r="D490" s="93"/>
      <c r="E490" s="94"/>
      <c r="F490" s="95"/>
      <c r="G490" s="96"/>
    </row>
    <row r="491" ht="14.25" customHeight="1" spans="4:7">
      <c r="D491" s="93"/>
      <c r="E491" s="94"/>
      <c r="F491" s="95"/>
      <c r="G491" s="96"/>
    </row>
    <row r="492" ht="14.25" customHeight="1" spans="4:7">
      <c r="D492" s="93"/>
      <c r="E492" s="94"/>
      <c r="F492" s="95"/>
      <c r="G492" s="96"/>
    </row>
    <row r="493" ht="14.25" customHeight="1" spans="4:7">
      <c r="D493" s="93"/>
      <c r="E493" s="94"/>
      <c r="F493" s="95"/>
      <c r="G493" s="96"/>
    </row>
    <row r="494" ht="14.25" customHeight="1" spans="4:7">
      <c r="D494" s="93"/>
      <c r="E494" s="94"/>
      <c r="F494" s="95"/>
      <c r="G494" s="96"/>
    </row>
    <row r="495" ht="14.25" customHeight="1" spans="4:7">
      <c r="D495" s="93"/>
      <c r="E495" s="94"/>
      <c r="F495" s="95"/>
      <c r="G495" s="96"/>
    </row>
    <row r="496" ht="14.25" customHeight="1" spans="4:7">
      <c r="D496" s="93"/>
      <c r="E496" s="94"/>
      <c r="F496" s="95"/>
      <c r="G496" s="96"/>
    </row>
    <row r="497" ht="14.25" customHeight="1" spans="4:7">
      <c r="D497" s="93"/>
      <c r="E497" s="94"/>
      <c r="F497" s="95"/>
      <c r="G497" s="96"/>
    </row>
    <row r="498" ht="14.25" customHeight="1" spans="4:7">
      <c r="D498" s="93"/>
      <c r="E498" s="94"/>
      <c r="F498" s="95"/>
      <c r="G498" s="96"/>
    </row>
    <row r="499" ht="14.25" customHeight="1" spans="4:7">
      <c r="D499" s="93"/>
      <c r="E499" s="94"/>
      <c r="F499" s="95"/>
      <c r="G499" s="96"/>
    </row>
    <row r="500" ht="14.25" customHeight="1" spans="4:7">
      <c r="D500" s="93"/>
      <c r="E500" s="94"/>
      <c r="F500" s="95"/>
      <c r="G500" s="96"/>
    </row>
    <row r="501" ht="14.25" customHeight="1" spans="4:7">
      <c r="D501" s="93"/>
      <c r="E501" s="94"/>
      <c r="F501" s="95"/>
      <c r="G501" s="96"/>
    </row>
    <row r="502" ht="14.25" customHeight="1" spans="4:7">
      <c r="D502" s="93"/>
      <c r="E502" s="94"/>
      <c r="F502" s="95"/>
      <c r="G502" s="96"/>
    </row>
    <row r="503" ht="14.25" customHeight="1" spans="4:7">
      <c r="D503" s="93"/>
      <c r="E503" s="94"/>
      <c r="F503" s="95"/>
      <c r="G503" s="96"/>
    </row>
    <row r="504" ht="14.25" customHeight="1" spans="4:7">
      <c r="D504" s="93"/>
      <c r="E504" s="94"/>
      <c r="F504" s="95"/>
      <c r="G504" s="96"/>
    </row>
    <row r="505" ht="14.25" customHeight="1" spans="4:7">
      <c r="D505" s="93"/>
      <c r="E505" s="94"/>
      <c r="F505" s="95"/>
      <c r="G505" s="96"/>
    </row>
    <row r="506" ht="14.25" customHeight="1" spans="4:7">
      <c r="D506" s="93"/>
      <c r="E506" s="94"/>
      <c r="F506" s="95"/>
      <c r="G506" s="96"/>
    </row>
    <row r="507" ht="14.25" customHeight="1" spans="4:7">
      <c r="D507" s="93"/>
      <c r="E507" s="94"/>
      <c r="F507" s="95"/>
      <c r="G507" s="96"/>
    </row>
    <row r="508" ht="14.25" customHeight="1" spans="4:7">
      <c r="D508" s="93"/>
      <c r="E508" s="94"/>
      <c r="F508" s="95"/>
      <c r="G508" s="96"/>
    </row>
    <row r="509" ht="14.25" customHeight="1" spans="4:7">
      <c r="D509" s="93"/>
      <c r="E509" s="94"/>
      <c r="F509" s="95"/>
      <c r="G509" s="96"/>
    </row>
    <row r="510" ht="14.25" customHeight="1" spans="4:7">
      <c r="D510" s="93"/>
      <c r="E510" s="94"/>
      <c r="F510" s="95"/>
      <c r="G510" s="96"/>
    </row>
    <row r="511" ht="14.25" customHeight="1" spans="4:7">
      <c r="D511" s="93"/>
      <c r="E511" s="94"/>
      <c r="F511" s="95"/>
      <c r="G511" s="96"/>
    </row>
    <row r="512" ht="14.25" customHeight="1" spans="4:7">
      <c r="D512" s="93"/>
      <c r="E512" s="94"/>
      <c r="F512" s="95"/>
      <c r="G512" s="96"/>
    </row>
    <row r="513" ht="14.25" customHeight="1" spans="4:7">
      <c r="D513" s="93"/>
      <c r="E513" s="94"/>
      <c r="F513" s="95"/>
      <c r="G513" s="96"/>
    </row>
    <row r="514" ht="14.25" customHeight="1" spans="4:7">
      <c r="D514" s="93"/>
      <c r="E514" s="94"/>
      <c r="F514" s="95"/>
      <c r="G514" s="96"/>
    </row>
    <row r="515" ht="14.25" customHeight="1" spans="4:7">
      <c r="D515" s="93"/>
      <c r="E515" s="94"/>
      <c r="F515" s="95"/>
      <c r="G515" s="96"/>
    </row>
    <row r="516" ht="14.25" customHeight="1" spans="4:7">
      <c r="D516" s="93"/>
      <c r="E516" s="94"/>
      <c r="F516" s="95"/>
      <c r="G516" s="96"/>
    </row>
    <row r="517" ht="14.25" customHeight="1" spans="4:7">
      <c r="D517" s="93"/>
      <c r="E517" s="94"/>
      <c r="F517" s="95"/>
      <c r="G517" s="96"/>
    </row>
    <row r="518" ht="14.25" customHeight="1" spans="4:7">
      <c r="D518" s="93"/>
      <c r="E518" s="94"/>
      <c r="F518" s="95"/>
      <c r="G518" s="96"/>
    </row>
    <row r="519" ht="14.25" customHeight="1" spans="4:7">
      <c r="D519" s="93"/>
      <c r="E519" s="94"/>
      <c r="F519" s="95"/>
      <c r="G519" s="96"/>
    </row>
    <row r="520" ht="14.25" customHeight="1" spans="4:7">
      <c r="D520" s="93"/>
      <c r="E520" s="94"/>
      <c r="F520" s="95"/>
      <c r="G520" s="96"/>
    </row>
    <row r="521" ht="14.25" customHeight="1" spans="4:7">
      <c r="D521" s="93"/>
      <c r="E521" s="94"/>
      <c r="F521" s="95"/>
      <c r="G521" s="96"/>
    </row>
    <row r="522" ht="14.25" customHeight="1" spans="4:7">
      <c r="D522" s="93"/>
      <c r="E522" s="94"/>
      <c r="F522" s="95"/>
      <c r="G522" s="96"/>
    </row>
    <row r="523" ht="14.25" customHeight="1" spans="4:7">
      <c r="D523" s="93"/>
      <c r="E523" s="94"/>
      <c r="F523" s="95"/>
      <c r="G523" s="96"/>
    </row>
    <row r="524" ht="14.25" customHeight="1" spans="4:7">
      <c r="D524" s="93"/>
      <c r="E524" s="94"/>
      <c r="F524" s="95"/>
      <c r="G524" s="96"/>
    </row>
    <row r="525" ht="14.25" customHeight="1" spans="4:7">
      <c r="D525" s="93"/>
      <c r="E525" s="94"/>
      <c r="F525" s="95"/>
      <c r="G525" s="96"/>
    </row>
    <row r="526" ht="14.25" customHeight="1" spans="4:7">
      <c r="D526" s="93"/>
      <c r="E526" s="94"/>
      <c r="F526" s="95"/>
      <c r="G526" s="96"/>
    </row>
    <row r="527" ht="14.25" customHeight="1" spans="4:7">
      <c r="D527" s="93"/>
      <c r="E527" s="94"/>
      <c r="F527" s="95"/>
      <c r="G527" s="96"/>
    </row>
    <row r="528" ht="14.25" customHeight="1" spans="4:7">
      <c r="D528" s="93"/>
      <c r="E528" s="94"/>
      <c r="F528" s="95"/>
      <c r="G528" s="96"/>
    </row>
    <row r="529" ht="14.25" customHeight="1" spans="4:7">
      <c r="D529" s="93"/>
      <c r="E529" s="94"/>
      <c r="F529" s="95"/>
      <c r="G529" s="96"/>
    </row>
    <row r="530" ht="14.25" customHeight="1" spans="4:7">
      <c r="D530" s="93"/>
      <c r="E530" s="94"/>
      <c r="F530" s="95"/>
      <c r="G530" s="96"/>
    </row>
    <row r="531" ht="14.25" customHeight="1" spans="4:7">
      <c r="D531" s="93"/>
      <c r="E531" s="94"/>
      <c r="F531" s="95"/>
      <c r="G531" s="96"/>
    </row>
    <row r="532" ht="14.25" customHeight="1" spans="4:7">
      <c r="D532" s="93"/>
      <c r="E532" s="94"/>
      <c r="F532" s="95"/>
      <c r="G532" s="96"/>
    </row>
    <row r="533" ht="14.25" customHeight="1" spans="4:7">
      <c r="D533" s="93"/>
      <c r="E533" s="94"/>
      <c r="F533" s="95"/>
      <c r="G533" s="96"/>
    </row>
    <row r="534" ht="14.25" customHeight="1" spans="4:7">
      <c r="D534" s="93"/>
      <c r="E534" s="94"/>
      <c r="F534" s="95"/>
      <c r="G534" s="96"/>
    </row>
    <row r="535" ht="14.25" customHeight="1" spans="4:7">
      <c r="D535" s="93"/>
      <c r="E535" s="94"/>
      <c r="F535" s="95"/>
      <c r="G535" s="96"/>
    </row>
    <row r="536" ht="14.25" customHeight="1" spans="4:7">
      <c r="D536" s="93"/>
      <c r="E536" s="94"/>
      <c r="F536" s="95"/>
      <c r="G536" s="96"/>
    </row>
    <row r="537" ht="14.25" customHeight="1" spans="4:7">
      <c r="D537" s="93"/>
      <c r="E537" s="94"/>
      <c r="F537" s="95"/>
      <c r="G537" s="96"/>
    </row>
    <row r="538" ht="14.25" customHeight="1" spans="4:7">
      <c r="D538" s="93"/>
      <c r="E538" s="94"/>
      <c r="F538" s="95"/>
      <c r="G538" s="96"/>
    </row>
    <row r="539" ht="14.25" customHeight="1" spans="4:7">
      <c r="D539" s="93"/>
      <c r="E539" s="94"/>
      <c r="F539" s="95"/>
      <c r="G539" s="96"/>
    </row>
    <row r="540" ht="14.25" customHeight="1" spans="4:7">
      <c r="D540" s="93"/>
      <c r="E540" s="94"/>
      <c r="F540" s="95"/>
      <c r="G540" s="96"/>
    </row>
    <row r="541" ht="14.25" customHeight="1" spans="4:7">
      <c r="D541" s="93"/>
      <c r="E541" s="94"/>
      <c r="F541" s="95"/>
      <c r="G541" s="96"/>
    </row>
    <row r="542" ht="14.25" customHeight="1" spans="4:7">
      <c r="D542" s="93"/>
      <c r="E542" s="94"/>
      <c r="F542" s="95"/>
      <c r="G542" s="96"/>
    </row>
    <row r="543" ht="14.25" customHeight="1" spans="4:7">
      <c r="D543" s="93"/>
      <c r="E543" s="94"/>
      <c r="F543" s="95"/>
      <c r="G543" s="96"/>
    </row>
    <row r="544" ht="14.25" customHeight="1" spans="4:7">
      <c r="D544" s="93"/>
      <c r="E544" s="94"/>
      <c r="F544" s="95"/>
      <c r="G544" s="96"/>
    </row>
    <row r="545" ht="14.25" customHeight="1" spans="4:7">
      <c r="D545" s="93"/>
      <c r="E545" s="94"/>
      <c r="F545" s="95"/>
      <c r="G545" s="96"/>
    </row>
    <row r="546" ht="14.25" customHeight="1" spans="4:7">
      <c r="D546" s="93"/>
      <c r="E546" s="94"/>
      <c r="F546" s="95"/>
      <c r="G546" s="96"/>
    </row>
    <row r="547" ht="14.25" customHeight="1" spans="4:7">
      <c r="D547" s="93"/>
      <c r="E547" s="94"/>
      <c r="F547" s="95"/>
      <c r="G547" s="96"/>
    </row>
    <row r="548" ht="14.25" customHeight="1" spans="4:7">
      <c r="D548" s="93"/>
      <c r="E548" s="94"/>
      <c r="F548" s="95"/>
      <c r="G548" s="96"/>
    </row>
    <row r="549" ht="14.25" customHeight="1" spans="4:7">
      <c r="D549" s="93"/>
      <c r="E549" s="94"/>
      <c r="F549" s="95"/>
      <c r="G549" s="96"/>
    </row>
    <row r="550" ht="14.25" customHeight="1" spans="4:7">
      <c r="D550" s="93"/>
      <c r="E550" s="94"/>
      <c r="F550" s="95"/>
      <c r="G550" s="96"/>
    </row>
    <row r="551" ht="14.25" customHeight="1" spans="4:7">
      <c r="D551" s="93"/>
      <c r="E551" s="94"/>
      <c r="F551" s="95"/>
      <c r="G551" s="96"/>
    </row>
    <row r="552" ht="14.25" customHeight="1" spans="4:7">
      <c r="D552" s="93"/>
      <c r="E552" s="94"/>
      <c r="F552" s="95"/>
      <c r="G552" s="96"/>
    </row>
    <row r="553" ht="14.25" customHeight="1" spans="4:7">
      <c r="D553" s="93"/>
      <c r="E553" s="94"/>
      <c r="F553" s="95"/>
      <c r="G553" s="96"/>
    </row>
    <row r="554" ht="14.25" customHeight="1" spans="4:7">
      <c r="D554" s="93"/>
      <c r="E554" s="94"/>
      <c r="F554" s="95"/>
      <c r="G554" s="96"/>
    </row>
    <row r="555" ht="14.25" customHeight="1" spans="4:7">
      <c r="D555" s="93"/>
      <c r="E555" s="94"/>
      <c r="F555" s="95"/>
      <c r="G555" s="96"/>
    </row>
    <row r="556" ht="14.25" customHeight="1" spans="4:7">
      <c r="D556" s="93"/>
      <c r="E556" s="94"/>
      <c r="F556" s="95"/>
      <c r="G556" s="96"/>
    </row>
    <row r="557" ht="14.25" customHeight="1" spans="4:7">
      <c r="D557" s="93"/>
      <c r="E557" s="94"/>
      <c r="F557" s="95"/>
      <c r="G557" s="96"/>
    </row>
    <row r="558" ht="14.25" customHeight="1" spans="4:7">
      <c r="D558" s="93"/>
      <c r="E558" s="94"/>
      <c r="F558" s="95"/>
      <c r="G558" s="96"/>
    </row>
    <row r="559" ht="14.25" customHeight="1" spans="4:7">
      <c r="D559" s="93"/>
      <c r="E559" s="94"/>
      <c r="F559" s="95"/>
      <c r="G559" s="96"/>
    </row>
    <row r="560" ht="14.25" customHeight="1" spans="4:7">
      <c r="D560" s="93"/>
      <c r="E560" s="94"/>
      <c r="F560" s="95"/>
      <c r="G560" s="96"/>
    </row>
    <row r="561" ht="14.25" customHeight="1" spans="4:7">
      <c r="D561" s="93"/>
      <c r="E561" s="94"/>
      <c r="F561" s="95"/>
      <c r="G561" s="96"/>
    </row>
    <row r="562" ht="14.25" customHeight="1" spans="4:7">
      <c r="D562" s="93"/>
      <c r="E562" s="94"/>
      <c r="F562" s="95"/>
      <c r="G562" s="96"/>
    </row>
    <row r="563" ht="14.25" customHeight="1" spans="4:7">
      <c r="D563" s="93"/>
      <c r="E563" s="94"/>
      <c r="F563" s="95"/>
      <c r="G563" s="96"/>
    </row>
    <row r="564" ht="14.25" customHeight="1" spans="4:7">
      <c r="D564" s="93"/>
      <c r="E564" s="94"/>
      <c r="F564" s="95"/>
      <c r="G564" s="96"/>
    </row>
    <row r="565" ht="14.25" customHeight="1" spans="4:7">
      <c r="D565" s="93"/>
      <c r="E565" s="94"/>
      <c r="F565" s="95"/>
      <c r="G565" s="96"/>
    </row>
    <row r="566" ht="14.25" customHeight="1" spans="4:7">
      <c r="D566" s="93"/>
      <c r="E566" s="94"/>
      <c r="F566" s="95"/>
      <c r="G566" s="96"/>
    </row>
    <row r="567" ht="14.25" customHeight="1" spans="4:7">
      <c r="D567" s="93"/>
      <c r="E567" s="94"/>
      <c r="F567" s="95"/>
      <c r="G567" s="96"/>
    </row>
    <row r="568" ht="14.25" customHeight="1" spans="4:7">
      <c r="D568" s="93"/>
      <c r="E568" s="94"/>
      <c r="F568" s="95"/>
      <c r="G568" s="96"/>
    </row>
    <row r="569" ht="14.25" customHeight="1" spans="4:7">
      <c r="D569" s="93"/>
      <c r="E569" s="94"/>
      <c r="F569" s="95"/>
      <c r="G569" s="96"/>
    </row>
    <row r="570" ht="14.25" customHeight="1" spans="4:7">
      <c r="D570" s="93"/>
      <c r="E570" s="94"/>
      <c r="F570" s="95"/>
      <c r="G570" s="96"/>
    </row>
    <row r="571" ht="14.25" customHeight="1" spans="4:7">
      <c r="D571" s="93"/>
      <c r="E571" s="94"/>
      <c r="F571" s="95"/>
      <c r="G571" s="96"/>
    </row>
    <row r="572" ht="14.25" customHeight="1" spans="4:7">
      <c r="D572" s="93"/>
      <c r="E572" s="94"/>
      <c r="F572" s="95"/>
      <c r="G572" s="96"/>
    </row>
    <row r="573" ht="14.25" customHeight="1" spans="4:7">
      <c r="D573" s="93"/>
      <c r="E573" s="94"/>
      <c r="F573" s="95"/>
      <c r="G573" s="96"/>
    </row>
    <row r="574" ht="14.25" customHeight="1" spans="4:7">
      <c r="D574" s="93"/>
      <c r="E574" s="94"/>
      <c r="F574" s="95"/>
      <c r="G574" s="96"/>
    </row>
    <row r="575" ht="14.25" customHeight="1" spans="4:7">
      <c r="D575" s="93"/>
      <c r="E575" s="94"/>
      <c r="F575" s="95"/>
      <c r="G575" s="96"/>
    </row>
    <row r="576" ht="14.25" customHeight="1" spans="4:7">
      <c r="D576" s="93"/>
      <c r="E576" s="94"/>
      <c r="F576" s="95"/>
      <c r="G576" s="96"/>
    </row>
    <row r="577" ht="14.25" customHeight="1" spans="4:7">
      <c r="D577" s="93"/>
      <c r="E577" s="94"/>
      <c r="F577" s="95"/>
      <c r="G577" s="96"/>
    </row>
    <row r="578" ht="14.25" customHeight="1" spans="4:7">
      <c r="D578" s="93"/>
      <c r="E578" s="94"/>
      <c r="F578" s="95"/>
      <c r="G578" s="96"/>
    </row>
    <row r="579" ht="14.25" customHeight="1" spans="4:7">
      <c r="D579" s="93"/>
      <c r="E579" s="94"/>
      <c r="F579" s="95"/>
      <c r="G579" s="96"/>
    </row>
    <row r="580" ht="14.25" customHeight="1" spans="4:7">
      <c r="D580" s="93"/>
      <c r="E580" s="94"/>
      <c r="F580" s="95"/>
      <c r="G580" s="96"/>
    </row>
    <row r="581" ht="14.25" customHeight="1" spans="4:7">
      <c r="D581" s="93"/>
      <c r="E581" s="94"/>
      <c r="F581" s="95"/>
      <c r="G581" s="96"/>
    </row>
    <row r="582" ht="14.25" customHeight="1" spans="4:7">
      <c r="D582" s="93"/>
      <c r="E582" s="94"/>
      <c r="F582" s="95"/>
      <c r="G582" s="96"/>
    </row>
    <row r="583" ht="14.25" customHeight="1" spans="4:7">
      <c r="D583" s="93"/>
      <c r="E583" s="94"/>
      <c r="F583" s="95"/>
      <c r="G583" s="96"/>
    </row>
    <row r="584" ht="14.25" customHeight="1" spans="4:7">
      <c r="D584" s="93"/>
      <c r="E584" s="94"/>
      <c r="F584" s="95"/>
      <c r="G584" s="96"/>
    </row>
    <row r="585" ht="14.25" customHeight="1" spans="4:7">
      <c r="D585" s="93"/>
      <c r="E585" s="94"/>
      <c r="F585" s="95"/>
      <c r="G585" s="96"/>
    </row>
    <row r="586" ht="14.25" customHeight="1" spans="4:7">
      <c r="D586" s="93"/>
      <c r="E586" s="94"/>
      <c r="F586" s="95"/>
      <c r="G586" s="96"/>
    </row>
    <row r="587" ht="14.25" customHeight="1" spans="4:7">
      <c r="D587" s="93"/>
      <c r="E587" s="94"/>
      <c r="F587" s="95"/>
      <c r="G587" s="96"/>
    </row>
    <row r="588" ht="14.25" customHeight="1" spans="4:7">
      <c r="D588" s="93"/>
      <c r="E588" s="94"/>
      <c r="F588" s="95"/>
      <c r="G588" s="96"/>
    </row>
    <row r="589" ht="14.25" customHeight="1" spans="4:7">
      <c r="D589" s="93"/>
      <c r="E589" s="94"/>
      <c r="F589" s="95"/>
      <c r="G589" s="96"/>
    </row>
    <row r="590" ht="14.25" customHeight="1" spans="4:7">
      <c r="D590" s="93"/>
      <c r="E590" s="94"/>
      <c r="F590" s="95"/>
      <c r="G590" s="96"/>
    </row>
    <row r="591" ht="14.25" customHeight="1" spans="4:7">
      <c r="D591" s="93"/>
      <c r="E591" s="94"/>
      <c r="F591" s="95"/>
      <c r="G591" s="96"/>
    </row>
    <row r="592" ht="14.25" customHeight="1" spans="4:7">
      <c r="D592" s="93"/>
      <c r="E592" s="94"/>
      <c r="F592" s="95"/>
      <c r="G592" s="96"/>
    </row>
    <row r="593" ht="14.25" customHeight="1" spans="4:7">
      <c r="D593" s="93"/>
      <c r="E593" s="94"/>
      <c r="F593" s="95"/>
      <c r="G593" s="96"/>
    </row>
    <row r="594" ht="14.25" customHeight="1" spans="4:7">
      <c r="D594" s="93"/>
      <c r="E594" s="94"/>
      <c r="F594" s="95"/>
      <c r="G594" s="96"/>
    </row>
    <row r="595" ht="14.25" customHeight="1" spans="4:7">
      <c r="D595" s="93"/>
      <c r="E595" s="94"/>
      <c r="F595" s="95"/>
      <c r="G595" s="96"/>
    </row>
    <row r="596" ht="14.25" customHeight="1" spans="4:7">
      <c r="D596" s="93"/>
      <c r="E596" s="94"/>
      <c r="F596" s="95"/>
      <c r="G596" s="96"/>
    </row>
    <row r="597" ht="14.25" customHeight="1" spans="4:7">
      <c r="D597" s="93"/>
      <c r="E597" s="94"/>
      <c r="F597" s="95"/>
      <c r="G597" s="96"/>
    </row>
    <row r="598" ht="14.25" customHeight="1" spans="4:7">
      <c r="D598" s="93"/>
      <c r="E598" s="94"/>
      <c r="F598" s="95"/>
      <c r="G598" s="96"/>
    </row>
    <row r="599" ht="14.25" customHeight="1" spans="4:7">
      <c r="D599" s="93"/>
      <c r="E599" s="94"/>
      <c r="F599" s="95"/>
      <c r="G599" s="96"/>
    </row>
    <row r="600" ht="14.25" customHeight="1" spans="4:7">
      <c r="D600" s="93"/>
      <c r="E600" s="94"/>
      <c r="F600" s="95"/>
      <c r="G600" s="96"/>
    </row>
    <row r="601" ht="14.25" customHeight="1" spans="4:7">
      <c r="D601" s="93"/>
      <c r="E601" s="94"/>
      <c r="F601" s="95"/>
      <c r="G601" s="96"/>
    </row>
    <row r="602" ht="14.25" customHeight="1" spans="4:7">
      <c r="D602" s="93"/>
      <c r="E602" s="94"/>
      <c r="F602" s="95"/>
      <c r="G602" s="96"/>
    </row>
    <row r="603" ht="14.25" customHeight="1" spans="4:7">
      <c r="D603" s="93"/>
      <c r="E603" s="94"/>
      <c r="F603" s="95"/>
      <c r="G603" s="96"/>
    </row>
    <row r="604" ht="14.25" customHeight="1" spans="4:7">
      <c r="D604" s="93"/>
      <c r="E604" s="94"/>
      <c r="F604" s="95"/>
      <c r="G604" s="96"/>
    </row>
    <row r="605" ht="14.25" customHeight="1" spans="4:7">
      <c r="D605" s="93"/>
      <c r="E605" s="94"/>
      <c r="F605" s="95"/>
      <c r="G605" s="96"/>
    </row>
    <row r="606" ht="14.25" customHeight="1" spans="4:7">
      <c r="D606" s="93"/>
      <c r="E606" s="94"/>
      <c r="F606" s="95"/>
      <c r="G606" s="96"/>
    </row>
    <row r="607" ht="14.25" customHeight="1" spans="4:7">
      <c r="D607" s="93"/>
      <c r="E607" s="94"/>
      <c r="F607" s="95"/>
      <c r="G607" s="96"/>
    </row>
    <row r="608" ht="14.25" customHeight="1" spans="4:7">
      <c r="D608" s="93"/>
      <c r="E608" s="94"/>
      <c r="F608" s="95"/>
      <c r="G608" s="96"/>
    </row>
    <row r="609" ht="14.25" customHeight="1" spans="4:7">
      <c r="D609" s="93"/>
      <c r="E609" s="94"/>
      <c r="F609" s="95"/>
      <c r="G609" s="96"/>
    </row>
    <row r="610" ht="14.25" customHeight="1" spans="4:7">
      <c r="D610" s="93"/>
      <c r="E610" s="94"/>
      <c r="F610" s="95"/>
      <c r="G610" s="96"/>
    </row>
    <row r="611" ht="14.25" customHeight="1" spans="4:7">
      <c r="D611" s="93"/>
      <c r="E611" s="94"/>
      <c r="F611" s="95"/>
      <c r="G611" s="96"/>
    </row>
    <row r="612" ht="14.25" customHeight="1" spans="4:7">
      <c r="D612" s="93"/>
      <c r="E612" s="94"/>
      <c r="F612" s="95"/>
      <c r="G612" s="96"/>
    </row>
    <row r="613" ht="14.25" customHeight="1" spans="4:7">
      <c r="D613" s="93"/>
      <c r="E613" s="94"/>
      <c r="F613" s="95"/>
      <c r="G613" s="96"/>
    </row>
    <row r="614" ht="14.25" customHeight="1" spans="4:7">
      <c r="D614" s="93"/>
      <c r="E614" s="94"/>
      <c r="F614" s="95"/>
      <c r="G614" s="96"/>
    </row>
    <row r="615" ht="14.25" customHeight="1" spans="4:7">
      <c r="D615" s="93"/>
      <c r="E615" s="94"/>
      <c r="F615" s="95"/>
      <c r="G615" s="96"/>
    </row>
    <row r="616" ht="14.25" customHeight="1" spans="4:7">
      <c r="D616" s="93"/>
      <c r="E616" s="94"/>
      <c r="F616" s="95"/>
      <c r="G616" s="96"/>
    </row>
    <row r="617" ht="14.25" customHeight="1" spans="4:7">
      <c r="D617" s="93"/>
      <c r="E617" s="94"/>
      <c r="F617" s="95"/>
      <c r="G617" s="96"/>
    </row>
    <row r="618" ht="14.25" customHeight="1" spans="4:7">
      <c r="D618" s="93"/>
      <c r="E618" s="94"/>
      <c r="F618" s="95"/>
      <c r="G618" s="96"/>
    </row>
    <row r="619" ht="14.25" customHeight="1" spans="4:7">
      <c r="D619" s="93"/>
      <c r="E619" s="94"/>
      <c r="F619" s="95"/>
      <c r="G619" s="96"/>
    </row>
    <row r="620" ht="14.25" customHeight="1" spans="4:7">
      <c r="D620" s="93"/>
      <c r="E620" s="94"/>
      <c r="F620" s="95"/>
      <c r="G620" s="96"/>
    </row>
    <row r="621" ht="14.25" customHeight="1" spans="4:7">
      <c r="D621" s="93"/>
      <c r="E621" s="94"/>
      <c r="F621" s="95"/>
      <c r="G621" s="96"/>
    </row>
    <row r="622" ht="14.25" customHeight="1" spans="4:7">
      <c r="D622" s="93"/>
      <c r="E622" s="94"/>
      <c r="F622" s="95"/>
      <c r="G622" s="96"/>
    </row>
    <row r="623" ht="14.25" customHeight="1" spans="4:7">
      <c r="D623" s="93"/>
      <c r="E623" s="94"/>
      <c r="F623" s="95"/>
      <c r="G623" s="96"/>
    </row>
    <row r="624" ht="14.25" customHeight="1" spans="4:7">
      <c r="D624" s="93"/>
      <c r="E624" s="94"/>
      <c r="F624" s="95"/>
      <c r="G624" s="96"/>
    </row>
    <row r="625" ht="14.25" customHeight="1" spans="4:7">
      <c r="D625" s="93"/>
      <c r="E625" s="94"/>
      <c r="F625" s="95"/>
      <c r="G625" s="96"/>
    </row>
    <row r="626" ht="14.25" customHeight="1" spans="4:7">
      <c r="D626" s="93"/>
      <c r="E626" s="94"/>
      <c r="F626" s="95"/>
      <c r="G626" s="96"/>
    </row>
    <row r="627" ht="14.25" customHeight="1" spans="4:7">
      <c r="D627" s="93"/>
      <c r="E627" s="94"/>
      <c r="F627" s="95"/>
      <c r="G627" s="96"/>
    </row>
    <row r="628" ht="14.25" customHeight="1" spans="4:7">
      <c r="D628" s="93"/>
      <c r="E628" s="94"/>
      <c r="F628" s="95"/>
      <c r="G628" s="96"/>
    </row>
    <row r="629" ht="14.25" customHeight="1" spans="4:7">
      <c r="D629" s="93"/>
      <c r="E629" s="94"/>
      <c r="F629" s="95"/>
      <c r="G629" s="96"/>
    </row>
    <row r="630" ht="14.25" customHeight="1" spans="4:7">
      <c r="D630" s="93"/>
      <c r="E630" s="94"/>
      <c r="F630" s="95"/>
      <c r="G630" s="96"/>
    </row>
    <row r="631" ht="14.25" customHeight="1" spans="4:7">
      <c r="D631" s="93"/>
      <c r="E631" s="94"/>
      <c r="F631" s="95"/>
      <c r="G631" s="96"/>
    </row>
    <row r="632" ht="14.25" customHeight="1" spans="4:7">
      <c r="D632" s="93"/>
      <c r="E632" s="94"/>
      <c r="F632" s="95"/>
      <c r="G632" s="96"/>
    </row>
    <row r="633" ht="14.25" customHeight="1" spans="4:7">
      <c r="D633" s="93"/>
      <c r="E633" s="94"/>
      <c r="F633" s="95"/>
      <c r="G633" s="96"/>
    </row>
    <row r="634" ht="14.25" customHeight="1" spans="4:7">
      <c r="D634" s="93"/>
      <c r="E634" s="94"/>
      <c r="F634" s="95"/>
      <c r="G634" s="96"/>
    </row>
    <row r="635" ht="14.25" customHeight="1" spans="4:7">
      <c r="D635" s="93"/>
      <c r="E635" s="94"/>
      <c r="F635" s="95"/>
      <c r="G635" s="96"/>
    </row>
    <row r="636" ht="14.25" customHeight="1" spans="4:7">
      <c r="D636" s="93"/>
      <c r="E636" s="94"/>
      <c r="F636" s="95"/>
      <c r="G636" s="96"/>
    </row>
    <row r="637" ht="14.25" customHeight="1" spans="4:7">
      <c r="D637" s="93"/>
      <c r="E637" s="94"/>
      <c r="F637" s="95"/>
      <c r="G637" s="96"/>
    </row>
    <row r="638" ht="14.25" customHeight="1" spans="4:7">
      <c r="D638" s="93"/>
      <c r="E638" s="94"/>
      <c r="F638" s="95"/>
      <c r="G638" s="96"/>
    </row>
    <row r="639" ht="14.25" customHeight="1" spans="4:7">
      <c r="D639" s="93"/>
      <c r="E639" s="94"/>
      <c r="F639" s="95"/>
      <c r="G639" s="96"/>
    </row>
    <row r="640" ht="14.25" customHeight="1" spans="4:7">
      <c r="D640" s="93"/>
      <c r="E640" s="94"/>
      <c r="F640" s="95"/>
      <c r="G640" s="96"/>
    </row>
    <row r="641" ht="14.25" customHeight="1" spans="4:7">
      <c r="D641" s="93"/>
      <c r="E641" s="94"/>
      <c r="F641" s="95"/>
      <c r="G641" s="96"/>
    </row>
    <row r="642" ht="14.25" customHeight="1" spans="4:7">
      <c r="D642" s="93"/>
      <c r="E642" s="94"/>
      <c r="F642" s="95"/>
      <c r="G642" s="96"/>
    </row>
    <row r="643" ht="14.25" customHeight="1" spans="4:7">
      <c r="D643" s="93"/>
      <c r="E643" s="94"/>
      <c r="F643" s="95"/>
      <c r="G643" s="96"/>
    </row>
    <row r="644" ht="14.25" customHeight="1" spans="4:7">
      <c r="D644" s="93"/>
      <c r="E644" s="94"/>
      <c r="F644" s="95"/>
      <c r="G644" s="96"/>
    </row>
    <row r="645" ht="14.25" customHeight="1" spans="4:7">
      <c r="D645" s="93"/>
      <c r="E645" s="94"/>
      <c r="F645" s="95"/>
      <c r="G645" s="96"/>
    </row>
    <row r="646" ht="14.25" customHeight="1" spans="4:7">
      <c r="D646" s="93"/>
      <c r="E646" s="94"/>
      <c r="F646" s="95"/>
      <c r="G646" s="96"/>
    </row>
    <row r="647" ht="14.25" customHeight="1" spans="4:7">
      <c r="D647" s="93"/>
      <c r="E647" s="94"/>
      <c r="F647" s="95"/>
      <c r="G647" s="96"/>
    </row>
    <row r="648" ht="14.25" customHeight="1" spans="4:7">
      <c r="D648" s="93"/>
      <c r="E648" s="94"/>
      <c r="F648" s="95"/>
      <c r="G648" s="96"/>
    </row>
    <row r="649" ht="14.25" customHeight="1" spans="4:7">
      <c r="D649" s="93"/>
      <c r="E649" s="94"/>
      <c r="F649" s="95"/>
      <c r="G649" s="96"/>
    </row>
    <row r="650" ht="14.25" customHeight="1" spans="4:7">
      <c r="D650" s="93"/>
      <c r="E650" s="94"/>
      <c r="F650" s="95"/>
      <c r="G650" s="96"/>
    </row>
    <row r="651" ht="14.25" customHeight="1" spans="4:7">
      <c r="D651" s="93"/>
      <c r="E651" s="94"/>
      <c r="F651" s="95"/>
      <c r="G651" s="96"/>
    </row>
    <row r="652" ht="14.25" customHeight="1" spans="4:7">
      <c r="D652" s="93"/>
      <c r="E652" s="94"/>
      <c r="F652" s="95"/>
      <c r="G652" s="96"/>
    </row>
    <row r="653" ht="14.25" customHeight="1" spans="4:7">
      <c r="D653" s="93"/>
      <c r="E653" s="94"/>
      <c r="F653" s="95"/>
      <c r="G653" s="96"/>
    </row>
    <row r="654" ht="14.25" customHeight="1" spans="4:7">
      <c r="D654" s="93"/>
      <c r="E654" s="94"/>
      <c r="F654" s="95"/>
      <c r="G654" s="96"/>
    </row>
    <row r="655" ht="14.25" customHeight="1" spans="4:7">
      <c r="D655" s="93"/>
      <c r="E655" s="94"/>
      <c r="F655" s="95"/>
      <c r="G655" s="96"/>
    </row>
    <row r="656" ht="14.25" customHeight="1" spans="4:7">
      <c r="D656" s="93"/>
      <c r="E656" s="94"/>
      <c r="F656" s="95"/>
      <c r="G656" s="96"/>
    </row>
    <row r="657" ht="14.25" customHeight="1" spans="4:7">
      <c r="D657" s="93"/>
      <c r="E657" s="94"/>
      <c r="F657" s="95"/>
      <c r="G657" s="96"/>
    </row>
    <row r="658" ht="14.25" customHeight="1" spans="4:7">
      <c r="D658" s="93"/>
      <c r="E658" s="94"/>
      <c r="F658" s="95"/>
      <c r="G658" s="96"/>
    </row>
    <row r="659" ht="14.25" customHeight="1" spans="4:7">
      <c r="D659" s="93"/>
      <c r="E659" s="94"/>
      <c r="F659" s="95"/>
      <c r="G659" s="96"/>
    </row>
    <row r="660" ht="14.25" customHeight="1" spans="4:7">
      <c r="D660" s="93"/>
      <c r="E660" s="94"/>
      <c r="F660" s="95"/>
      <c r="G660" s="96"/>
    </row>
    <row r="661" ht="14.25" customHeight="1" spans="4:7">
      <c r="D661" s="93"/>
      <c r="E661" s="94"/>
      <c r="F661" s="95"/>
      <c r="G661" s="96"/>
    </row>
    <row r="662" ht="14.25" customHeight="1" spans="4:7">
      <c r="D662" s="93"/>
      <c r="E662" s="94"/>
      <c r="F662" s="95"/>
      <c r="G662" s="96"/>
    </row>
    <row r="663" ht="14.25" customHeight="1" spans="4:7">
      <c r="D663" s="93"/>
      <c r="E663" s="94"/>
      <c r="F663" s="95"/>
      <c r="G663" s="96"/>
    </row>
    <row r="664" ht="14.25" customHeight="1" spans="4:7">
      <c r="D664" s="93"/>
      <c r="E664" s="94"/>
      <c r="F664" s="95"/>
      <c r="G664" s="96"/>
    </row>
    <row r="665" ht="14.25" customHeight="1" spans="4:7">
      <c r="D665" s="93"/>
      <c r="E665" s="94"/>
      <c r="F665" s="95"/>
      <c r="G665" s="96"/>
    </row>
    <row r="666" ht="14.25" customHeight="1" spans="4:7">
      <c r="D666" s="93"/>
      <c r="E666" s="94"/>
      <c r="F666" s="95"/>
      <c r="G666" s="96"/>
    </row>
    <row r="667" ht="14.25" customHeight="1" spans="4:7">
      <c r="D667" s="93"/>
      <c r="E667" s="94"/>
      <c r="F667" s="95"/>
      <c r="G667" s="96"/>
    </row>
    <row r="668" ht="14.25" customHeight="1" spans="4:7">
      <c r="D668" s="93"/>
      <c r="E668" s="94"/>
      <c r="F668" s="95"/>
      <c r="G668" s="96"/>
    </row>
    <row r="669" ht="14.25" customHeight="1" spans="4:7">
      <c r="D669" s="93"/>
      <c r="E669" s="94"/>
      <c r="F669" s="95"/>
      <c r="G669" s="96"/>
    </row>
    <row r="670" ht="14.25" customHeight="1" spans="4:7">
      <c r="D670" s="93"/>
      <c r="E670" s="94"/>
      <c r="F670" s="95"/>
      <c r="G670" s="96"/>
    </row>
    <row r="671" ht="14.25" customHeight="1" spans="4:7">
      <c r="D671" s="93"/>
      <c r="E671" s="94"/>
      <c r="F671" s="95"/>
      <c r="G671" s="96"/>
    </row>
    <row r="672" ht="14.25" customHeight="1" spans="4:7">
      <c r="D672" s="93"/>
      <c r="E672" s="94"/>
      <c r="F672" s="95"/>
      <c r="G672" s="96"/>
    </row>
    <row r="673" ht="14.25" customHeight="1" spans="4:7">
      <c r="D673" s="93"/>
      <c r="E673" s="94"/>
      <c r="F673" s="95"/>
      <c r="G673" s="96"/>
    </row>
    <row r="674" ht="14.25" customHeight="1" spans="4:7">
      <c r="D674" s="93"/>
      <c r="E674" s="94"/>
      <c r="F674" s="95"/>
      <c r="G674" s="96"/>
    </row>
    <row r="675" ht="14.25" customHeight="1" spans="4:7">
      <c r="D675" s="93"/>
      <c r="E675" s="94"/>
      <c r="F675" s="95"/>
      <c r="G675" s="96"/>
    </row>
    <row r="676" ht="14.25" customHeight="1" spans="4:7">
      <c r="D676" s="93"/>
      <c r="E676" s="94"/>
      <c r="F676" s="95"/>
      <c r="G676" s="96"/>
    </row>
    <row r="677" ht="14.25" customHeight="1" spans="4:7">
      <c r="D677" s="93"/>
      <c r="E677" s="94"/>
      <c r="F677" s="95"/>
      <c r="G677" s="96"/>
    </row>
    <row r="678" ht="14.25" customHeight="1" spans="4:7">
      <c r="D678" s="93"/>
      <c r="E678" s="94"/>
      <c r="F678" s="95"/>
      <c r="G678" s="96"/>
    </row>
    <row r="679" ht="14.25" customHeight="1" spans="4:7">
      <c r="D679" s="93"/>
      <c r="E679" s="94"/>
      <c r="F679" s="95"/>
      <c r="G679" s="96"/>
    </row>
    <row r="680" ht="14.25" customHeight="1" spans="4:7">
      <c r="D680" s="93"/>
      <c r="E680" s="94"/>
      <c r="F680" s="95"/>
      <c r="G680" s="96"/>
    </row>
    <row r="681" ht="14.25" customHeight="1" spans="4:7">
      <c r="D681" s="93"/>
      <c r="E681" s="94"/>
      <c r="F681" s="95"/>
      <c r="G681" s="96"/>
    </row>
    <row r="682" ht="14.25" customHeight="1" spans="4:7">
      <c r="D682" s="93"/>
      <c r="E682" s="94"/>
      <c r="F682" s="95"/>
      <c r="G682" s="96"/>
    </row>
    <row r="683" ht="14.25" customHeight="1" spans="4:7">
      <c r="D683" s="93"/>
      <c r="E683" s="94"/>
      <c r="F683" s="95"/>
      <c r="G683" s="96"/>
    </row>
    <row r="684" ht="14.25" customHeight="1" spans="4:7">
      <c r="D684" s="93"/>
      <c r="E684" s="94"/>
      <c r="F684" s="95"/>
      <c r="G684" s="96"/>
    </row>
    <row r="685" ht="14.25" customHeight="1" spans="4:7">
      <c r="D685" s="93"/>
      <c r="E685" s="94"/>
      <c r="F685" s="95"/>
      <c r="G685" s="96"/>
    </row>
    <row r="686" ht="14.25" customHeight="1" spans="4:7">
      <c r="D686" s="93"/>
      <c r="E686" s="94"/>
      <c r="F686" s="95"/>
      <c r="G686" s="96"/>
    </row>
    <row r="687" ht="14.25" customHeight="1" spans="4:7">
      <c r="D687" s="93"/>
      <c r="E687" s="94"/>
      <c r="F687" s="95"/>
      <c r="G687" s="96"/>
    </row>
    <row r="688" ht="14.25" customHeight="1" spans="4:7">
      <c r="D688" s="93"/>
      <c r="E688" s="94"/>
      <c r="F688" s="95"/>
      <c r="G688" s="96"/>
    </row>
    <row r="689" ht="14.25" customHeight="1" spans="4:7">
      <c r="D689" s="93"/>
      <c r="E689" s="94"/>
      <c r="F689" s="95"/>
      <c r="G689" s="96"/>
    </row>
    <row r="690" ht="14.25" customHeight="1" spans="4:7">
      <c r="D690" s="93"/>
      <c r="E690" s="94"/>
      <c r="F690" s="95"/>
      <c r="G690" s="96"/>
    </row>
    <row r="691" ht="14.25" customHeight="1" spans="4:7">
      <c r="D691" s="93"/>
      <c r="E691" s="94"/>
      <c r="F691" s="95"/>
      <c r="G691" s="96"/>
    </row>
    <row r="692" ht="14.25" customHeight="1" spans="4:7">
      <c r="D692" s="93"/>
      <c r="E692" s="94"/>
      <c r="F692" s="95"/>
      <c r="G692" s="96"/>
    </row>
    <row r="693" ht="14.25" customHeight="1" spans="4:7">
      <c r="D693" s="93"/>
      <c r="E693" s="94"/>
      <c r="F693" s="95"/>
      <c r="G693" s="96"/>
    </row>
    <row r="694" ht="14.25" customHeight="1" spans="4:7">
      <c r="D694" s="93"/>
      <c r="E694" s="94"/>
      <c r="F694" s="95"/>
      <c r="G694" s="96"/>
    </row>
    <row r="695" ht="14.25" customHeight="1" spans="4:7">
      <c r="D695" s="93"/>
      <c r="E695" s="94"/>
      <c r="F695" s="95"/>
      <c r="G695" s="96"/>
    </row>
    <row r="696" ht="14.25" customHeight="1" spans="4:7">
      <c r="D696" s="93"/>
      <c r="E696" s="94"/>
      <c r="F696" s="95"/>
      <c r="G696" s="96"/>
    </row>
    <row r="697" ht="14.25" customHeight="1" spans="4:7">
      <c r="D697" s="93"/>
      <c r="E697" s="94"/>
      <c r="F697" s="95"/>
      <c r="G697" s="96"/>
    </row>
    <row r="698" ht="14.25" customHeight="1" spans="4:7">
      <c r="D698" s="93"/>
      <c r="E698" s="94"/>
      <c r="F698" s="95"/>
      <c r="G698" s="96"/>
    </row>
    <row r="699" ht="14.25" customHeight="1" spans="4:7">
      <c r="D699" s="93"/>
      <c r="E699" s="94"/>
      <c r="F699" s="95"/>
      <c r="G699" s="96"/>
    </row>
    <row r="700" ht="14.25" customHeight="1" spans="4:7">
      <c r="D700" s="93"/>
      <c r="E700" s="94"/>
      <c r="F700" s="95"/>
      <c r="G700" s="96"/>
    </row>
    <row r="701" ht="14.25" customHeight="1" spans="4:7">
      <c r="D701" s="93"/>
      <c r="E701" s="94"/>
      <c r="F701" s="95"/>
      <c r="G701" s="96"/>
    </row>
    <row r="702" ht="14.25" customHeight="1" spans="4:7">
      <c r="D702" s="93"/>
      <c r="E702" s="94"/>
      <c r="F702" s="95"/>
      <c r="G702" s="96"/>
    </row>
    <row r="703" ht="14.25" customHeight="1" spans="4:7">
      <c r="D703" s="93"/>
      <c r="E703" s="94"/>
      <c r="F703" s="95"/>
      <c r="G703" s="96"/>
    </row>
    <row r="704" ht="14.25" customHeight="1" spans="4:7">
      <c r="D704" s="93"/>
      <c r="E704" s="94"/>
      <c r="F704" s="95"/>
      <c r="G704" s="96"/>
    </row>
    <row r="705" ht="14.25" customHeight="1" spans="4:7">
      <c r="D705" s="93"/>
      <c r="E705" s="94"/>
      <c r="F705" s="95"/>
      <c r="G705" s="96"/>
    </row>
    <row r="706" ht="14.25" customHeight="1" spans="4:7">
      <c r="D706" s="93"/>
      <c r="E706" s="94"/>
      <c r="F706" s="95"/>
      <c r="G706" s="96"/>
    </row>
    <row r="707" ht="14.25" customHeight="1" spans="4:7">
      <c r="D707" s="93"/>
      <c r="E707" s="94"/>
      <c r="F707" s="95"/>
      <c r="G707" s="96"/>
    </row>
    <row r="708" ht="14.25" customHeight="1" spans="4:7">
      <c r="D708" s="93"/>
      <c r="E708" s="94"/>
      <c r="F708" s="95"/>
      <c r="G708" s="96"/>
    </row>
    <row r="709" ht="14.25" customHeight="1" spans="4:7">
      <c r="D709" s="93"/>
      <c r="E709" s="94"/>
      <c r="F709" s="95"/>
      <c r="G709" s="96"/>
    </row>
    <row r="710" ht="14.25" customHeight="1" spans="4:7">
      <c r="D710" s="93"/>
      <c r="E710" s="94"/>
      <c r="F710" s="95"/>
      <c r="G710" s="96"/>
    </row>
    <row r="711" ht="14.25" customHeight="1" spans="4:7">
      <c r="D711" s="93"/>
      <c r="E711" s="94"/>
      <c r="F711" s="95"/>
      <c r="G711" s="96"/>
    </row>
    <row r="712" ht="14.25" customHeight="1" spans="4:7">
      <c r="D712" s="93"/>
      <c r="E712" s="94"/>
      <c r="F712" s="95"/>
      <c r="G712" s="96"/>
    </row>
    <row r="713" ht="14.25" customHeight="1" spans="4:7">
      <c r="D713" s="93"/>
      <c r="E713" s="94"/>
      <c r="F713" s="95"/>
      <c r="G713" s="96"/>
    </row>
    <row r="714" ht="14.25" customHeight="1" spans="4:7">
      <c r="D714" s="93"/>
      <c r="E714" s="94"/>
      <c r="F714" s="95"/>
      <c r="G714" s="96"/>
    </row>
    <row r="715" ht="14.25" customHeight="1" spans="4:7">
      <c r="D715" s="93"/>
      <c r="E715" s="94"/>
      <c r="F715" s="95"/>
      <c r="G715" s="96"/>
    </row>
    <row r="716" ht="14.25" customHeight="1" spans="4:7">
      <c r="D716" s="93"/>
      <c r="E716" s="94"/>
      <c r="F716" s="95"/>
      <c r="G716" s="96"/>
    </row>
    <row r="717" ht="14.25" customHeight="1" spans="4:7">
      <c r="D717" s="93"/>
      <c r="E717" s="94"/>
      <c r="F717" s="95"/>
      <c r="G717" s="96"/>
    </row>
    <row r="718" ht="14.25" customHeight="1" spans="4:7">
      <c r="D718" s="93"/>
      <c r="E718" s="94"/>
      <c r="F718" s="95"/>
      <c r="G718" s="96"/>
    </row>
    <row r="719" ht="14.25" customHeight="1" spans="4:7">
      <c r="D719" s="93"/>
      <c r="E719" s="94"/>
      <c r="F719" s="95"/>
      <c r="G719" s="96"/>
    </row>
    <row r="720" ht="14.25" customHeight="1" spans="4:7">
      <c r="D720" s="93"/>
      <c r="E720" s="94"/>
      <c r="F720" s="95"/>
      <c r="G720" s="96"/>
    </row>
    <row r="721" ht="14.25" customHeight="1" spans="4:7">
      <c r="D721" s="93"/>
      <c r="E721" s="94"/>
      <c r="F721" s="95"/>
      <c r="G721" s="96"/>
    </row>
    <row r="722" ht="14.25" customHeight="1" spans="4:7">
      <c r="D722" s="93"/>
      <c r="E722" s="94"/>
      <c r="F722" s="95"/>
      <c r="G722" s="96"/>
    </row>
    <row r="723" ht="14.25" customHeight="1" spans="4:7">
      <c r="D723" s="93"/>
      <c r="E723" s="94"/>
      <c r="F723" s="95"/>
      <c r="G723" s="96"/>
    </row>
    <row r="724" ht="14.25" customHeight="1" spans="4:7">
      <c r="D724" s="93"/>
      <c r="E724" s="94"/>
      <c r="F724" s="95"/>
      <c r="G724" s="96"/>
    </row>
    <row r="725" ht="14.25" customHeight="1" spans="4:7">
      <c r="D725" s="93"/>
      <c r="E725" s="94"/>
      <c r="F725" s="95"/>
      <c r="G725" s="96"/>
    </row>
    <row r="726" ht="14.25" customHeight="1" spans="4:7">
      <c r="D726" s="93"/>
      <c r="E726" s="94"/>
      <c r="F726" s="95"/>
      <c r="G726" s="96"/>
    </row>
    <row r="727" ht="14.25" customHeight="1" spans="4:7">
      <c r="D727" s="93"/>
      <c r="E727" s="94"/>
      <c r="F727" s="95"/>
      <c r="G727" s="96"/>
    </row>
    <row r="728" ht="14.25" customHeight="1" spans="4:7">
      <c r="D728" s="93"/>
      <c r="E728" s="94"/>
      <c r="F728" s="95"/>
      <c r="G728" s="96"/>
    </row>
    <row r="729" ht="14.25" customHeight="1" spans="4:7">
      <c r="D729" s="93"/>
      <c r="E729" s="94"/>
      <c r="F729" s="95"/>
      <c r="G729" s="96"/>
    </row>
    <row r="730" ht="14.25" customHeight="1" spans="4:7">
      <c r="D730" s="93"/>
      <c r="E730" s="94"/>
      <c r="F730" s="95"/>
      <c r="G730" s="96"/>
    </row>
    <row r="731" ht="14.25" customHeight="1" spans="4:7">
      <c r="D731" s="93"/>
      <c r="E731" s="94"/>
      <c r="F731" s="95"/>
      <c r="G731" s="96"/>
    </row>
    <row r="732" ht="14.25" customHeight="1" spans="4:7">
      <c r="D732" s="93"/>
      <c r="E732" s="94"/>
      <c r="F732" s="95"/>
      <c r="G732" s="96"/>
    </row>
    <row r="733" ht="14.25" customHeight="1" spans="4:7">
      <c r="D733" s="93"/>
      <c r="E733" s="94"/>
      <c r="F733" s="95"/>
      <c r="G733" s="96"/>
    </row>
    <row r="734" ht="14.25" customHeight="1" spans="4:7">
      <c r="D734" s="93"/>
      <c r="E734" s="94"/>
      <c r="F734" s="95"/>
      <c r="G734" s="96"/>
    </row>
    <row r="735" ht="14.25" customHeight="1" spans="4:7">
      <c r="D735" s="93"/>
      <c r="E735" s="94"/>
      <c r="F735" s="95"/>
      <c r="G735" s="96"/>
    </row>
    <row r="736" ht="14.25" customHeight="1" spans="4:7">
      <c r="D736" s="93"/>
      <c r="E736" s="94"/>
      <c r="F736" s="95"/>
      <c r="G736" s="96"/>
    </row>
    <row r="737" ht="14.25" customHeight="1" spans="4:7">
      <c r="D737" s="93"/>
      <c r="E737" s="94"/>
      <c r="F737" s="95"/>
      <c r="G737" s="96"/>
    </row>
    <row r="738" ht="14.25" customHeight="1" spans="4:7">
      <c r="D738" s="93"/>
      <c r="E738" s="94"/>
      <c r="F738" s="95"/>
      <c r="G738" s="96"/>
    </row>
    <row r="739" ht="14.25" customHeight="1" spans="4:7">
      <c r="D739" s="93"/>
      <c r="E739" s="94"/>
      <c r="F739" s="95"/>
      <c r="G739" s="96"/>
    </row>
    <row r="740" ht="14.25" customHeight="1" spans="4:7">
      <c r="D740" s="93"/>
      <c r="E740" s="94"/>
      <c r="F740" s="95"/>
      <c r="G740" s="96"/>
    </row>
    <row r="741" ht="14.25" customHeight="1" spans="4:7">
      <c r="D741" s="93"/>
      <c r="E741" s="94"/>
      <c r="F741" s="95"/>
      <c r="G741" s="96"/>
    </row>
    <row r="742" ht="14.25" customHeight="1" spans="4:7">
      <c r="D742" s="93"/>
      <c r="E742" s="94"/>
      <c r="F742" s="95"/>
      <c r="G742" s="96"/>
    </row>
    <row r="743" ht="14.25" customHeight="1" spans="4:7">
      <c r="D743" s="93"/>
      <c r="E743" s="94"/>
      <c r="F743" s="95"/>
      <c r="G743" s="96"/>
    </row>
    <row r="744" ht="14.25" customHeight="1" spans="4:7">
      <c r="D744" s="93"/>
      <c r="E744" s="94"/>
      <c r="F744" s="95"/>
      <c r="G744" s="96"/>
    </row>
    <row r="745" ht="14.25" customHeight="1" spans="4:7">
      <c r="D745" s="93"/>
      <c r="E745" s="94"/>
      <c r="F745" s="95"/>
      <c r="G745" s="96"/>
    </row>
    <row r="746" ht="14.25" customHeight="1" spans="4:7">
      <c r="D746" s="93"/>
      <c r="E746" s="94"/>
      <c r="F746" s="95"/>
      <c r="G746" s="96"/>
    </row>
    <row r="747" ht="14.25" customHeight="1" spans="4:7">
      <c r="D747" s="93"/>
      <c r="E747" s="94"/>
      <c r="F747" s="95"/>
      <c r="G747" s="96"/>
    </row>
    <row r="748" ht="14.25" customHeight="1" spans="4:7">
      <c r="D748" s="93"/>
      <c r="E748" s="94"/>
      <c r="F748" s="95"/>
      <c r="G748" s="96"/>
    </row>
    <row r="749" ht="14.25" customHeight="1" spans="4:7">
      <c r="D749" s="93"/>
      <c r="E749" s="94"/>
      <c r="F749" s="95"/>
      <c r="G749" s="96"/>
    </row>
    <row r="750" ht="14.25" customHeight="1" spans="4:7">
      <c r="D750" s="93"/>
      <c r="E750" s="94"/>
      <c r="F750" s="95"/>
      <c r="G750" s="96"/>
    </row>
    <row r="751" ht="14.25" customHeight="1" spans="4:7">
      <c r="D751" s="93"/>
      <c r="E751" s="94"/>
      <c r="F751" s="95"/>
      <c r="G751" s="96"/>
    </row>
    <row r="752" ht="14.25" customHeight="1" spans="4:7">
      <c r="D752" s="93"/>
      <c r="E752" s="94"/>
      <c r="F752" s="95"/>
      <c r="G752" s="96"/>
    </row>
    <row r="753" ht="14.25" customHeight="1" spans="4:7">
      <c r="D753" s="93"/>
      <c r="E753" s="94"/>
      <c r="F753" s="95"/>
      <c r="G753" s="96"/>
    </row>
    <row r="754" ht="14.25" customHeight="1" spans="4:7">
      <c r="D754" s="93"/>
      <c r="E754" s="94"/>
      <c r="F754" s="95"/>
      <c r="G754" s="96"/>
    </row>
    <row r="755" ht="14.25" customHeight="1" spans="4:7">
      <c r="D755" s="93"/>
      <c r="E755" s="94"/>
      <c r="F755" s="95"/>
      <c r="G755" s="96"/>
    </row>
    <row r="756" ht="14.25" customHeight="1" spans="4:7">
      <c r="D756" s="93"/>
      <c r="E756" s="94"/>
      <c r="F756" s="95"/>
      <c r="G756" s="96"/>
    </row>
    <row r="757" ht="14.25" customHeight="1" spans="4:7">
      <c r="D757" s="93"/>
      <c r="E757" s="94"/>
      <c r="F757" s="95"/>
      <c r="G757" s="96"/>
    </row>
    <row r="758" ht="14.25" customHeight="1" spans="4:7">
      <c r="D758" s="93"/>
      <c r="E758" s="94"/>
      <c r="F758" s="95"/>
      <c r="G758" s="96"/>
    </row>
    <row r="759" ht="14.25" customHeight="1" spans="4:7">
      <c r="D759" s="93"/>
      <c r="E759" s="94"/>
      <c r="F759" s="95"/>
      <c r="G759" s="96"/>
    </row>
    <row r="760" ht="14.25" customHeight="1" spans="4:7">
      <c r="D760" s="93"/>
      <c r="E760" s="94"/>
      <c r="F760" s="95"/>
      <c r="G760" s="96"/>
    </row>
    <row r="761" ht="14.25" customHeight="1" spans="4:7">
      <c r="D761" s="93"/>
      <c r="E761" s="94"/>
      <c r="F761" s="95"/>
      <c r="G761" s="96"/>
    </row>
    <row r="762" ht="14.25" customHeight="1" spans="4:7">
      <c r="D762" s="93"/>
      <c r="E762" s="94"/>
      <c r="F762" s="95"/>
      <c r="G762" s="96"/>
    </row>
    <row r="763" ht="14.25" customHeight="1" spans="4:7">
      <c r="D763" s="93"/>
      <c r="E763" s="94"/>
      <c r="F763" s="95"/>
      <c r="G763" s="96"/>
    </row>
    <row r="764" ht="14.25" customHeight="1" spans="4:7">
      <c r="D764" s="93"/>
      <c r="E764" s="94"/>
      <c r="F764" s="95"/>
      <c r="G764" s="96"/>
    </row>
    <row r="765" ht="14.25" customHeight="1" spans="4:7">
      <c r="D765" s="93"/>
      <c r="E765" s="94"/>
      <c r="F765" s="95"/>
      <c r="G765" s="96"/>
    </row>
    <row r="766" ht="14.25" customHeight="1" spans="4:7">
      <c r="D766" s="93"/>
      <c r="E766" s="94"/>
      <c r="F766" s="95"/>
      <c r="G766" s="96"/>
    </row>
    <row r="767" ht="14.25" customHeight="1" spans="4:7">
      <c r="D767" s="93"/>
      <c r="E767" s="94"/>
      <c r="F767" s="95"/>
      <c r="G767" s="96"/>
    </row>
    <row r="768" ht="14.25" customHeight="1" spans="4:7">
      <c r="D768" s="93"/>
      <c r="E768" s="94"/>
      <c r="F768" s="95"/>
      <c r="G768" s="96"/>
    </row>
    <row r="769" ht="14.25" customHeight="1" spans="4:7">
      <c r="D769" s="93"/>
      <c r="E769" s="94"/>
      <c r="F769" s="95"/>
      <c r="G769" s="96"/>
    </row>
    <row r="770" ht="14.25" customHeight="1" spans="4:7">
      <c r="D770" s="93"/>
      <c r="E770" s="94"/>
      <c r="F770" s="95"/>
      <c r="G770" s="96"/>
    </row>
    <row r="771" ht="14.25" customHeight="1" spans="4:7">
      <c r="D771" s="93"/>
      <c r="E771" s="94"/>
      <c r="F771" s="95"/>
      <c r="G771" s="96"/>
    </row>
    <row r="772" ht="14.25" customHeight="1" spans="4:7">
      <c r="D772" s="93"/>
      <c r="E772" s="94"/>
      <c r="F772" s="95"/>
      <c r="G772" s="96"/>
    </row>
    <row r="773" ht="14.25" customHeight="1" spans="4:7">
      <c r="D773" s="93"/>
      <c r="E773" s="94"/>
      <c r="F773" s="95"/>
      <c r="G773" s="96"/>
    </row>
    <row r="774" ht="14.25" customHeight="1" spans="4:7">
      <c r="D774" s="93"/>
      <c r="E774" s="94"/>
      <c r="F774" s="95"/>
      <c r="G774" s="96"/>
    </row>
    <row r="775" ht="14.25" customHeight="1" spans="4:7">
      <c r="D775" s="93"/>
      <c r="E775" s="94"/>
      <c r="F775" s="95"/>
      <c r="G775" s="96"/>
    </row>
    <row r="776" ht="14.25" customHeight="1" spans="4:7">
      <c r="D776" s="93"/>
      <c r="E776" s="94"/>
      <c r="F776" s="95"/>
      <c r="G776" s="96"/>
    </row>
    <row r="777" ht="14.25" customHeight="1" spans="4:7">
      <c r="D777" s="93"/>
      <c r="E777" s="94"/>
      <c r="F777" s="95"/>
      <c r="G777" s="96"/>
    </row>
    <row r="778" ht="14.25" customHeight="1" spans="4:7">
      <c r="D778" s="93"/>
      <c r="E778" s="94"/>
      <c r="F778" s="95"/>
      <c r="G778" s="96"/>
    </row>
    <row r="779" ht="14.25" customHeight="1" spans="4:7">
      <c r="D779" s="93"/>
      <c r="E779" s="94"/>
      <c r="F779" s="95"/>
      <c r="G779" s="96"/>
    </row>
    <row r="780" ht="14.25" customHeight="1" spans="4:7">
      <c r="D780" s="93"/>
      <c r="E780" s="94"/>
      <c r="F780" s="95"/>
      <c r="G780" s="96"/>
    </row>
    <row r="781" ht="14.25" customHeight="1" spans="4:7">
      <c r="D781" s="93"/>
      <c r="E781" s="94"/>
      <c r="F781" s="95"/>
      <c r="G781" s="96"/>
    </row>
    <row r="782" ht="14.25" customHeight="1" spans="4:7">
      <c r="D782" s="93"/>
      <c r="E782" s="94"/>
      <c r="F782" s="95"/>
      <c r="G782" s="96"/>
    </row>
    <row r="783" ht="14.25" customHeight="1" spans="4:7">
      <c r="D783" s="93"/>
      <c r="E783" s="94"/>
      <c r="F783" s="95"/>
      <c r="G783" s="96"/>
    </row>
    <row r="784" ht="14.25" customHeight="1" spans="4:7">
      <c r="D784" s="93"/>
      <c r="E784" s="94"/>
      <c r="F784" s="95"/>
      <c r="G784" s="96"/>
    </row>
    <row r="785" ht="14.25" customHeight="1" spans="4:7">
      <c r="D785" s="93"/>
      <c r="E785" s="94"/>
      <c r="F785" s="95"/>
      <c r="G785" s="96"/>
    </row>
    <row r="786" ht="14.25" customHeight="1" spans="4:7">
      <c r="D786" s="93"/>
      <c r="E786" s="94"/>
      <c r="F786" s="95"/>
      <c r="G786" s="96"/>
    </row>
    <row r="787" ht="14.25" customHeight="1" spans="4:7">
      <c r="D787" s="93"/>
      <c r="E787" s="94"/>
      <c r="F787" s="95"/>
      <c r="G787" s="96"/>
    </row>
    <row r="788" ht="14.25" customHeight="1" spans="4:7">
      <c r="D788" s="93"/>
      <c r="E788" s="94"/>
      <c r="F788" s="95"/>
      <c r="G788" s="96"/>
    </row>
    <row r="789" ht="14.25" customHeight="1" spans="4:7">
      <c r="D789" s="93"/>
      <c r="E789" s="94"/>
      <c r="F789" s="95"/>
      <c r="G789" s="96"/>
    </row>
    <row r="790" ht="14.25" customHeight="1" spans="4:7">
      <c r="D790" s="93"/>
      <c r="E790" s="94"/>
      <c r="F790" s="95"/>
      <c r="G790" s="96"/>
    </row>
    <row r="791" ht="14.25" customHeight="1" spans="4:7">
      <c r="D791" s="93"/>
      <c r="E791" s="94"/>
      <c r="F791" s="95"/>
      <c r="G791" s="96"/>
    </row>
    <row r="792" ht="14.25" customHeight="1" spans="4:7">
      <c r="D792" s="93"/>
      <c r="E792" s="94"/>
      <c r="F792" s="95"/>
      <c r="G792" s="96"/>
    </row>
    <row r="793" ht="14.25" customHeight="1" spans="4:7">
      <c r="D793" s="93"/>
      <c r="E793" s="94"/>
      <c r="F793" s="95"/>
      <c r="G793" s="96"/>
    </row>
    <row r="794" ht="14.25" customHeight="1" spans="4:7">
      <c r="D794" s="93"/>
      <c r="E794" s="94"/>
      <c r="F794" s="95"/>
      <c r="G794" s="96"/>
    </row>
    <row r="795" ht="14.25" customHeight="1" spans="4:7">
      <c r="D795" s="93"/>
      <c r="E795" s="94"/>
      <c r="F795" s="95"/>
      <c r="G795" s="96"/>
    </row>
    <row r="796" ht="14.25" customHeight="1" spans="4:7">
      <c r="D796" s="93"/>
      <c r="E796" s="94"/>
      <c r="F796" s="95"/>
      <c r="G796" s="96"/>
    </row>
    <row r="797" ht="14.25" customHeight="1" spans="4:7">
      <c r="D797" s="93"/>
      <c r="E797" s="94"/>
      <c r="F797" s="95"/>
      <c r="G797" s="96"/>
    </row>
    <row r="798" ht="14.25" customHeight="1" spans="4:7">
      <c r="D798" s="93"/>
      <c r="E798" s="94"/>
      <c r="F798" s="95"/>
      <c r="G798" s="96"/>
    </row>
    <row r="799" ht="14.25" customHeight="1" spans="4:7">
      <c r="D799" s="93"/>
      <c r="E799" s="94"/>
      <c r="F799" s="95"/>
      <c r="G799" s="96"/>
    </row>
    <row r="800" ht="14.25" customHeight="1" spans="4:7">
      <c r="D800" s="93"/>
      <c r="E800" s="94"/>
      <c r="F800" s="95"/>
      <c r="G800" s="96"/>
    </row>
    <row r="801" ht="14.25" customHeight="1" spans="4:7">
      <c r="D801" s="93"/>
      <c r="E801" s="94"/>
      <c r="F801" s="95"/>
      <c r="G801" s="96"/>
    </row>
    <row r="802" ht="14.25" customHeight="1" spans="4:7">
      <c r="D802" s="93"/>
      <c r="E802" s="94"/>
      <c r="F802" s="95"/>
      <c r="G802" s="96"/>
    </row>
    <row r="803" ht="14.25" customHeight="1" spans="4:7">
      <c r="D803" s="93"/>
      <c r="E803" s="94"/>
      <c r="F803" s="95"/>
      <c r="G803" s="96"/>
    </row>
    <row r="804" ht="14.25" customHeight="1" spans="4:7">
      <c r="D804" s="93"/>
      <c r="E804" s="94"/>
      <c r="F804" s="95"/>
      <c r="G804" s="96"/>
    </row>
    <row r="805" ht="14.25" customHeight="1" spans="4:7">
      <c r="D805" s="93"/>
      <c r="E805" s="94"/>
      <c r="F805" s="95"/>
      <c r="G805" s="96"/>
    </row>
    <row r="806" ht="14.25" customHeight="1" spans="4:7">
      <c r="D806" s="93"/>
      <c r="E806" s="94"/>
      <c r="F806" s="95"/>
      <c r="G806" s="96"/>
    </row>
    <row r="807" ht="14.25" customHeight="1" spans="4:7">
      <c r="D807" s="93"/>
      <c r="E807" s="94"/>
      <c r="F807" s="95"/>
      <c r="G807" s="96"/>
    </row>
    <row r="808" ht="14.25" customHeight="1" spans="4:7">
      <c r="D808" s="93"/>
      <c r="E808" s="94"/>
      <c r="F808" s="95"/>
      <c r="G808" s="96"/>
    </row>
    <row r="809" ht="14.25" customHeight="1" spans="4:7">
      <c r="D809" s="93"/>
      <c r="E809" s="94"/>
      <c r="F809" s="95"/>
      <c r="G809" s="96"/>
    </row>
    <row r="810" ht="14.25" customHeight="1" spans="4:7">
      <c r="D810" s="93"/>
      <c r="E810" s="94"/>
      <c r="F810" s="95"/>
      <c r="G810" s="96"/>
    </row>
    <row r="811" ht="14.25" customHeight="1" spans="4:7">
      <c r="D811" s="93"/>
      <c r="E811" s="94"/>
      <c r="F811" s="95"/>
      <c r="G811" s="96"/>
    </row>
    <row r="812" ht="14.25" customHeight="1" spans="4:7">
      <c r="D812" s="93"/>
      <c r="E812" s="94"/>
      <c r="F812" s="95"/>
      <c r="G812" s="96"/>
    </row>
    <row r="813" ht="14.25" customHeight="1" spans="4:7">
      <c r="D813" s="93"/>
      <c r="E813" s="94"/>
      <c r="F813" s="95"/>
      <c r="G813" s="96"/>
    </row>
    <row r="814" ht="14.25" customHeight="1" spans="4:7">
      <c r="D814" s="93"/>
      <c r="E814" s="94"/>
      <c r="F814" s="95"/>
      <c r="G814" s="96"/>
    </row>
    <row r="815" ht="14.25" customHeight="1" spans="4:7">
      <c r="D815" s="93"/>
      <c r="E815" s="94"/>
      <c r="F815" s="95"/>
      <c r="G815" s="96"/>
    </row>
    <row r="816" ht="14.25" customHeight="1" spans="4:7">
      <c r="D816" s="93"/>
      <c r="E816" s="94"/>
      <c r="F816" s="95"/>
      <c r="G816" s="96"/>
    </row>
    <row r="817" ht="14.25" customHeight="1" spans="4:7">
      <c r="D817" s="93"/>
      <c r="E817" s="94"/>
      <c r="F817" s="95"/>
      <c r="G817" s="96"/>
    </row>
    <row r="818" ht="14.25" customHeight="1" spans="4:7">
      <c r="D818" s="93"/>
      <c r="E818" s="94"/>
      <c r="F818" s="95"/>
      <c r="G818" s="96"/>
    </row>
    <row r="819" ht="14.25" customHeight="1" spans="4:7">
      <c r="D819" s="93"/>
      <c r="E819" s="94"/>
      <c r="F819" s="95"/>
      <c r="G819" s="96"/>
    </row>
    <row r="820" ht="14.25" customHeight="1" spans="4:7">
      <c r="D820" s="93"/>
      <c r="E820" s="94"/>
      <c r="F820" s="95"/>
      <c r="G820" s="96"/>
    </row>
    <row r="821" ht="14.25" customHeight="1" spans="4:7">
      <c r="D821" s="93"/>
      <c r="E821" s="94"/>
      <c r="F821" s="95"/>
      <c r="G821" s="96"/>
    </row>
    <row r="822" ht="14.25" customHeight="1" spans="4:7">
      <c r="D822" s="93"/>
      <c r="E822" s="94"/>
      <c r="F822" s="95"/>
      <c r="G822" s="96"/>
    </row>
    <row r="823" ht="14.25" customHeight="1" spans="4:7">
      <c r="D823" s="93"/>
      <c r="E823" s="94"/>
      <c r="F823" s="95"/>
      <c r="G823" s="96"/>
    </row>
    <row r="824" ht="14.25" customHeight="1" spans="4:7">
      <c r="D824" s="93"/>
      <c r="E824" s="94"/>
      <c r="F824" s="95"/>
      <c r="G824" s="96"/>
    </row>
    <row r="825" ht="14.25" customHeight="1" spans="4:7">
      <c r="D825" s="93"/>
      <c r="E825" s="94"/>
      <c r="F825" s="95"/>
      <c r="G825" s="96"/>
    </row>
    <row r="826" ht="14.25" customHeight="1" spans="4:7">
      <c r="D826" s="93"/>
      <c r="E826" s="94"/>
      <c r="F826" s="95"/>
      <c r="G826" s="96"/>
    </row>
    <row r="827" ht="14.25" customHeight="1" spans="4:7">
      <c r="D827" s="93"/>
      <c r="E827" s="94"/>
      <c r="F827" s="95"/>
      <c r="G827" s="96"/>
    </row>
    <row r="828" ht="14.25" customHeight="1" spans="4:7">
      <c r="D828" s="93"/>
      <c r="E828" s="94"/>
      <c r="F828" s="95"/>
      <c r="G828" s="96"/>
    </row>
    <row r="829" ht="14.25" customHeight="1" spans="4:7">
      <c r="D829" s="93"/>
      <c r="E829" s="94"/>
      <c r="F829" s="95"/>
      <c r="G829" s="96"/>
    </row>
    <row r="830" ht="14.25" customHeight="1" spans="4:7">
      <c r="D830" s="93"/>
      <c r="E830" s="94"/>
      <c r="F830" s="95"/>
      <c r="G830" s="96"/>
    </row>
    <row r="831" ht="14.25" customHeight="1" spans="4:7">
      <c r="D831" s="93"/>
      <c r="E831" s="94"/>
      <c r="F831" s="95"/>
      <c r="G831" s="96"/>
    </row>
    <row r="832" ht="14.25" customHeight="1" spans="4:7">
      <c r="D832" s="93"/>
      <c r="E832" s="94"/>
      <c r="F832" s="95"/>
      <c r="G832" s="96"/>
    </row>
    <row r="833" ht="14.25" customHeight="1" spans="4:7">
      <c r="D833" s="93"/>
      <c r="E833" s="94"/>
      <c r="F833" s="95"/>
      <c r="G833" s="96"/>
    </row>
    <row r="834" ht="14.25" customHeight="1" spans="4:7">
      <c r="D834" s="93"/>
      <c r="E834" s="94"/>
      <c r="F834" s="95"/>
      <c r="G834" s="96"/>
    </row>
    <row r="835" ht="14.25" customHeight="1" spans="4:7">
      <c r="D835" s="93"/>
      <c r="E835" s="94"/>
      <c r="F835" s="95"/>
      <c r="G835" s="96"/>
    </row>
    <row r="836" ht="14.25" customHeight="1" spans="4:7">
      <c r="D836" s="93"/>
      <c r="E836" s="94"/>
      <c r="F836" s="95"/>
      <c r="G836" s="96"/>
    </row>
    <row r="837" ht="14.25" customHeight="1" spans="4:7">
      <c r="D837" s="93"/>
      <c r="E837" s="94"/>
      <c r="F837" s="95"/>
      <c r="G837" s="96"/>
    </row>
    <row r="838" ht="14.25" customHeight="1" spans="4:7">
      <c r="D838" s="93"/>
      <c r="E838" s="94"/>
      <c r="F838" s="95"/>
      <c r="G838" s="96"/>
    </row>
    <row r="839" ht="14.25" customHeight="1" spans="4:7">
      <c r="D839" s="93"/>
      <c r="E839" s="94"/>
      <c r="F839" s="95"/>
      <c r="G839" s="96"/>
    </row>
    <row r="840" ht="14.25" customHeight="1" spans="4:7">
      <c r="D840" s="93"/>
      <c r="E840" s="94"/>
      <c r="F840" s="95"/>
      <c r="G840" s="96"/>
    </row>
    <row r="841" ht="14.25" customHeight="1" spans="4:7">
      <c r="D841" s="93"/>
      <c r="E841" s="94"/>
      <c r="F841" s="95"/>
      <c r="G841" s="96"/>
    </row>
    <row r="842" ht="14.25" customHeight="1" spans="4:7">
      <c r="D842" s="93"/>
      <c r="E842" s="94"/>
      <c r="F842" s="95"/>
      <c r="G842" s="96"/>
    </row>
    <row r="843" ht="14.25" customHeight="1" spans="4:7">
      <c r="D843" s="93"/>
      <c r="E843" s="94"/>
      <c r="F843" s="95"/>
      <c r="G843" s="96"/>
    </row>
    <row r="844" ht="14.25" customHeight="1" spans="4:7">
      <c r="D844" s="93"/>
      <c r="E844" s="94"/>
      <c r="F844" s="95"/>
      <c r="G844" s="96"/>
    </row>
    <row r="845" ht="14.25" customHeight="1" spans="4:7">
      <c r="D845" s="93"/>
      <c r="E845" s="94"/>
      <c r="F845" s="95"/>
      <c r="G845" s="96"/>
    </row>
    <row r="846" ht="14.25" customHeight="1" spans="4:7">
      <c r="D846" s="93"/>
      <c r="E846" s="94"/>
      <c r="F846" s="95"/>
      <c r="G846" s="96"/>
    </row>
    <row r="847" ht="14.25" customHeight="1" spans="4:7">
      <c r="D847" s="93"/>
      <c r="E847" s="94"/>
      <c r="F847" s="95"/>
      <c r="G847" s="96"/>
    </row>
    <row r="848" ht="14.25" customHeight="1" spans="4:7">
      <c r="D848" s="93"/>
      <c r="E848" s="94"/>
      <c r="F848" s="95"/>
      <c r="G848" s="96"/>
    </row>
    <row r="849" ht="14.25" customHeight="1" spans="4:7">
      <c r="D849" s="93"/>
      <c r="E849" s="94"/>
      <c r="F849" s="95"/>
      <c r="G849" s="96"/>
    </row>
    <row r="850" ht="14.25" customHeight="1" spans="4:7">
      <c r="D850" s="93"/>
      <c r="E850" s="94"/>
      <c r="F850" s="95"/>
      <c r="G850" s="96"/>
    </row>
    <row r="851" ht="14.25" customHeight="1" spans="4:7">
      <c r="D851" s="93"/>
      <c r="E851" s="94"/>
      <c r="F851" s="95"/>
      <c r="G851" s="96"/>
    </row>
    <row r="852" ht="14.25" customHeight="1" spans="4:7">
      <c r="D852" s="93"/>
      <c r="E852" s="94"/>
      <c r="F852" s="95"/>
      <c r="G852" s="96"/>
    </row>
    <row r="853" ht="14.25" customHeight="1" spans="4:7">
      <c r="D853" s="93"/>
      <c r="E853" s="94"/>
      <c r="F853" s="95"/>
      <c r="G853" s="96"/>
    </row>
    <row r="854" ht="14.25" customHeight="1" spans="4:7">
      <c r="D854" s="93"/>
      <c r="E854" s="94"/>
      <c r="F854" s="95"/>
      <c r="G854" s="96"/>
    </row>
    <row r="855" ht="14.25" customHeight="1" spans="4:7">
      <c r="D855" s="93"/>
      <c r="E855" s="94"/>
      <c r="F855" s="95"/>
      <c r="G855" s="96"/>
    </row>
    <row r="856" ht="14.25" customHeight="1" spans="4:7">
      <c r="D856" s="93"/>
      <c r="E856" s="94"/>
      <c r="F856" s="95"/>
      <c r="G856" s="96"/>
    </row>
    <row r="857" ht="14.25" customHeight="1" spans="4:7">
      <c r="D857" s="93"/>
      <c r="E857" s="94"/>
      <c r="F857" s="95"/>
      <c r="G857" s="96"/>
    </row>
    <row r="858" ht="14.25" customHeight="1" spans="4:7">
      <c r="D858" s="93"/>
      <c r="E858" s="94"/>
      <c r="F858" s="95"/>
      <c r="G858" s="96"/>
    </row>
    <row r="859" ht="14.25" customHeight="1" spans="4:7">
      <c r="D859" s="93"/>
      <c r="E859" s="94"/>
      <c r="F859" s="95"/>
      <c r="G859" s="96"/>
    </row>
    <row r="860" ht="14.25" customHeight="1" spans="4:7">
      <c r="D860" s="93"/>
      <c r="E860" s="94"/>
      <c r="F860" s="95"/>
      <c r="G860" s="96"/>
    </row>
    <row r="861" ht="14.25" customHeight="1" spans="4:7">
      <c r="D861" s="93"/>
      <c r="E861" s="94"/>
      <c r="F861" s="95"/>
      <c r="G861" s="96"/>
    </row>
    <row r="862" ht="14.25" customHeight="1" spans="4:7">
      <c r="D862" s="93"/>
      <c r="E862" s="94"/>
      <c r="F862" s="95"/>
      <c r="G862" s="96"/>
    </row>
    <row r="863" ht="14.25" customHeight="1" spans="4:7">
      <c r="D863" s="93"/>
      <c r="E863" s="94"/>
      <c r="F863" s="95"/>
      <c r="G863" s="96"/>
    </row>
    <row r="864" ht="14.25" customHeight="1" spans="4:7">
      <c r="D864" s="93"/>
      <c r="E864" s="94"/>
      <c r="F864" s="95"/>
      <c r="G864" s="96"/>
    </row>
    <row r="865" ht="14.25" customHeight="1" spans="4:7">
      <c r="D865" s="93"/>
      <c r="E865" s="94"/>
      <c r="F865" s="95"/>
      <c r="G865" s="96"/>
    </row>
    <row r="866" ht="14.25" customHeight="1" spans="4:7">
      <c r="D866" s="93"/>
      <c r="E866" s="94"/>
      <c r="F866" s="95"/>
      <c r="G866" s="96"/>
    </row>
    <row r="867" ht="14.25" customHeight="1" spans="4:7">
      <c r="D867" s="93"/>
      <c r="E867" s="94"/>
      <c r="F867" s="95"/>
      <c r="G867" s="96"/>
    </row>
    <row r="868" ht="14.25" customHeight="1" spans="4:7">
      <c r="D868" s="93"/>
      <c r="E868" s="94"/>
      <c r="F868" s="95"/>
      <c r="G868" s="96"/>
    </row>
    <row r="869" ht="14.25" customHeight="1" spans="4:7">
      <c r="D869" s="93"/>
      <c r="E869" s="94"/>
      <c r="F869" s="95"/>
      <c r="G869" s="96"/>
    </row>
    <row r="870" ht="14.25" customHeight="1" spans="4:7">
      <c r="D870" s="93"/>
      <c r="E870" s="94"/>
      <c r="F870" s="95"/>
      <c r="G870" s="96"/>
    </row>
    <row r="871" ht="14.25" customHeight="1" spans="4:7">
      <c r="D871" s="93"/>
      <c r="E871" s="94"/>
      <c r="F871" s="95"/>
      <c r="G871" s="96"/>
    </row>
    <row r="872" ht="14.25" customHeight="1" spans="4:7">
      <c r="D872" s="93"/>
      <c r="E872" s="94"/>
      <c r="F872" s="95"/>
      <c r="G872" s="96"/>
    </row>
    <row r="873" ht="14.25" customHeight="1" spans="4:7">
      <c r="D873" s="93"/>
      <c r="E873" s="94"/>
      <c r="F873" s="95"/>
      <c r="G873" s="96"/>
    </row>
    <row r="874" ht="14.25" customHeight="1" spans="4:7">
      <c r="D874" s="93"/>
      <c r="E874" s="94"/>
      <c r="F874" s="95"/>
      <c r="G874" s="96"/>
    </row>
    <row r="875" ht="14.25" customHeight="1" spans="4:7">
      <c r="D875" s="93"/>
      <c r="E875" s="94"/>
      <c r="F875" s="95"/>
      <c r="G875" s="96"/>
    </row>
    <row r="876" ht="14.25" customHeight="1" spans="4:7">
      <c r="D876" s="93"/>
      <c r="E876" s="94"/>
      <c r="F876" s="95"/>
      <c r="G876" s="96"/>
    </row>
    <row r="877" ht="14.25" customHeight="1" spans="4:7">
      <c r="D877" s="93"/>
      <c r="E877" s="94"/>
      <c r="F877" s="95"/>
      <c r="G877" s="96"/>
    </row>
    <row r="878" ht="14.25" customHeight="1" spans="4:7">
      <c r="D878" s="93"/>
      <c r="E878" s="94"/>
      <c r="F878" s="95"/>
      <c r="G878" s="96"/>
    </row>
    <row r="879" ht="14.25" customHeight="1" spans="4:7">
      <c r="D879" s="93"/>
      <c r="E879" s="94"/>
      <c r="F879" s="95"/>
      <c r="G879" s="96"/>
    </row>
    <row r="880" ht="14.25" customHeight="1" spans="4:7">
      <c r="D880" s="93"/>
      <c r="E880" s="94"/>
      <c r="F880" s="95"/>
      <c r="G880" s="96"/>
    </row>
    <row r="881" ht="14.25" customHeight="1" spans="4:7">
      <c r="D881" s="93"/>
      <c r="E881" s="94"/>
      <c r="F881" s="95"/>
      <c r="G881" s="96"/>
    </row>
    <row r="882" ht="14.25" customHeight="1" spans="4:7">
      <c r="D882" s="93"/>
      <c r="E882" s="94"/>
      <c r="F882" s="95"/>
      <c r="G882" s="96"/>
    </row>
    <row r="883" ht="14.25" customHeight="1" spans="4:7">
      <c r="D883" s="93"/>
      <c r="E883" s="94"/>
      <c r="F883" s="95"/>
      <c r="G883" s="96"/>
    </row>
    <row r="884" ht="14.25" customHeight="1" spans="4:7">
      <c r="D884" s="93"/>
      <c r="E884" s="94"/>
      <c r="F884" s="95"/>
      <c r="G884" s="96"/>
    </row>
    <row r="885" ht="14.25" customHeight="1" spans="4:7">
      <c r="D885" s="93"/>
      <c r="E885" s="94"/>
      <c r="F885" s="95"/>
      <c r="G885" s="96"/>
    </row>
    <row r="886" ht="14.25" customHeight="1" spans="4:7">
      <c r="D886" s="93"/>
      <c r="E886" s="94"/>
      <c r="F886" s="95"/>
      <c r="G886" s="96"/>
    </row>
    <row r="887" ht="14.25" customHeight="1" spans="4:7">
      <c r="D887" s="93"/>
      <c r="E887" s="94"/>
      <c r="F887" s="95"/>
      <c r="G887" s="96"/>
    </row>
    <row r="888" ht="14.25" customHeight="1" spans="4:7">
      <c r="D888" s="93"/>
      <c r="E888" s="94"/>
      <c r="F888" s="95"/>
      <c r="G888" s="96"/>
    </row>
    <row r="889" ht="14.25" customHeight="1" spans="4:7">
      <c r="D889" s="93"/>
      <c r="E889" s="94"/>
      <c r="F889" s="95"/>
      <c r="G889" s="96"/>
    </row>
    <row r="890" ht="14.25" customHeight="1" spans="4:7">
      <c r="D890" s="93"/>
      <c r="E890" s="94"/>
      <c r="F890" s="95"/>
      <c r="G890" s="96"/>
    </row>
    <row r="891" ht="14.25" customHeight="1" spans="4:7">
      <c r="D891" s="93"/>
      <c r="E891" s="94"/>
      <c r="F891" s="95"/>
      <c r="G891" s="96"/>
    </row>
    <row r="892" ht="14.25" customHeight="1" spans="4:7">
      <c r="D892" s="93"/>
      <c r="E892" s="94"/>
      <c r="F892" s="95"/>
      <c r="G892" s="96"/>
    </row>
    <row r="893" ht="14.25" customHeight="1" spans="4:7">
      <c r="D893" s="93"/>
      <c r="E893" s="94"/>
      <c r="F893" s="95"/>
      <c r="G893" s="96"/>
    </row>
    <row r="894" ht="14.25" customHeight="1" spans="4:7">
      <c r="D894" s="93"/>
      <c r="E894" s="94"/>
      <c r="F894" s="95"/>
      <c r="G894" s="96"/>
    </row>
    <row r="895" ht="14.25" customHeight="1" spans="4:7">
      <c r="D895" s="93"/>
      <c r="E895" s="94"/>
      <c r="F895" s="95"/>
      <c r="G895" s="96"/>
    </row>
    <row r="896" ht="14.25" customHeight="1" spans="4:7">
      <c r="D896" s="93"/>
      <c r="E896" s="94"/>
      <c r="F896" s="95"/>
      <c r="G896" s="96"/>
    </row>
    <row r="897" ht="14.25" customHeight="1" spans="4:7">
      <c r="D897" s="93"/>
      <c r="E897" s="94"/>
      <c r="F897" s="95"/>
      <c r="G897" s="96"/>
    </row>
    <row r="898" ht="14.25" customHeight="1" spans="4:7">
      <c r="D898" s="93"/>
      <c r="E898" s="94"/>
      <c r="F898" s="95"/>
      <c r="G898" s="96"/>
    </row>
    <row r="899" ht="14.25" customHeight="1" spans="4:7">
      <c r="D899" s="93"/>
      <c r="E899" s="94"/>
      <c r="F899" s="95"/>
      <c r="G899" s="96"/>
    </row>
    <row r="900" ht="14.25" customHeight="1" spans="4:7">
      <c r="D900" s="93"/>
      <c r="E900" s="94"/>
      <c r="F900" s="95"/>
      <c r="G900" s="96"/>
    </row>
    <row r="901" ht="14.25" customHeight="1" spans="4:7">
      <c r="D901" s="93"/>
      <c r="E901" s="94"/>
      <c r="F901" s="95"/>
      <c r="G901" s="96"/>
    </row>
    <row r="902" ht="14.25" customHeight="1" spans="4:7">
      <c r="D902" s="93"/>
      <c r="E902" s="94"/>
      <c r="F902" s="95"/>
      <c r="G902" s="96"/>
    </row>
    <row r="903" ht="14.25" customHeight="1" spans="4:7">
      <c r="D903" s="93"/>
      <c r="E903" s="94"/>
      <c r="F903" s="95"/>
      <c r="G903" s="96"/>
    </row>
    <row r="904" ht="14.25" customHeight="1" spans="4:7">
      <c r="D904" s="93"/>
      <c r="E904" s="94"/>
      <c r="F904" s="95"/>
      <c r="G904" s="96"/>
    </row>
    <row r="905" ht="14.25" customHeight="1" spans="4:7">
      <c r="D905" s="93"/>
      <c r="E905" s="94"/>
      <c r="F905" s="95"/>
      <c r="G905" s="96"/>
    </row>
    <row r="906" ht="14.25" customHeight="1" spans="4:7">
      <c r="D906" s="93"/>
      <c r="E906" s="94"/>
      <c r="F906" s="95"/>
      <c r="G906" s="96"/>
    </row>
    <row r="907" ht="14.25" customHeight="1" spans="4:7">
      <c r="D907" s="93"/>
      <c r="E907" s="94"/>
      <c r="F907" s="95"/>
      <c r="G907" s="96"/>
    </row>
    <row r="908" ht="14.25" customHeight="1" spans="4:7">
      <c r="D908" s="93"/>
      <c r="E908" s="94"/>
      <c r="F908" s="95"/>
      <c r="G908" s="96"/>
    </row>
    <row r="909" ht="14.25" customHeight="1" spans="4:7">
      <c r="D909" s="93"/>
      <c r="E909" s="94"/>
      <c r="F909" s="95"/>
      <c r="G909" s="96"/>
    </row>
    <row r="910" ht="14.25" customHeight="1" spans="4:7">
      <c r="D910" s="93"/>
      <c r="E910" s="94"/>
      <c r="F910" s="95"/>
      <c r="G910" s="96"/>
    </row>
    <row r="911" ht="14.25" customHeight="1" spans="4:7">
      <c r="D911" s="93"/>
      <c r="E911" s="94"/>
      <c r="F911" s="95"/>
      <c r="G911" s="96"/>
    </row>
    <row r="912" ht="14.25" customHeight="1" spans="4:7">
      <c r="D912" s="93"/>
      <c r="E912" s="94"/>
      <c r="F912" s="95"/>
      <c r="G912" s="96"/>
    </row>
    <row r="913" ht="14.25" customHeight="1" spans="4:7">
      <c r="D913" s="93"/>
      <c r="E913" s="94"/>
      <c r="F913" s="95"/>
      <c r="G913" s="96"/>
    </row>
    <row r="914" ht="14.25" customHeight="1" spans="4:7">
      <c r="D914" s="93"/>
      <c r="E914" s="94"/>
      <c r="F914" s="95"/>
      <c r="G914" s="96"/>
    </row>
    <row r="915" ht="14.25" customHeight="1" spans="4:7">
      <c r="D915" s="93"/>
      <c r="E915" s="94"/>
      <c r="F915" s="95"/>
      <c r="G915" s="96"/>
    </row>
    <row r="916" ht="14.25" customHeight="1" spans="4:7">
      <c r="D916" s="93"/>
      <c r="E916" s="94"/>
      <c r="F916" s="95"/>
      <c r="G916" s="96"/>
    </row>
    <row r="917" ht="14.25" customHeight="1" spans="4:7">
      <c r="D917" s="93"/>
      <c r="E917" s="94"/>
      <c r="F917" s="95"/>
      <c r="G917" s="96"/>
    </row>
    <row r="918" ht="14.25" customHeight="1" spans="4:7">
      <c r="D918" s="93"/>
      <c r="E918" s="94"/>
      <c r="F918" s="95"/>
      <c r="G918" s="96"/>
    </row>
    <row r="919" ht="14.25" customHeight="1" spans="4:7">
      <c r="D919" s="93"/>
      <c r="E919" s="94"/>
      <c r="F919" s="95"/>
      <c r="G919" s="96"/>
    </row>
    <row r="920" ht="14.25" customHeight="1" spans="4:7">
      <c r="D920" s="93"/>
      <c r="E920" s="94"/>
      <c r="F920" s="95"/>
      <c r="G920" s="96"/>
    </row>
    <row r="921" ht="14.25" customHeight="1" spans="4:7">
      <c r="D921" s="93"/>
      <c r="E921" s="94"/>
      <c r="F921" s="95"/>
      <c r="G921" s="96"/>
    </row>
    <row r="922" ht="14.25" customHeight="1" spans="4:7">
      <c r="D922" s="93"/>
      <c r="E922" s="94"/>
      <c r="F922" s="95"/>
      <c r="G922" s="96"/>
    </row>
    <row r="923" ht="14.25" customHeight="1" spans="4:7">
      <c r="D923" s="93"/>
      <c r="E923" s="94"/>
      <c r="F923" s="95"/>
      <c r="G923" s="96"/>
    </row>
    <row r="924" ht="14.25" customHeight="1" spans="4:7">
      <c r="D924" s="93"/>
      <c r="E924" s="94"/>
      <c r="F924" s="95"/>
      <c r="G924" s="96"/>
    </row>
    <row r="925" ht="14.25" customHeight="1" spans="4:7">
      <c r="D925" s="93"/>
      <c r="E925" s="94"/>
      <c r="F925" s="95"/>
      <c r="G925" s="96"/>
    </row>
    <row r="926" ht="14.25" customHeight="1" spans="4:7">
      <c r="D926" s="93"/>
      <c r="E926" s="94"/>
      <c r="F926" s="95"/>
      <c r="G926" s="96"/>
    </row>
    <row r="927" ht="14.25" customHeight="1" spans="4:7">
      <c r="D927" s="93"/>
      <c r="E927" s="94"/>
      <c r="F927" s="95"/>
      <c r="G927" s="96"/>
    </row>
    <row r="928" ht="14.25" customHeight="1" spans="4:7">
      <c r="D928" s="93"/>
      <c r="E928" s="94"/>
      <c r="F928" s="95"/>
      <c r="G928" s="96"/>
    </row>
    <row r="929" ht="14.25" customHeight="1" spans="4:7">
      <c r="D929" s="93"/>
      <c r="E929" s="94"/>
      <c r="F929" s="95"/>
      <c r="G929" s="96"/>
    </row>
    <row r="930" ht="14.25" customHeight="1" spans="4:7">
      <c r="D930" s="93"/>
      <c r="E930" s="94"/>
      <c r="F930" s="95"/>
      <c r="G930" s="96"/>
    </row>
    <row r="931" ht="14.25" customHeight="1" spans="4:7">
      <c r="D931" s="93"/>
      <c r="E931" s="94"/>
      <c r="F931" s="95"/>
      <c r="G931" s="96"/>
    </row>
    <row r="932" ht="14.25" customHeight="1" spans="4:7">
      <c r="D932" s="93"/>
      <c r="E932" s="94"/>
      <c r="F932" s="95"/>
      <c r="G932" s="96"/>
    </row>
    <row r="933" ht="14.25" customHeight="1" spans="4:7">
      <c r="D933" s="93"/>
      <c r="E933" s="94"/>
      <c r="F933" s="95"/>
      <c r="G933" s="96"/>
    </row>
    <row r="934" ht="14.25" customHeight="1" spans="4:7">
      <c r="D934" s="93"/>
      <c r="E934" s="94"/>
      <c r="F934" s="95"/>
      <c r="G934" s="96"/>
    </row>
    <row r="935" ht="14.25" customHeight="1" spans="4:7">
      <c r="D935" s="93"/>
      <c r="E935" s="94"/>
      <c r="F935" s="95"/>
      <c r="G935" s="96"/>
    </row>
    <row r="936" ht="14.25" customHeight="1" spans="4:7">
      <c r="D936" s="93"/>
      <c r="E936" s="94"/>
      <c r="F936" s="95"/>
      <c r="G936" s="96"/>
    </row>
    <row r="937" ht="14.25" customHeight="1" spans="4:7">
      <c r="D937" s="93"/>
      <c r="E937" s="94"/>
      <c r="F937" s="95"/>
      <c r="G937" s="96"/>
    </row>
    <row r="938" ht="14.25" customHeight="1" spans="4:7">
      <c r="D938" s="93"/>
      <c r="E938" s="94"/>
      <c r="F938" s="95"/>
      <c r="G938" s="96"/>
    </row>
    <row r="939" ht="14.25" customHeight="1" spans="4:7">
      <c r="D939" s="93"/>
      <c r="E939" s="94"/>
      <c r="F939" s="95"/>
      <c r="G939" s="96"/>
    </row>
    <row r="940" ht="14.25" customHeight="1" spans="4:7">
      <c r="D940" s="93"/>
      <c r="E940" s="94"/>
      <c r="F940" s="95"/>
      <c r="G940" s="96"/>
    </row>
    <row r="941" ht="14.25" customHeight="1" spans="4:7">
      <c r="D941" s="93"/>
      <c r="E941" s="94"/>
      <c r="F941" s="95"/>
      <c r="G941" s="96"/>
    </row>
    <row r="942" ht="14.25" customHeight="1" spans="4:7">
      <c r="D942" s="93"/>
      <c r="E942" s="94"/>
      <c r="F942" s="95"/>
      <c r="G942" s="96"/>
    </row>
    <row r="943" ht="14.25" customHeight="1" spans="4:7">
      <c r="D943" s="93"/>
      <c r="E943" s="94"/>
      <c r="F943" s="95"/>
      <c r="G943" s="96"/>
    </row>
    <row r="944" ht="14.25" customHeight="1" spans="4:7">
      <c r="D944" s="93"/>
      <c r="E944" s="94"/>
      <c r="F944" s="95"/>
      <c r="G944" s="96"/>
    </row>
    <row r="945" ht="14.25" customHeight="1" spans="4:7">
      <c r="D945" s="93"/>
      <c r="E945" s="94"/>
      <c r="F945" s="95"/>
      <c r="G945" s="96"/>
    </row>
    <row r="946" ht="14.25" customHeight="1" spans="4:7">
      <c r="D946" s="93"/>
      <c r="E946" s="94"/>
      <c r="F946" s="95"/>
      <c r="G946" s="96"/>
    </row>
    <row r="947" ht="14.25" customHeight="1" spans="4:7">
      <c r="D947" s="93"/>
      <c r="E947" s="94"/>
      <c r="F947" s="95"/>
      <c r="G947" s="96"/>
    </row>
    <row r="948" ht="14.25" customHeight="1" spans="4:7">
      <c r="D948" s="93"/>
      <c r="E948" s="94"/>
      <c r="F948" s="95"/>
      <c r="G948" s="96"/>
    </row>
    <row r="949" ht="14.25" customHeight="1" spans="4:7">
      <c r="D949" s="93"/>
      <c r="E949" s="94"/>
      <c r="F949" s="95"/>
      <c r="G949" s="96"/>
    </row>
    <row r="950" ht="14.25" customHeight="1" spans="4:7">
      <c r="D950" s="93"/>
      <c r="E950" s="94"/>
      <c r="F950" s="95"/>
      <c r="G950" s="96"/>
    </row>
    <row r="951" ht="14.25" customHeight="1" spans="4:7">
      <c r="D951" s="93"/>
      <c r="E951" s="94"/>
      <c r="F951" s="95"/>
      <c r="G951" s="96"/>
    </row>
    <row r="952" ht="14.25" customHeight="1" spans="4:7">
      <c r="D952" s="93"/>
      <c r="E952" s="94"/>
      <c r="F952" s="95"/>
      <c r="G952" s="96"/>
    </row>
    <row r="953" ht="14.25" customHeight="1" spans="4:7">
      <c r="D953" s="93"/>
      <c r="E953" s="94"/>
      <c r="F953" s="95"/>
      <c r="G953" s="96"/>
    </row>
    <row r="954" ht="14.25" customHeight="1" spans="4:7">
      <c r="D954" s="93"/>
      <c r="E954" s="94"/>
      <c r="F954" s="95"/>
      <c r="G954" s="96"/>
    </row>
    <row r="955" ht="14.25" customHeight="1" spans="4:7">
      <c r="D955" s="93"/>
      <c r="E955" s="94"/>
      <c r="F955" s="95"/>
      <c r="G955" s="96"/>
    </row>
    <row r="956" ht="14.25" customHeight="1" spans="4:7">
      <c r="D956" s="93"/>
      <c r="E956" s="94"/>
      <c r="F956" s="95"/>
      <c r="G956" s="96"/>
    </row>
    <row r="957" ht="14.25" customHeight="1" spans="4:7">
      <c r="D957" s="93"/>
      <c r="E957" s="94"/>
      <c r="F957" s="95"/>
      <c r="G957" s="96"/>
    </row>
    <row r="958" ht="14.25" customHeight="1" spans="4:7">
      <c r="D958" s="93"/>
      <c r="E958" s="94"/>
      <c r="F958" s="95"/>
      <c r="G958" s="96"/>
    </row>
    <row r="959" ht="14.25" customHeight="1" spans="4:7">
      <c r="D959" s="93"/>
      <c r="E959" s="94"/>
      <c r="F959" s="95"/>
      <c r="G959" s="96"/>
    </row>
    <row r="960" ht="14.25" customHeight="1" spans="4:7">
      <c r="D960" s="93"/>
      <c r="E960" s="94"/>
      <c r="F960" s="95"/>
      <c r="G960" s="96"/>
    </row>
    <row r="961" ht="14.25" customHeight="1" spans="4:7">
      <c r="D961" s="93"/>
      <c r="E961" s="94"/>
      <c r="F961" s="95"/>
      <c r="G961" s="96"/>
    </row>
    <row r="962" ht="14.25" customHeight="1" spans="4:7">
      <c r="D962" s="93"/>
      <c r="E962" s="94"/>
      <c r="F962" s="95"/>
      <c r="G962" s="96"/>
    </row>
    <row r="963" ht="14.25" customHeight="1" spans="4:7">
      <c r="D963" s="93"/>
      <c r="E963" s="94"/>
      <c r="F963" s="95"/>
      <c r="G963" s="96"/>
    </row>
    <row r="964" ht="14.25" customHeight="1" spans="4:7">
      <c r="D964" s="93"/>
      <c r="E964" s="94"/>
      <c r="F964" s="95"/>
      <c r="G964" s="96"/>
    </row>
    <row r="965" ht="14.25" customHeight="1" spans="4:7">
      <c r="D965" s="93"/>
      <c r="E965" s="94"/>
      <c r="F965" s="95"/>
      <c r="G965" s="96"/>
    </row>
    <row r="966" ht="14.25" customHeight="1" spans="4:7">
      <c r="D966" s="93"/>
      <c r="E966" s="94"/>
      <c r="F966" s="95"/>
      <c r="G966" s="96"/>
    </row>
    <row r="967" ht="14.25" customHeight="1" spans="4:7">
      <c r="D967" s="93"/>
      <c r="E967" s="94"/>
      <c r="F967" s="95"/>
      <c r="G967" s="96"/>
    </row>
    <row r="968" ht="14.25" customHeight="1" spans="4:7">
      <c r="D968" s="93"/>
      <c r="E968" s="94"/>
      <c r="F968" s="95"/>
      <c r="G968" s="96"/>
    </row>
    <row r="969" ht="14.25" customHeight="1" spans="4:7">
      <c r="D969" s="93"/>
      <c r="E969" s="94"/>
      <c r="F969" s="95"/>
      <c r="G969" s="96"/>
    </row>
    <row r="970" ht="14.25" customHeight="1" spans="4:7">
      <c r="D970" s="93"/>
      <c r="E970" s="94"/>
      <c r="F970" s="95"/>
      <c r="G970" s="96"/>
    </row>
    <row r="971" ht="14.25" customHeight="1" spans="4:7">
      <c r="D971" s="93"/>
      <c r="E971" s="94"/>
      <c r="F971" s="95"/>
      <c r="G971" s="96"/>
    </row>
    <row r="972" ht="14.25" customHeight="1" spans="4:7">
      <c r="D972" s="93"/>
      <c r="E972" s="94"/>
      <c r="F972" s="95"/>
      <c r="G972" s="96"/>
    </row>
    <row r="973" ht="14.25" customHeight="1" spans="4:7">
      <c r="D973" s="93"/>
      <c r="E973" s="94"/>
      <c r="F973" s="95"/>
      <c r="G973" s="96"/>
    </row>
    <row r="974" ht="14.25" customHeight="1" spans="4:7">
      <c r="D974" s="93"/>
      <c r="E974" s="94"/>
      <c r="F974" s="95"/>
      <c r="G974" s="96"/>
    </row>
    <row r="975" ht="14.25" customHeight="1" spans="4:7">
      <c r="D975" s="93"/>
      <c r="E975" s="94"/>
      <c r="F975" s="95"/>
      <c r="G975" s="96"/>
    </row>
    <row r="976" ht="14.25" customHeight="1" spans="4:7">
      <c r="D976" s="93"/>
      <c r="E976" s="94"/>
      <c r="F976" s="95"/>
      <c r="G976" s="96"/>
    </row>
    <row r="977" ht="14.25" customHeight="1" spans="4:7">
      <c r="D977" s="93"/>
      <c r="E977" s="94"/>
      <c r="F977" s="95"/>
      <c r="G977" s="96"/>
    </row>
    <row r="978" ht="14.25" customHeight="1" spans="4:7">
      <c r="D978" s="93"/>
      <c r="E978" s="94"/>
      <c r="F978" s="95"/>
      <c r="G978" s="96"/>
    </row>
    <row r="979" ht="14.25" customHeight="1" spans="4:7">
      <c r="D979" s="93"/>
      <c r="E979" s="94"/>
      <c r="F979" s="95"/>
      <c r="G979" s="96"/>
    </row>
    <row r="980" ht="14.25" customHeight="1" spans="4:7">
      <c r="D980" s="93"/>
      <c r="E980" s="94"/>
      <c r="F980" s="95"/>
      <c r="G980" s="96"/>
    </row>
    <row r="981" ht="14.25" customHeight="1" spans="4:7">
      <c r="D981" s="93"/>
      <c r="E981" s="94"/>
      <c r="F981" s="95"/>
      <c r="G981" s="96"/>
    </row>
    <row r="982" ht="14.25" customHeight="1" spans="4:7">
      <c r="D982" s="93"/>
      <c r="E982" s="94"/>
      <c r="F982" s="95"/>
      <c r="G982" s="96"/>
    </row>
    <row r="983" ht="14.25" customHeight="1" spans="4:7">
      <c r="D983" s="93"/>
      <c r="E983" s="94"/>
      <c r="F983" s="95"/>
      <c r="G983" s="96"/>
    </row>
    <row r="984" ht="14.25" customHeight="1" spans="4:7">
      <c r="D984" s="93"/>
      <c r="E984" s="94"/>
      <c r="F984" s="95"/>
      <c r="G984" s="96"/>
    </row>
    <row r="985" ht="14.25" customHeight="1" spans="4:7">
      <c r="D985" s="93"/>
      <c r="E985" s="94"/>
      <c r="F985" s="95"/>
      <c r="G985" s="96"/>
    </row>
    <row r="986" ht="14.25" customHeight="1" spans="4:7">
      <c r="D986" s="93"/>
      <c r="E986" s="94"/>
      <c r="F986" s="95"/>
      <c r="G986" s="96"/>
    </row>
    <row r="987" ht="14.25" customHeight="1" spans="4:7">
      <c r="D987" s="93"/>
      <c r="E987" s="94"/>
      <c r="F987" s="95"/>
      <c r="G987" s="96"/>
    </row>
    <row r="988" ht="14.25" customHeight="1" spans="4:7">
      <c r="D988" s="93"/>
      <c r="E988" s="94"/>
      <c r="F988" s="95"/>
      <c r="G988" s="96"/>
    </row>
    <row r="989" ht="14.25" customHeight="1" spans="4:7">
      <c r="D989" s="93"/>
      <c r="E989" s="94"/>
      <c r="F989" s="95"/>
      <c r="G989" s="96"/>
    </row>
    <row r="990" ht="14.25" customHeight="1" spans="4:7">
      <c r="D990" s="93"/>
      <c r="E990" s="94"/>
      <c r="F990" s="95"/>
      <c r="G990" s="96"/>
    </row>
    <row r="991" ht="14.25" customHeight="1" spans="4:7">
      <c r="D991" s="93"/>
      <c r="E991" s="94"/>
      <c r="F991" s="95"/>
      <c r="G991" s="96"/>
    </row>
    <row r="992" ht="14.25" customHeight="1" spans="4:7">
      <c r="D992" s="93"/>
      <c r="E992" s="94"/>
      <c r="F992" s="95"/>
      <c r="G992" s="96"/>
    </row>
    <row r="993" ht="14.25" customHeight="1" spans="4:7">
      <c r="D993" s="93"/>
      <c r="E993" s="94"/>
      <c r="F993" s="95"/>
      <c r="G993" s="96"/>
    </row>
    <row r="994" ht="14.25" customHeight="1" spans="4:7">
      <c r="D994" s="93"/>
      <c r="E994" s="94"/>
      <c r="F994" s="95"/>
      <c r="G994" s="96"/>
    </row>
    <row r="995" ht="14.25" customHeight="1" spans="4:7">
      <c r="D995" s="93"/>
      <c r="E995" s="94"/>
      <c r="F995" s="95"/>
      <c r="G995" s="96"/>
    </row>
    <row r="996" ht="14.25" customHeight="1" spans="4:7">
      <c r="D996" s="93"/>
      <c r="E996" s="94"/>
      <c r="F996" s="95"/>
      <c r="G996" s="96"/>
    </row>
    <row r="997" ht="14.25" customHeight="1" spans="4:7">
      <c r="D997" s="93"/>
      <c r="E997" s="94"/>
      <c r="F997" s="95"/>
      <c r="G997" s="96"/>
    </row>
    <row r="998" ht="14.25" customHeight="1" spans="4:7">
      <c r="D998" s="93"/>
      <c r="E998" s="94"/>
      <c r="F998" s="95"/>
      <c r="G998" s="96"/>
    </row>
    <row r="999" ht="14.25" customHeight="1" spans="4:7">
      <c r="D999" s="93"/>
      <c r="E999" s="94"/>
      <c r="F999" s="95"/>
      <c r="G999" s="96"/>
    </row>
    <row r="1000" ht="14.25" customHeight="1" spans="4:7">
      <c r="D1000" s="93"/>
      <c r="E1000" s="94"/>
      <c r="F1000" s="95"/>
      <c r="G1000" s="96"/>
    </row>
    <row r="1001" ht="14.25" customHeight="1" spans="4:7">
      <c r="D1001" s="93"/>
      <c r="E1001" s="94"/>
      <c r="F1001" s="95"/>
      <c r="G1001" s="96"/>
    </row>
    <row r="1002" ht="14.25" customHeight="1" spans="4:7">
      <c r="D1002" s="93"/>
      <c r="E1002" s="94"/>
      <c r="F1002" s="95"/>
      <c r="G1002" s="96"/>
    </row>
    <row r="1003" ht="14.25" customHeight="1" spans="4:7">
      <c r="D1003" s="93"/>
      <c r="E1003" s="94"/>
      <c r="F1003" s="95"/>
      <c r="G1003" s="96"/>
    </row>
    <row r="1004" ht="14.25" customHeight="1" spans="4:7">
      <c r="D1004" s="93"/>
      <c r="E1004" s="94"/>
      <c r="F1004" s="95"/>
      <c r="G1004" s="96"/>
    </row>
    <row r="1005" ht="14.25" customHeight="1" spans="4:7">
      <c r="D1005" s="93"/>
      <c r="E1005" s="94"/>
      <c r="F1005" s="95"/>
      <c r="G1005" s="96"/>
    </row>
    <row r="1006" ht="14.25" customHeight="1" spans="4:7">
      <c r="D1006" s="93"/>
      <c r="E1006" s="94"/>
      <c r="F1006" s="95"/>
      <c r="G1006" s="96"/>
    </row>
    <row r="1007" ht="14.25" customHeight="1" spans="4:7">
      <c r="D1007" s="93"/>
      <c r="E1007" s="94"/>
      <c r="F1007" s="95"/>
      <c r="G1007" s="96"/>
    </row>
    <row r="1008" ht="14.25" customHeight="1" spans="4:7">
      <c r="D1008" s="93"/>
      <c r="E1008" s="94"/>
      <c r="F1008" s="95"/>
      <c r="G1008" s="96"/>
    </row>
    <row r="1009" ht="14.25" customHeight="1" spans="4:7">
      <c r="D1009" s="93"/>
      <c r="E1009" s="94"/>
      <c r="F1009" s="95"/>
      <c r="G1009" s="96"/>
    </row>
    <row r="1010" ht="14.25" customHeight="1"/>
    <row r="1011" ht="14.25" customHeight="1"/>
  </sheetData>
  <mergeCells count="13">
    <mergeCell ref="D1:G1"/>
    <mergeCell ref="H1:K1"/>
    <mergeCell ref="L1:O1"/>
    <mergeCell ref="D4:O4"/>
    <mergeCell ref="A13:O13"/>
    <mergeCell ref="A22:O22"/>
    <mergeCell ref="D42:G42"/>
    <mergeCell ref="H42:K42"/>
    <mergeCell ref="L42:O42"/>
    <mergeCell ref="A5:A12"/>
    <mergeCell ref="A14:A21"/>
    <mergeCell ref="A23:A31"/>
    <mergeCell ref="A1:B3"/>
  </mergeCells>
  <pageMargins left="0.7" right="0.7" top="0.75" bottom="0.75" header="0" footer="0"/>
  <pageSetup paperSize="1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010"/>
  <sheetViews>
    <sheetView topLeftCell="A23" workbookViewId="0">
      <selection activeCell="C4" sqref="C4"/>
    </sheetView>
  </sheetViews>
  <sheetFormatPr defaultColWidth="14.4285714285714" defaultRowHeight="15" customHeight="1"/>
  <cols>
    <col min="1" max="2" width="10.7142857142857" customWidth="1"/>
    <col min="3" max="3" width="55.2857142857143" customWidth="1"/>
    <col min="4" max="32" width="9.42857142857143" customWidth="1"/>
  </cols>
  <sheetData>
    <row r="1" ht="14.25" customHeight="1" spans="1:32">
      <c r="A1" s="102" t="s">
        <v>64</v>
      </c>
      <c r="B1" s="18"/>
      <c r="C1" s="19" t="s">
        <v>0</v>
      </c>
      <c r="D1" s="20">
        <v>2022</v>
      </c>
      <c r="E1" s="3"/>
      <c r="F1" s="3"/>
      <c r="G1" s="4"/>
      <c r="H1" s="20">
        <v>2023</v>
      </c>
      <c r="I1" s="3"/>
      <c r="J1" s="3"/>
      <c r="K1" s="4"/>
      <c r="L1" s="20">
        <v>2024</v>
      </c>
      <c r="M1" s="3"/>
      <c r="N1" s="3"/>
      <c r="O1" s="4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</row>
    <row r="2" ht="14.25" customHeight="1" spans="1:32">
      <c r="A2" s="21"/>
      <c r="B2" s="22"/>
      <c r="C2" s="19" t="s">
        <v>1</v>
      </c>
      <c r="D2" s="23" t="s">
        <v>2</v>
      </c>
      <c r="E2" s="24" t="s">
        <v>3</v>
      </c>
      <c r="F2" s="25" t="s">
        <v>4</v>
      </c>
      <c r="G2" s="26" t="s">
        <v>5</v>
      </c>
      <c r="H2" s="23" t="s">
        <v>2</v>
      </c>
      <c r="I2" s="24" t="s">
        <v>3</v>
      </c>
      <c r="J2" s="25" t="s">
        <v>4</v>
      </c>
      <c r="K2" s="26" t="s">
        <v>5</v>
      </c>
      <c r="L2" s="23" t="s">
        <v>2</v>
      </c>
      <c r="M2" s="24" t="s">
        <v>3</v>
      </c>
      <c r="N2" s="25" t="s">
        <v>4</v>
      </c>
      <c r="O2" s="26" t="s">
        <v>5</v>
      </c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</row>
    <row r="3" ht="14.25" customHeight="1" spans="1:32">
      <c r="A3" s="27"/>
      <c r="B3" s="28"/>
      <c r="C3" s="29" t="s">
        <v>6</v>
      </c>
      <c r="D3" s="30" t="s">
        <v>59</v>
      </c>
      <c r="E3" s="31" t="s">
        <v>59</v>
      </c>
      <c r="F3" s="32">
        <v>44852</v>
      </c>
      <c r="G3" s="33">
        <v>44973</v>
      </c>
      <c r="H3" s="103">
        <v>45093</v>
      </c>
      <c r="I3" s="82">
        <v>45189</v>
      </c>
      <c r="J3" s="83">
        <v>45243</v>
      </c>
      <c r="K3" s="33">
        <v>45310</v>
      </c>
      <c r="L3" s="30"/>
      <c r="M3" s="31"/>
      <c r="N3" s="84"/>
      <c r="O3" s="85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</row>
    <row r="4" ht="14.25" customHeight="1" spans="1:32">
      <c r="A4" s="35" t="s">
        <v>7</v>
      </c>
      <c r="B4" s="35" t="s">
        <v>8</v>
      </c>
      <c r="C4" s="35" t="s">
        <v>9</v>
      </c>
      <c r="D4" s="36"/>
      <c r="E4" s="3"/>
      <c r="F4" s="3"/>
      <c r="G4" s="3"/>
      <c r="H4" s="3"/>
      <c r="I4" s="3"/>
      <c r="J4" s="3"/>
      <c r="K4" s="3"/>
      <c r="L4" s="3"/>
      <c r="M4" s="3"/>
      <c r="N4" s="3"/>
      <c r="O4" s="4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</row>
    <row r="5" ht="23.25" customHeight="1" spans="1:32">
      <c r="A5" s="37" t="s">
        <v>10</v>
      </c>
      <c r="B5" s="38" t="s">
        <v>11</v>
      </c>
      <c r="C5" s="38" t="s">
        <v>12</v>
      </c>
      <c r="D5" s="39" t="s">
        <v>59</v>
      </c>
      <c r="E5" s="40" t="s">
        <v>59</v>
      </c>
      <c r="F5" s="41">
        <v>0</v>
      </c>
      <c r="G5" s="42">
        <v>0</v>
      </c>
      <c r="H5" s="39">
        <v>0</v>
      </c>
      <c r="I5" s="40">
        <v>0</v>
      </c>
      <c r="J5" s="41">
        <v>0</v>
      </c>
      <c r="K5" s="42">
        <v>0</v>
      </c>
      <c r="L5" s="39"/>
      <c r="M5" s="40"/>
      <c r="N5" s="41"/>
      <c r="O5" s="42"/>
      <c r="P5" s="67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</row>
    <row r="6" ht="22.5" customHeight="1" spans="1:32">
      <c r="A6" s="43"/>
      <c r="B6" s="44" t="s">
        <v>13</v>
      </c>
      <c r="C6" s="44" t="s">
        <v>14</v>
      </c>
      <c r="D6" s="6" t="s">
        <v>59</v>
      </c>
      <c r="E6" s="7" t="s">
        <v>59</v>
      </c>
      <c r="F6" s="25">
        <v>0</v>
      </c>
      <c r="G6" s="26">
        <v>0</v>
      </c>
      <c r="H6" s="6">
        <v>0</v>
      </c>
      <c r="I6" s="7">
        <v>0</v>
      </c>
      <c r="J6" s="25">
        <v>0</v>
      </c>
      <c r="K6" s="26">
        <v>0</v>
      </c>
      <c r="L6" s="6"/>
      <c r="M6" s="7"/>
      <c r="N6" s="25"/>
      <c r="O6" s="26"/>
      <c r="P6" s="67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</row>
    <row r="7" ht="22.5" customHeight="1" spans="1:32">
      <c r="A7" s="43"/>
      <c r="B7" s="38" t="s">
        <v>15</v>
      </c>
      <c r="C7" s="38" t="s">
        <v>16</v>
      </c>
      <c r="D7" s="39" t="s">
        <v>59</v>
      </c>
      <c r="E7" s="40" t="s">
        <v>59</v>
      </c>
      <c r="F7" s="41">
        <v>4</v>
      </c>
      <c r="G7" s="42">
        <v>6</v>
      </c>
      <c r="H7" s="39">
        <v>6</v>
      </c>
      <c r="I7" s="40">
        <v>15</v>
      </c>
      <c r="J7" s="41">
        <v>0</v>
      </c>
      <c r="K7" s="42">
        <v>0</v>
      </c>
      <c r="L7" s="39"/>
      <c r="M7" s="40"/>
      <c r="N7" s="41"/>
      <c r="O7" s="42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</row>
    <row r="8" ht="22.5" customHeight="1" spans="1:32">
      <c r="A8" s="43"/>
      <c r="B8" s="44" t="s">
        <v>17</v>
      </c>
      <c r="C8" s="44" t="s">
        <v>18</v>
      </c>
      <c r="D8" s="6" t="s">
        <v>59</v>
      </c>
      <c r="E8" s="7" t="s">
        <v>59</v>
      </c>
      <c r="F8" s="25">
        <v>5</v>
      </c>
      <c r="G8" s="26">
        <v>0</v>
      </c>
      <c r="H8" s="6">
        <v>4</v>
      </c>
      <c r="I8" s="7">
        <v>7</v>
      </c>
      <c r="J8" s="25">
        <v>1</v>
      </c>
      <c r="K8" s="26">
        <v>0</v>
      </c>
      <c r="L8" s="6"/>
      <c r="M8" s="7"/>
      <c r="N8" s="25"/>
      <c r="O8" s="26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</row>
    <row r="9" ht="22.5" customHeight="1" spans="1:32">
      <c r="A9" s="43"/>
      <c r="B9" s="38" t="s">
        <v>19</v>
      </c>
      <c r="C9" s="38" t="s">
        <v>20</v>
      </c>
      <c r="D9" s="39" t="s">
        <v>59</v>
      </c>
      <c r="E9" s="40" t="s">
        <v>59</v>
      </c>
      <c r="F9" s="41">
        <v>4</v>
      </c>
      <c r="G9" s="42">
        <v>7</v>
      </c>
      <c r="H9" s="39">
        <v>7</v>
      </c>
      <c r="I9" s="40">
        <v>5</v>
      </c>
      <c r="J9" s="41">
        <v>5</v>
      </c>
      <c r="K9" s="42">
        <v>16</v>
      </c>
      <c r="L9" s="39"/>
      <c r="M9" s="40"/>
      <c r="N9" s="41"/>
      <c r="O9" s="42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</row>
    <row r="10" ht="23.25" customHeight="1" spans="1:32">
      <c r="A10" s="43"/>
      <c r="B10" s="44" t="s">
        <v>21</v>
      </c>
      <c r="C10" s="44" t="s">
        <v>22</v>
      </c>
      <c r="D10" s="6" t="s">
        <v>59</v>
      </c>
      <c r="E10" s="7" t="s">
        <v>59</v>
      </c>
      <c r="F10" s="25">
        <v>21</v>
      </c>
      <c r="G10" s="26">
        <v>7</v>
      </c>
      <c r="H10" s="6">
        <v>7</v>
      </c>
      <c r="I10" s="7">
        <v>34</v>
      </c>
      <c r="J10" s="25">
        <v>28</v>
      </c>
      <c r="K10" s="26">
        <v>77</v>
      </c>
      <c r="L10" s="6"/>
      <c r="M10" s="7"/>
      <c r="N10" s="25"/>
      <c r="O10" s="26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</row>
    <row r="11" ht="24" customHeight="1" spans="1:32">
      <c r="A11" s="43"/>
      <c r="B11" s="38" t="s">
        <v>23</v>
      </c>
      <c r="C11" s="38" t="s">
        <v>24</v>
      </c>
      <c r="D11" s="39" t="s">
        <v>59</v>
      </c>
      <c r="E11" s="40" t="s">
        <v>59</v>
      </c>
      <c r="F11" s="41">
        <v>0</v>
      </c>
      <c r="G11" s="42">
        <v>0</v>
      </c>
      <c r="H11" s="39">
        <v>0</v>
      </c>
      <c r="I11" s="40">
        <v>26</v>
      </c>
      <c r="J11" s="41">
        <v>2</v>
      </c>
      <c r="K11" s="42">
        <v>0</v>
      </c>
      <c r="L11" s="39"/>
      <c r="M11" s="40"/>
      <c r="N11" s="41"/>
      <c r="O11" s="42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</row>
    <row r="12" ht="24.75" customHeight="1" spans="1:32">
      <c r="A12" s="5"/>
      <c r="B12" s="44" t="s">
        <v>25</v>
      </c>
      <c r="C12" s="44" t="s">
        <v>26</v>
      </c>
      <c r="D12" s="6" t="s">
        <v>59</v>
      </c>
      <c r="E12" s="7" t="s">
        <v>59</v>
      </c>
      <c r="F12" s="25">
        <v>0</v>
      </c>
      <c r="G12" s="26">
        <v>0</v>
      </c>
      <c r="H12" s="6">
        <v>0</v>
      </c>
      <c r="I12" s="7">
        <v>6</v>
      </c>
      <c r="J12" s="25">
        <v>1</v>
      </c>
      <c r="K12" s="26">
        <v>0</v>
      </c>
      <c r="L12" s="6"/>
      <c r="M12" s="7"/>
      <c r="N12" s="25"/>
      <c r="O12" s="26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</row>
    <row r="13" ht="6" customHeight="1" spans="1:32">
      <c r="A13" s="45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4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</row>
    <row r="14" ht="24.75" customHeight="1" spans="1:32">
      <c r="A14" s="46" t="s">
        <v>27</v>
      </c>
      <c r="B14" s="38" t="s">
        <v>11</v>
      </c>
      <c r="C14" s="38" t="s">
        <v>12</v>
      </c>
      <c r="D14" s="39" t="s">
        <v>59</v>
      </c>
      <c r="E14" s="40" t="s">
        <v>59</v>
      </c>
      <c r="F14" s="47">
        <v>0</v>
      </c>
      <c r="G14" s="48">
        <v>0</v>
      </c>
      <c r="H14" s="39">
        <v>0</v>
      </c>
      <c r="I14" s="40">
        <v>0</v>
      </c>
      <c r="J14" s="47">
        <v>0</v>
      </c>
      <c r="K14" s="48">
        <v>0</v>
      </c>
      <c r="L14" s="39"/>
      <c r="M14" s="40"/>
      <c r="N14" s="47"/>
      <c r="O14" s="48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</row>
    <row r="15" ht="25.5" customHeight="1" spans="1:32">
      <c r="A15" s="43"/>
      <c r="B15" s="44" t="s">
        <v>28</v>
      </c>
      <c r="C15" s="44" t="s">
        <v>29</v>
      </c>
      <c r="D15" s="6" t="s">
        <v>59</v>
      </c>
      <c r="E15" s="7" t="s">
        <v>59</v>
      </c>
      <c r="F15" s="8">
        <v>58</v>
      </c>
      <c r="G15" s="9">
        <v>5</v>
      </c>
      <c r="H15" s="6">
        <v>7</v>
      </c>
      <c r="I15" s="7">
        <v>10</v>
      </c>
      <c r="J15" s="8">
        <v>101</v>
      </c>
      <c r="K15" s="9">
        <v>104</v>
      </c>
      <c r="L15" s="6"/>
      <c r="M15" s="7"/>
      <c r="N15" s="8"/>
      <c r="O15" s="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</row>
    <row r="16" ht="23.25" customHeight="1" spans="1:32">
      <c r="A16" s="43"/>
      <c r="B16" s="38" t="s">
        <v>15</v>
      </c>
      <c r="C16" s="38" t="s">
        <v>16</v>
      </c>
      <c r="D16" s="39" t="s">
        <v>59</v>
      </c>
      <c r="E16" s="49" t="s">
        <v>59</v>
      </c>
      <c r="F16" s="47">
        <v>3</v>
      </c>
      <c r="G16" s="48">
        <v>2</v>
      </c>
      <c r="H16" s="39">
        <v>2</v>
      </c>
      <c r="I16" s="40">
        <v>3</v>
      </c>
      <c r="J16" s="47">
        <v>0</v>
      </c>
      <c r="K16" s="48">
        <v>0</v>
      </c>
      <c r="L16" s="39"/>
      <c r="M16" s="40"/>
      <c r="N16" s="47"/>
      <c r="O16" s="48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</row>
    <row r="17" ht="25.5" customHeight="1" spans="1:32">
      <c r="A17" s="43"/>
      <c r="B17" s="44" t="s">
        <v>17</v>
      </c>
      <c r="C17" s="44" t="s">
        <v>18</v>
      </c>
      <c r="D17" s="6" t="s">
        <v>59</v>
      </c>
      <c r="E17" s="7" t="s">
        <v>59</v>
      </c>
      <c r="F17" s="8">
        <v>5</v>
      </c>
      <c r="G17" s="9">
        <v>0</v>
      </c>
      <c r="H17" s="6">
        <v>2</v>
      </c>
      <c r="I17" s="7">
        <v>2</v>
      </c>
      <c r="J17" s="8">
        <v>1</v>
      </c>
      <c r="K17" s="9">
        <v>0</v>
      </c>
      <c r="L17" s="6"/>
      <c r="M17" s="7"/>
      <c r="N17" s="8"/>
      <c r="O17" s="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</row>
    <row r="18" ht="22.5" customHeight="1" spans="1:32">
      <c r="A18" s="43"/>
      <c r="B18" s="38" t="s">
        <v>19</v>
      </c>
      <c r="C18" s="38" t="s">
        <v>20</v>
      </c>
      <c r="D18" s="39" t="s">
        <v>59</v>
      </c>
      <c r="E18" s="49" t="s">
        <v>59</v>
      </c>
      <c r="F18" s="47">
        <v>10</v>
      </c>
      <c r="G18" s="48">
        <v>2</v>
      </c>
      <c r="H18" s="39">
        <v>6</v>
      </c>
      <c r="I18" s="40">
        <v>6</v>
      </c>
      <c r="J18" s="47">
        <v>3</v>
      </c>
      <c r="K18" s="48">
        <v>53</v>
      </c>
      <c r="L18" s="39"/>
      <c r="M18" s="40"/>
      <c r="N18" s="47"/>
      <c r="O18" s="48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</row>
    <row r="19" ht="24" customHeight="1" spans="1:32">
      <c r="A19" s="43"/>
      <c r="B19" s="44" t="s">
        <v>21</v>
      </c>
      <c r="C19" s="44" t="s">
        <v>22</v>
      </c>
      <c r="D19" s="6" t="s">
        <v>59</v>
      </c>
      <c r="E19" s="50" t="s">
        <v>59</v>
      </c>
      <c r="F19" s="8">
        <v>289</v>
      </c>
      <c r="G19" s="9">
        <v>35</v>
      </c>
      <c r="H19" s="6">
        <v>12</v>
      </c>
      <c r="I19" s="7">
        <v>51</v>
      </c>
      <c r="J19" s="8">
        <v>26</v>
      </c>
      <c r="K19" s="9">
        <v>114</v>
      </c>
      <c r="L19" s="6"/>
      <c r="M19" s="7"/>
      <c r="N19" s="8"/>
      <c r="O19" s="9"/>
      <c r="P19" s="89"/>
      <c r="Q19" s="89"/>
      <c r="R19" s="89"/>
      <c r="S19" s="89"/>
      <c r="T19" s="89"/>
      <c r="U19" s="89"/>
      <c r="V19" s="89"/>
      <c r="W19" s="89"/>
      <c r="X19" s="80"/>
      <c r="Y19" s="80"/>
      <c r="Z19" s="80"/>
      <c r="AA19" s="80"/>
      <c r="AB19" s="80"/>
      <c r="AC19" s="80"/>
      <c r="AD19" s="80"/>
      <c r="AE19" s="80"/>
      <c r="AF19" s="80"/>
    </row>
    <row r="20" ht="25.5" customHeight="1" spans="1:32">
      <c r="A20" s="43"/>
      <c r="B20" s="38" t="s">
        <v>23</v>
      </c>
      <c r="C20" s="38" t="s">
        <v>24</v>
      </c>
      <c r="D20" s="39" t="s">
        <v>59</v>
      </c>
      <c r="E20" s="40" t="s">
        <v>59</v>
      </c>
      <c r="F20" s="47">
        <v>0</v>
      </c>
      <c r="G20" s="48">
        <v>0</v>
      </c>
      <c r="H20" s="39">
        <v>0</v>
      </c>
      <c r="I20" s="40">
        <v>3</v>
      </c>
      <c r="J20" s="47">
        <v>1</v>
      </c>
      <c r="K20" s="48">
        <v>0</v>
      </c>
      <c r="L20" s="39"/>
      <c r="M20" s="40"/>
      <c r="N20" s="47"/>
      <c r="O20" s="48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</row>
    <row r="21" ht="25.5" customHeight="1" spans="1:32">
      <c r="A21" s="5"/>
      <c r="B21" s="44" t="s">
        <v>25</v>
      </c>
      <c r="C21" s="44" t="s">
        <v>26</v>
      </c>
      <c r="D21" s="6" t="s">
        <v>59</v>
      </c>
      <c r="E21" s="7" t="s">
        <v>59</v>
      </c>
      <c r="F21" s="8">
        <v>6</v>
      </c>
      <c r="G21" s="9">
        <v>1</v>
      </c>
      <c r="H21" s="6">
        <v>0</v>
      </c>
      <c r="I21" s="7">
        <v>3</v>
      </c>
      <c r="J21" s="8">
        <v>6</v>
      </c>
      <c r="K21" s="9">
        <v>0</v>
      </c>
      <c r="L21" s="6"/>
      <c r="M21" s="7"/>
      <c r="N21" s="8"/>
      <c r="O21" s="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</row>
    <row r="22" ht="6" customHeight="1" spans="1:32">
      <c r="A22" s="45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4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</row>
    <row r="23" ht="22.5" customHeight="1" spans="1:32">
      <c r="A23" s="51" t="s">
        <v>30</v>
      </c>
      <c r="B23" s="52" t="s">
        <v>11</v>
      </c>
      <c r="C23" s="52" t="s">
        <v>12</v>
      </c>
      <c r="D23" s="39" t="s">
        <v>59</v>
      </c>
      <c r="E23" s="40" t="s">
        <v>59</v>
      </c>
      <c r="F23" s="47">
        <f t="shared" ref="F23:O23" si="0">SUM(F5+F14)</f>
        <v>0</v>
      </c>
      <c r="G23" s="48">
        <f t="shared" si="0"/>
        <v>0</v>
      </c>
      <c r="H23" s="39">
        <f t="shared" si="0"/>
        <v>0</v>
      </c>
      <c r="I23" s="40">
        <f t="shared" si="0"/>
        <v>0</v>
      </c>
      <c r="J23" s="47">
        <f t="shared" si="0"/>
        <v>0</v>
      </c>
      <c r="K23" s="48">
        <f t="shared" si="0"/>
        <v>0</v>
      </c>
      <c r="L23" s="39">
        <f t="shared" si="0"/>
        <v>0</v>
      </c>
      <c r="M23" s="40">
        <f t="shared" si="0"/>
        <v>0</v>
      </c>
      <c r="N23" s="47">
        <f t="shared" si="0"/>
        <v>0</v>
      </c>
      <c r="O23" s="48">
        <f t="shared" si="0"/>
        <v>0</v>
      </c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</row>
    <row r="24" ht="22.5" customHeight="1" spans="1:32">
      <c r="A24" s="43"/>
      <c r="B24" s="44" t="s">
        <v>13</v>
      </c>
      <c r="C24" s="44" t="s">
        <v>14</v>
      </c>
      <c r="D24" s="6" t="s">
        <v>59</v>
      </c>
      <c r="E24" s="7" t="s">
        <v>59</v>
      </c>
      <c r="F24" s="8">
        <f>SUM(F6)</f>
        <v>0</v>
      </c>
      <c r="G24" s="9">
        <f t="shared" ref="G24:O24" si="1">SUM(G5+G14)</f>
        <v>0</v>
      </c>
      <c r="H24" s="6">
        <f t="shared" si="1"/>
        <v>0</v>
      </c>
      <c r="I24" s="7">
        <f t="shared" si="1"/>
        <v>0</v>
      </c>
      <c r="J24" s="8">
        <f t="shared" si="1"/>
        <v>0</v>
      </c>
      <c r="K24" s="9">
        <f t="shared" si="1"/>
        <v>0</v>
      </c>
      <c r="L24" s="6">
        <f t="shared" si="1"/>
        <v>0</v>
      </c>
      <c r="M24" s="7">
        <f t="shared" si="1"/>
        <v>0</v>
      </c>
      <c r="N24" s="8">
        <f t="shared" si="1"/>
        <v>0</v>
      </c>
      <c r="O24" s="9">
        <f t="shared" si="1"/>
        <v>0</v>
      </c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</row>
    <row r="25" ht="25.5" customHeight="1" spans="1:32">
      <c r="A25" s="43"/>
      <c r="B25" s="52" t="s">
        <v>28</v>
      </c>
      <c r="C25" s="52" t="s">
        <v>29</v>
      </c>
      <c r="D25" s="39" t="s">
        <v>59</v>
      </c>
      <c r="E25" s="40" t="s">
        <v>59</v>
      </c>
      <c r="F25" s="47">
        <f t="shared" ref="F25:H25" si="2">SUM(F7+F16)</f>
        <v>7</v>
      </c>
      <c r="G25" s="48">
        <f t="shared" si="2"/>
        <v>8</v>
      </c>
      <c r="H25" s="39">
        <f t="shared" si="2"/>
        <v>8</v>
      </c>
      <c r="I25" s="40">
        <f>SUM(I6+I15)</f>
        <v>10</v>
      </c>
      <c r="J25" s="47">
        <f>SUM(J7+J16)</f>
        <v>0</v>
      </c>
      <c r="K25" s="48">
        <f>SUM(K15)</f>
        <v>104</v>
      </c>
      <c r="L25" s="39">
        <f>SUM(L7+L16)</f>
        <v>0</v>
      </c>
      <c r="M25" s="40">
        <f>SUM(M6+M15)</f>
        <v>0</v>
      </c>
      <c r="N25" s="47">
        <v>0</v>
      </c>
      <c r="O25" s="48">
        <f>SUM(O7+O16)</f>
        <v>0</v>
      </c>
      <c r="P25" s="104">
        <f>SUM(D25:J25)</f>
        <v>33</v>
      </c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</row>
    <row r="26" ht="24.75" customHeight="1" spans="1:32">
      <c r="A26" s="43"/>
      <c r="B26" s="44" t="s">
        <v>15</v>
      </c>
      <c r="C26" s="44" t="s">
        <v>16</v>
      </c>
      <c r="D26" s="6" t="s">
        <v>59</v>
      </c>
      <c r="E26" s="7" t="s">
        <v>59</v>
      </c>
      <c r="F26" s="8">
        <f t="shared" ref="F26:O26" si="3">SUM(F7+F16)</f>
        <v>7</v>
      </c>
      <c r="G26" s="9">
        <f t="shared" si="3"/>
        <v>8</v>
      </c>
      <c r="H26" s="6">
        <f t="shared" si="3"/>
        <v>8</v>
      </c>
      <c r="I26" s="7">
        <f t="shared" si="3"/>
        <v>18</v>
      </c>
      <c r="J26" s="8">
        <f t="shared" si="3"/>
        <v>0</v>
      </c>
      <c r="K26" s="9">
        <f t="shared" si="3"/>
        <v>0</v>
      </c>
      <c r="L26" s="6">
        <f t="shared" si="3"/>
        <v>0</v>
      </c>
      <c r="M26" s="7">
        <f t="shared" si="3"/>
        <v>0</v>
      </c>
      <c r="N26" s="8">
        <f t="shared" si="3"/>
        <v>0</v>
      </c>
      <c r="O26" s="9">
        <f t="shared" si="3"/>
        <v>0</v>
      </c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</row>
    <row r="27" ht="23.25" customHeight="1" spans="1:32">
      <c r="A27" s="43"/>
      <c r="B27" s="52" t="s">
        <v>17</v>
      </c>
      <c r="C27" s="52" t="s">
        <v>18</v>
      </c>
      <c r="D27" s="39" t="s">
        <v>59</v>
      </c>
      <c r="E27" s="40" t="s">
        <v>59</v>
      </c>
      <c r="F27" s="47">
        <f t="shared" ref="F27:O27" si="4">SUM(F8+F17)</f>
        <v>10</v>
      </c>
      <c r="G27" s="48">
        <f t="shared" si="4"/>
        <v>0</v>
      </c>
      <c r="H27" s="39">
        <f t="shared" si="4"/>
        <v>6</v>
      </c>
      <c r="I27" s="40">
        <f t="shared" si="4"/>
        <v>9</v>
      </c>
      <c r="J27" s="47">
        <f t="shared" si="4"/>
        <v>2</v>
      </c>
      <c r="K27" s="48">
        <f t="shared" si="4"/>
        <v>0</v>
      </c>
      <c r="L27" s="39">
        <f t="shared" si="4"/>
        <v>0</v>
      </c>
      <c r="M27" s="40">
        <f t="shared" si="4"/>
        <v>0</v>
      </c>
      <c r="N27" s="47">
        <f t="shared" si="4"/>
        <v>0</v>
      </c>
      <c r="O27" s="48">
        <f t="shared" si="4"/>
        <v>0</v>
      </c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</row>
    <row r="28" ht="22.5" customHeight="1" spans="1:32">
      <c r="A28" s="43"/>
      <c r="B28" s="44" t="s">
        <v>19</v>
      </c>
      <c r="C28" s="44" t="s">
        <v>20</v>
      </c>
      <c r="D28" s="6" t="s">
        <v>59</v>
      </c>
      <c r="E28" s="7" t="s">
        <v>59</v>
      </c>
      <c r="F28" s="8">
        <f t="shared" ref="F28:O28" si="5">SUM(F9+F18)</f>
        <v>14</v>
      </c>
      <c r="G28" s="9">
        <f t="shared" si="5"/>
        <v>9</v>
      </c>
      <c r="H28" s="6">
        <f t="shared" si="5"/>
        <v>13</v>
      </c>
      <c r="I28" s="7">
        <f t="shared" si="5"/>
        <v>11</v>
      </c>
      <c r="J28" s="8">
        <f t="shared" si="5"/>
        <v>8</v>
      </c>
      <c r="K28" s="9">
        <f t="shared" si="5"/>
        <v>69</v>
      </c>
      <c r="L28" s="6">
        <f t="shared" si="5"/>
        <v>0</v>
      </c>
      <c r="M28" s="7">
        <f t="shared" si="5"/>
        <v>0</v>
      </c>
      <c r="N28" s="8">
        <f t="shared" si="5"/>
        <v>0</v>
      </c>
      <c r="O28" s="9">
        <f t="shared" si="5"/>
        <v>0</v>
      </c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</row>
    <row r="29" ht="24.75" customHeight="1" spans="1:32">
      <c r="A29" s="43"/>
      <c r="B29" s="52" t="s">
        <v>21</v>
      </c>
      <c r="C29" s="52" t="s">
        <v>22</v>
      </c>
      <c r="D29" s="39" t="s">
        <v>59</v>
      </c>
      <c r="E29" s="40" t="s">
        <v>59</v>
      </c>
      <c r="F29" s="47">
        <f t="shared" ref="F29:O29" si="6">SUM(F10+F19)</f>
        <v>310</v>
      </c>
      <c r="G29" s="48">
        <f t="shared" si="6"/>
        <v>42</v>
      </c>
      <c r="H29" s="39">
        <f t="shared" si="6"/>
        <v>19</v>
      </c>
      <c r="I29" s="40">
        <f t="shared" si="6"/>
        <v>85</v>
      </c>
      <c r="J29" s="47">
        <f t="shared" si="6"/>
        <v>54</v>
      </c>
      <c r="K29" s="48">
        <f t="shared" si="6"/>
        <v>191</v>
      </c>
      <c r="L29" s="39">
        <f t="shared" si="6"/>
        <v>0</v>
      </c>
      <c r="M29" s="40">
        <f t="shared" si="6"/>
        <v>0</v>
      </c>
      <c r="N29" s="47">
        <f t="shared" si="6"/>
        <v>0</v>
      </c>
      <c r="O29" s="48">
        <f t="shared" si="6"/>
        <v>0</v>
      </c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</row>
    <row r="30" ht="24.75" customHeight="1" spans="1:32">
      <c r="A30" s="43"/>
      <c r="B30" s="44" t="s">
        <v>23</v>
      </c>
      <c r="C30" s="44" t="s">
        <v>24</v>
      </c>
      <c r="D30" s="6" t="s">
        <v>59</v>
      </c>
      <c r="E30" s="7" t="s">
        <v>59</v>
      </c>
      <c r="F30" s="8">
        <f t="shared" ref="F30:O30" si="7">SUM(F11+F20)</f>
        <v>0</v>
      </c>
      <c r="G30" s="9">
        <f t="shared" si="7"/>
        <v>0</v>
      </c>
      <c r="H30" s="6">
        <f t="shared" si="7"/>
        <v>0</v>
      </c>
      <c r="I30" s="7">
        <f t="shared" si="7"/>
        <v>29</v>
      </c>
      <c r="J30" s="8">
        <f t="shared" si="7"/>
        <v>3</v>
      </c>
      <c r="K30" s="9">
        <f t="shared" si="7"/>
        <v>0</v>
      </c>
      <c r="L30" s="6">
        <f t="shared" si="7"/>
        <v>0</v>
      </c>
      <c r="M30" s="7">
        <f t="shared" si="7"/>
        <v>0</v>
      </c>
      <c r="N30" s="8">
        <f t="shared" si="7"/>
        <v>0</v>
      </c>
      <c r="O30" s="9">
        <f t="shared" si="7"/>
        <v>0</v>
      </c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</row>
    <row r="31" ht="25.5" customHeight="1" spans="1:32">
      <c r="A31" s="5"/>
      <c r="B31" s="52" t="s">
        <v>25</v>
      </c>
      <c r="C31" s="52" t="s">
        <v>26</v>
      </c>
      <c r="D31" s="39" t="s">
        <v>59</v>
      </c>
      <c r="E31" s="40" t="s">
        <v>59</v>
      </c>
      <c r="F31" s="47">
        <f t="shared" ref="F31:O31" si="8">SUM(F12+F21)</f>
        <v>6</v>
      </c>
      <c r="G31" s="48">
        <f t="shared" si="8"/>
        <v>1</v>
      </c>
      <c r="H31" s="39">
        <f t="shared" si="8"/>
        <v>0</v>
      </c>
      <c r="I31" s="40">
        <f t="shared" si="8"/>
        <v>9</v>
      </c>
      <c r="J31" s="47">
        <f t="shared" si="8"/>
        <v>7</v>
      </c>
      <c r="K31" s="48">
        <f t="shared" si="8"/>
        <v>0</v>
      </c>
      <c r="L31" s="39">
        <f t="shared" si="8"/>
        <v>0</v>
      </c>
      <c r="M31" s="40">
        <f t="shared" si="8"/>
        <v>0</v>
      </c>
      <c r="N31" s="47">
        <f t="shared" si="8"/>
        <v>0</v>
      </c>
      <c r="O31" s="48">
        <f t="shared" si="8"/>
        <v>0</v>
      </c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</row>
    <row r="32" ht="21.75" customHeight="1" spans="1:32">
      <c r="A32" s="53"/>
      <c r="B32" s="53"/>
      <c r="C32" s="54" t="s">
        <v>30</v>
      </c>
      <c r="D32" s="55" t="s">
        <v>59</v>
      </c>
      <c r="E32" s="56" t="s">
        <v>59</v>
      </c>
      <c r="F32" s="90">
        <f t="shared" ref="F32:O32" si="9">SUM(F23:F31)</f>
        <v>354</v>
      </c>
      <c r="G32" s="57">
        <f t="shared" si="9"/>
        <v>68</v>
      </c>
      <c r="H32" s="55">
        <f t="shared" si="9"/>
        <v>54</v>
      </c>
      <c r="I32" s="56">
        <f t="shared" si="9"/>
        <v>171</v>
      </c>
      <c r="J32" s="90">
        <f t="shared" si="9"/>
        <v>74</v>
      </c>
      <c r="K32" s="57">
        <f t="shared" si="9"/>
        <v>364</v>
      </c>
      <c r="L32" s="55">
        <f t="shared" si="9"/>
        <v>0</v>
      </c>
      <c r="M32" s="56">
        <f t="shared" si="9"/>
        <v>0</v>
      </c>
      <c r="N32" s="90">
        <f t="shared" si="9"/>
        <v>0</v>
      </c>
      <c r="O32" s="57">
        <f t="shared" si="9"/>
        <v>0</v>
      </c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</row>
    <row r="33" ht="24.75" customHeight="1" spans="1:32">
      <c r="A33" s="58"/>
      <c r="B33" s="58"/>
      <c r="C33" s="54" t="s">
        <v>31</v>
      </c>
      <c r="D33" s="59" t="s">
        <v>59</v>
      </c>
      <c r="E33" s="60" t="s">
        <v>59</v>
      </c>
      <c r="F33" s="61">
        <f t="shared" ref="F33:O33" si="10">F32*40</f>
        <v>14160</v>
      </c>
      <c r="G33" s="62">
        <f t="shared" si="10"/>
        <v>2720</v>
      </c>
      <c r="H33" s="59">
        <f t="shared" si="10"/>
        <v>2160</v>
      </c>
      <c r="I33" s="60">
        <f t="shared" si="10"/>
        <v>6840</v>
      </c>
      <c r="J33" s="61">
        <f t="shared" si="10"/>
        <v>2960</v>
      </c>
      <c r="K33" s="62">
        <f t="shared" si="10"/>
        <v>14560</v>
      </c>
      <c r="L33" s="59">
        <f t="shared" si="10"/>
        <v>0</v>
      </c>
      <c r="M33" s="60">
        <f t="shared" si="10"/>
        <v>0</v>
      </c>
      <c r="N33" s="61">
        <f t="shared" si="10"/>
        <v>0</v>
      </c>
      <c r="O33" s="62">
        <f t="shared" si="10"/>
        <v>0</v>
      </c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</row>
    <row r="34" ht="56.25" customHeight="1" spans="1:32">
      <c r="A34" s="58"/>
      <c r="C34" s="63" t="s">
        <v>37</v>
      </c>
      <c r="D34" s="64"/>
      <c r="E34" s="64"/>
      <c r="F34" s="65" t="s">
        <v>65</v>
      </c>
      <c r="G34" s="66"/>
      <c r="H34" s="66"/>
      <c r="I34" s="66"/>
      <c r="J34" s="66"/>
      <c r="K34" s="66"/>
      <c r="L34" s="66"/>
      <c r="M34" s="66"/>
      <c r="N34" s="66"/>
      <c r="O34" s="66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</row>
    <row r="35" customHeight="1" spans="4:32">
      <c r="D35" s="67"/>
      <c r="E35" s="67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</row>
    <row r="36" customHeight="1" spans="2:32">
      <c r="B36" s="69" t="s">
        <v>32</v>
      </c>
      <c r="C36" s="70"/>
      <c r="D36" s="67"/>
      <c r="E36" s="67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</row>
    <row r="37" ht="18.75" customHeight="1" spans="2:32">
      <c r="B37" s="71" t="s">
        <v>33</v>
      </c>
      <c r="C37" s="72" t="s">
        <v>66</v>
      </c>
      <c r="D37" s="67"/>
      <c r="E37" s="67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</row>
    <row r="38" ht="17.25" customHeight="1" spans="2:32">
      <c r="B38" s="71" t="s">
        <v>34</v>
      </c>
      <c r="C38" s="72" t="s">
        <v>67</v>
      </c>
      <c r="D38" s="67"/>
      <c r="E38" s="67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</row>
    <row r="39" customHeight="1" spans="1:32">
      <c r="A39" s="58"/>
      <c r="B39" s="71" t="s">
        <v>35</v>
      </c>
      <c r="C39" s="72" t="s">
        <v>68</v>
      </c>
      <c r="D39" s="67"/>
      <c r="E39" s="67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</row>
    <row r="40" customHeight="1" spans="1:32">
      <c r="A40" s="58"/>
      <c r="B40" s="71" t="s">
        <v>36</v>
      </c>
      <c r="C40" s="72" t="s">
        <v>69</v>
      </c>
      <c r="D40" s="67"/>
      <c r="E40" s="67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</row>
    <row r="41" customHeight="1" spans="1:32">
      <c r="A41" s="58"/>
      <c r="B41" s="58"/>
      <c r="C41" s="58"/>
      <c r="D41" s="67"/>
      <c r="E41" s="67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</row>
    <row r="42" customHeight="1" spans="1:32">
      <c r="A42" s="58"/>
      <c r="B42" s="58"/>
      <c r="C42" s="58"/>
      <c r="D42" s="73">
        <v>2022</v>
      </c>
      <c r="E42" s="3"/>
      <c r="F42" s="3"/>
      <c r="G42" s="4"/>
      <c r="H42" s="74">
        <v>2023</v>
      </c>
      <c r="I42" s="3"/>
      <c r="J42" s="3"/>
      <c r="K42" s="4"/>
      <c r="L42" s="74">
        <v>2024</v>
      </c>
      <c r="M42" s="3"/>
      <c r="N42" s="3"/>
      <c r="O42" s="4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91"/>
      <c r="AE42" s="91"/>
      <c r="AF42" s="91"/>
    </row>
    <row r="43" ht="23.25" customHeight="1" spans="3:32">
      <c r="C43" s="58"/>
      <c r="D43" s="75" t="s">
        <v>42</v>
      </c>
      <c r="E43" s="76" t="s">
        <v>43</v>
      </c>
      <c r="F43" s="77" t="s">
        <v>44</v>
      </c>
      <c r="G43" s="78" t="s">
        <v>45</v>
      </c>
      <c r="H43" s="79" t="s">
        <v>46</v>
      </c>
      <c r="I43" s="76" t="s">
        <v>47</v>
      </c>
      <c r="J43" s="77" t="s">
        <v>48</v>
      </c>
      <c r="K43" s="78" t="s">
        <v>49</v>
      </c>
      <c r="L43" s="79" t="s">
        <v>50</v>
      </c>
      <c r="M43" s="76" t="s">
        <v>51</v>
      </c>
      <c r="N43" s="77" t="s">
        <v>52</v>
      </c>
      <c r="O43" s="78" t="s">
        <v>53</v>
      </c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</row>
    <row r="44" ht="14.25" customHeight="1" spans="3:32">
      <c r="C44" s="52" t="s">
        <v>11</v>
      </c>
      <c r="D44" s="11">
        <v>0</v>
      </c>
      <c r="E44" s="11">
        <v>0</v>
      </c>
      <c r="F44" s="11">
        <f t="shared" ref="F44:O44" si="11">F23/5*100</f>
        <v>0</v>
      </c>
      <c r="G44" s="11">
        <f t="shared" si="11"/>
        <v>0</v>
      </c>
      <c r="H44" s="11">
        <f t="shared" si="11"/>
        <v>0</v>
      </c>
      <c r="I44" s="11">
        <f t="shared" si="11"/>
        <v>0</v>
      </c>
      <c r="J44" s="11">
        <f t="shared" si="11"/>
        <v>0</v>
      </c>
      <c r="K44" s="11">
        <f t="shared" si="11"/>
        <v>0</v>
      </c>
      <c r="L44" s="11">
        <f t="shared" si="11"/>
        <v>0</v>
      </c>
      <c r="M44" s="11">
        <f t="shared" si="11"/>
        <v>0</v>
      </c>
      <c r="N44" s="11">
        <f t="shared" si="11"/>
        <v>0</v>
      </c>
      <c r="O44" s="11">
        <f t="shared" si="11"/>
        <v>0</v>
      </c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</row>
    <row r="45" ht="14.25" customHeight="1" spans="3:32">
      <c r="C45" s="44" t="s">
        <v>13</v>
      </c>
      <c r="D45" s="11">
        <v>0</v>
      </c>
      <c r="E45" s="11">
        <v>0</v>
      </c>
      <c r="F45" s="11">
        <f t="shared" ref="F45:O45" si="12">F24/5*100</f>
        <v>0</v>
      </c>
      <c r="G45" s="11">
        <f t="shared" si="12"/>
        <v>0</v>
      </c>
      <c r="H45" s="11">
        <f t="shared" si="12"/>
        <v>0</v>
      </c>
      <c r="I45" s="11">
        <f t="shared" si="12"/>
        <v>0</v>
      </c>
      <c r="J45" s="11">
        <f t="shared" si="12"/>
        <v>0</v>
      </c>
      <c r="K45" s="11">
        <f t="shared" si="12"/>
        <v>0</v>
      </c>
      <c r="L45" s="11">
        <f t="shared" si="12"/>
        <v>0</v>
      </c>
      <c r="M45" s="11">
        <f t="shared" si="12"/>
        <v>0</v>
      </c>
      <c r="N45" s="11">
        <f t="shared" si="12"/>
        <v>0</v>
      </c>
      <c r="O45" s="11">
        <f t="shared" si="12"/>
        <v>0</v>
      </c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</row>
    <row r="46" ht="14.25" customHeight="1" spans="3:32">
      <c r="C46" s="52" t="s">
        <v>28</v>
      </c>
      <c r="D46" s="11">
        <v>0</v>
      </c>
      <c r="E46" s="11">
        <v>0</v>
      </c>
      <c r="F46" s="11">
        <f>F25/5*100</f>
        <v>140</v>
      </c>
      <c r="G46" s="11">
        <f t="shared" ref="F46:O46" si="13">G25/5*100</f>
        <v>160</v>
      </c>
      <c r="H46" s="11">
        <f t="shared" si="13"/>
        <v>160</v>
      </c>
      <c r="I46" s="11">
        <f t="shared" si="13"/>
        <v>200</v>
      </c>
      <c r="J46" s="11">
        <f t="shared" si="13"/>
        <v>0</v>
      </c>
      <c r="K46" s="11">
        <f t="shared" si="13"/>
        <v>2080</v>
      </c>
      <c r="L46" s="11">
        <f t="shared" si="13"/>
        <v>0</v>
      </c>
      <c r="M46" s="11">
        <f t="shared" si="13"/>
        <v>0</v>
      </c>
      <c r="N46" s="11">
        <f t="shared" si="13"/>
        <v>0</v>
      </c>
      <c r="O46" s="11">
        <f t="shared" si="13"/>
        <v>0</v>
      </c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</row>
    <row r="47" ht="14.25" customHeight="1" spans="3:32">
      <c r="C47" s="44" t="s">
        <v>15</v>
      </c>
      <c r="D47" s="11">
        <v>0</v>
      </c>
      <c r="E47" s="11">
        <v>0</v>
      </c>
      <c r="F47" s="11">
        <f t="shared" ref="F47:O47" si="14">F26/5*100</f>
        <v>140</v>
      </c>
      <c r="G47" s="11">
        <f t="shared" si="14"/>
        <v>160</v>
      </c>
      <c r="H47" s="11">
        <f t="shared" si="14"/>
        <v>160</v>
      </c>
      <c r="I47" s="11">
        <f t="shared" si="14"/>
        <v>360</v>
      </c>
      <c r="J47" s="11">
        <f t="shared" si="14"/>
        <v>0</v>
      </c>
      <c r="K47" s="11">
        <f t="shared" si="14"/>
        <v>0</v>
      </c>
      <c r="L47" s="11">
        <f t="shared" si="14"/>
        <v>0</v>
      </c>
      <c r="M47" s="11">
        <f t="shared" si="14"/>
        <v>0</v>
      </c>
      <c r="N47" s="11">
        <f t="shared" si="14"/>
        <v>0</v>
      </c>
      <c r="O47" s="11">
        <f t="shared" si="14"/>
        <v>0</v>
      </c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</row>
    <row r="48" ht="14.25" customHeight="1" spans="3:32">
      <c r="C48" s="52" t="s">
        <v>17</v>
      </c>
      <c r="D48" s="11">
        <v>0</v>
      </c>
      <c r="E48" s="11">
        <v>0</v>
      </c>
      <c r="F48" s="11">
        <f t="shared" ref="F48:O48" si="15">F27/5*100</f>
        <v>200</v>
      </c>
      <c r="G48" s="11">
        <f t="shared" si="15"/>
        <v>0</v>
      </c>
      <c r="H48" s="11">
        <f t="shared" si="15"/>
        <v>120</v>
      </c>
      <c r="I48" s="11">
        <f t="shared" si="15"/>
        <v>180</v>
      </c>
      <c r="J48" s="11">
        <f t="shared" si="15"/>
        <v>40</v>
      </c>
      <c r="K48" s="11">
        <f t="shared" si="15"/>
        <v>0</v>
      </c>
      <c r="L48" s="11">
        <f t="shared" si="15"/>
        <v>0</v>
      </c>
      <c r="M48" s="11">
        <f t="shared" si="15"/>
        <v>0</v>
      </c>
      <c r="N48" s="11">
        <f t="shared" si="15"/>
        <v>0</v>
      </c>
      <c r="O48" s="11">
        <f t="shared" si="15"/>
        <v>0</v>
      </c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</row>
    <row r="49" ht="14.25" customHeight="1" spans="3:32">
      <c r="C49" s="44" t="s">
        <v>19</v>
      </c>
      <c r="D49" s="11">
        <v>0</v>
      </c>
      <c r="E49" s="11">
        <v>0</v>
      </c>
      <c r="F49" s="11">
        <f t="shared" ref="F49:O49" si="16">F28/5*100</f>
        <v>280</v>
      </c>
      <c r="G49" s="11">
        <f t="shared" si="16"/>
        <v>180</v>
      </c>
      <c r="H49" s="11">
        <f t="shared" si="16"/>
        <v>260</v>
      </c>
      <c r="I49" s="11">
        <f t="shared" si="16"/>
        <v>220</v>
      </c>
      <c r="J49" s="11">
        <f t="shared" si="16"/>
        <v>160</v>
      </c>
      <c r="K49" s="11">
        <f t="shared" si="16"/>
        <v>1380</v>
      </c>
      <c r="L49" s="11">
        <f t="shared" si="16"/>
        <v>0</v>
      </c>
      <c r="M49" s="11">
        <f t="shared" si="16"/>
        <v>0</v>
      </c>
      <c r="N49" s="11">
        <f t="shared" si="16"/>
        <v>0</v>
      </c>
      <c r="O49" s="11">
        <f t="shared" si="16"/>
        <v>0</v>
      </c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</row>
    <row r="50" ht="14.25" customHeight="1" spans="3:32">
      <c r="C50" s="52" t="s">
        <v>21</v>
      </c>
      <c r="D50" s="11">
        <v>0</v>
      </c>
      <c r="E50" s="11">
        <v>0</v>
      </c>
      <c r="F50" s="11">
        <f t="shared" ref="F50:O50" si="17">F29/5*100</f>
        <v>6200</v>
      </c>
      <c r="G50" s="11">
        <f t="shared" si="17"/>
        <v>840</v>
      </c>
      <c r="H50" s="11">
        <f t="shared" si="17"/>
        <v>380</v>
      </c>
      <c r="I50" s="11">
        <f t="shared" si="17"/>
        <v>1700</v>
      </c>
      <c r="J50" s="11">
        <f t="shared" si="17"/>
        <v>1080</v>
      </c>
      <c r="K50" s="11">
        <f t="shared" si="17"/>
        <v>3820</v>
      </c>
      <c r="L50" s="11">
        <f t="shared" si="17"/>
        <v>0</v>
      </c>
      <c r="M50" s="11">
        <f t="shared" si="17"/>
        <v>0</v>
      </c>
      <c r="N50" s="11">
        <f t="shared" si="17"/>
        <v>0</v>
      </c>
      <c r="O50" s="11">
        <f t="shared" si="17"/>
        <v>0</v>
      </c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</row>
    <row r="51" ht="14.25" customHeight="1" spans="3:32">
      <c r="C51" s="44" t="s">
        <v>23</v>
      </c>
      <c r="D51" s="11">
        <v>0</v>
      </c>
      <c r="E51" s="11">
        <v>0</v>
      </c>
      <c r="F51" s="11">
        <f t="shared" ref="F51:O51" si="18">F30/5*100</f>
        <v>0</v>
      </c>
      <c r="G51" s="11">
        <f t="shared" si="18"/>
        <v>0</v>
      </c>
      <c r="H51" s="11">
        <f t="shared" si="18"/>
        <v>0</v>
      </c>
      <c r="I51" s="11">
        <f t="shared" si="18"/>
        <v>580</v>
      </c>
      <c r="J51" s="11">
        <f t="shared" si="18"/>
        <v>60</v>
      </c>
      <c r="K51" s="11">
        <f t="shared" si="18"/>
        <v>0</v>
      </c>
      <c r="L51" s="11">
        <f t="shared" si="18"/>
        <v>0</v>
      </c>
      <c r="M51" s="11">
        <f t="shared" si="18"/>
        <v>0</v>
      </c>
      <c r="N51" s="11">
        <f t="shared" si="18"/>
        <v>0</v>
      </c>
      <c r="O51" s="11">
        <f t="shared" si="18"/>
        <v>0</v>
      </c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</row>
    <row r="52" ht="14.25" customHeight="1" spans="3:32">
      <c r="C52" s="52" t="s">
        <v>25</v>
      </c>
      <c r="D52" s="11">
        <v>0</v>
      </c>
      <c r="E52" s="11">
        <v>0</v>
      </c>
      <c r="F52" s="11">
        <f t="shared" ref="F52:O52" si="19">F31/5*100</f>
        <v>120</v>
      </c>
      <c r="G52" s="11">
        <f t="shared" si="19"/>
        <v>20</v>
      </c>
      <c r="H52" s="11">
        <f t="shared" si="19"/>
        <v>0</v>
      </c>
      <c r="I52" s="11">
        <f t="shared" si="19"/>
        <v>180</v>
      </c>
      <c r="J52" s="11">
        <f t="shared" si="19"/>
        <v>140</v>
      </c>
      <c r="K52" s="11">
        <f t="shared" si="19"/>
        <v>0</v>
      </c>
      <c r="L52" s="11">
        <f t="shared" si="19"/>
        <v>0</v>
      </c>
      <c r="M52" s="11">
        <f t="shared" si="19"/>
        <v>0</v>
      </c>
      <c r="N52" s="11">
        <f t="shared" si="19"/>
        <v>0</v>
      </c>
      <c r="O52" s="11">
        <f t="shared" si="19"/>
        <v>0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</row>
    <row r="53" ht="14.25" customHeight="1" spans="16:32"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</row>
    <row r="54" ht="14.25" customHeight="1" spans="4:32"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</row>
    <row r="55" ht="14.25" customHeight="1" spans="4:32"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</row>
    <row r="56" ht="14.25" customHeight="1" spans="4:32"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68"/>
      <c r="AE56" s="68"/>
      <c r="AF56" s="68"/>
    </row>
    <row r="57" ht="14.25" customHeight="1" spans="4:32"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  <c r="AC57" s="68"/>
      <c r="AD57" s="68"/>
      <c r="AE57" s="68"/>
      <c r="AF57" s="68"/>
    </row>
    <row r="58" ht="14.25" customHeight="1" spans="4:32"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  <c r="AE58" s="68"/>
      <c r="AF58" s="68"/>
    </row>
    <row r="59" ht="14.25" customHeight="1" spans="4:32"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8"/>
    </row>
    <row r="60" ht="14.25" customHeight="1" spans="4:32"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  <c r="AB60" s="68"/>
      <c r="AC60" s="68"/>
      <c r="AD60" s="68"/>
      <c r="AE60" s="68"/>
      <c r="AF60" s="68"/>
    </row>
    <row r="61" ht="14.25" customHeight="1" spans="4:32"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  <c r="AB61" s="68"/>
      <c r="AC61" s="68"/>
      <c r="AD61" s="68"/>
      <c r="AE61" s="68"/>
      <c r="AF61" s="68"/>
    </row>
    <row r="62" ht="14.25" customHeight="1" spans="4:32"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  <c r="AB62" s="68"/>
      <c r="AC62" s="68"/>
      <c r="AD62" s="68"/>
      <c r="AE62" s="68"/>
      <c r="AF62" s="68"/>
    </row>
    <row r="63" ht="14.25" customHeight="1" spans="4:32"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</row>
    <row r="64" ht="14.25" customHeight="1" spans="4:32"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  <c r="AB64" s="68"/>
      <c r="AC64" s="68"/>
      <c r="AD64" s="68"/>
      <c r="AE64" s="68"/>
      <c r="AF64" s="68"/>
    </row>
    <row r="65" ht="14.25" customHeight="1" spans="4:32"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</row>
    <row r="66" ht="14.25" customHeight="1" spans="4:32"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</row>
    <row r="67" ht="14.25" customHeight="1" spans="4:32"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  <c r="AB67" s="68"/>
      <c r="AC67" s="68"/>
      <c r="AD67" s="68"/>
      <c r="AE67" s="68"/>
      <c r="AF67" s="68"/>
    </row>
    <row r="68" ht="14.25" customHeight="1" spans="4:32"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</row>
    <row r="69" ht="14.25" customHeight="1" spans="4:32"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</row>
    <row r="70" ht="14.25" customHeight="1" spans="4:32"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  <c r="AB70" s="68"/>
      <c r="AC70" s="68"/>
      <c r="AD70" s="68"/>
      <c r="AE70" s="68"/>
      <c r="AF70" s="68"/>
    </row>
    <row r="71" ht="14.25" customHeight="1" spans="4:32"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  <c r="AB71" s="68"/>
      <c r="AC71" s="68"/>
      <c r="AD71" s="68"/>
      <c r="AE71" s="68"/>
      <c r="AF71" s="68"/>
    </row>
    <row r="72" ht="14.25" customHeight="1" spans="4:32"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  <c r="AB72" s="68"/>
      <c r="AC72" s="68"/>
      <c r="AD72" s="68"/>
      <c r="AE72" s="68"/>
      <c r="AF72" s="68"/>
    </row>
    <row r="73" ht="14.25" customHeight="1" spans="4:32"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  <c r="AE73" s="68"/>
      <c r="AF73" s="68"/>
    </row>
    <row r="74" ht="14.25" customHeight="1" spans="4:32"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  <c r="AB74" s="68"/>
      <c r="AC74" s="68"/>
      <c r="AD74" s="68"/>
      <c r="AE74" s="68"/>
      <c r="AF74" s="68"/>
    </row>
    <row r="75" ht="14.25" customHeight="1" spans="4:32"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68"/>
      <c r="AC75" s="68"/>
      <c r="AD75" s="68"/>
      <c r="AE75" s="68"/>
      <c r="AF75" s="68"/>
    </row>
    <row r="76" ht="14.25" customHeight="1" spans="4:32"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</row>
    <row r="77" ht="14.25" customHeight="1" spans="4:32"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</row>
    <row r="78" ht="14.25" customHeight="1" spans="4:32"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  <c r="AC78" s="68"/>
      <c r="AD78" s="68"/>
      <c r="AE78" s="68"/>
      <c r="AF78" s="68"/>
    </row>
    <row r="79" ht="14.25" customHeight="1" spans="4:32"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</row>
    <row r="80" ht="14.25" customHeight="1" spans="4:32"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</row>
    <row r="81" ht="14.25" customHeight="1" spans="4:32"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  <c r="AB81" s="68"/>
      <c r="AC81" s="68"/>
      <c r="AD81" s="68"/>
      <c r="AE81" s="68"/>
      <c r="AF81" s="68"/>
    </row>
    <row r="82" ht="14.25" customHeight="1" spans="4:32"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</row>
    <row r="83" ht="14.25" customHeight="1" spans="4:32"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</row>
    <row r="84" ht="14.25" customHeight="1" spans="4:32"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</row>
    <row r="85" ht="14.25" customHeight="1" spans="4:32"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</row>
    <row r="86" ht="14.25" customHeight="1" spans="4:32"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</row>
    <row r="87" ht="14.25" customHeight="1" spans="4:32"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</row>
    <row r="88" ht="14.25" customHeight="1" spans="4:32"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</row>
    <row r="89" ht="14.25" customHeight="1" spans="4:32"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</row>
    <row r="90" ht="14.25" customHeight="1" spans="4:32"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</row>
    <row r="91" ht="14.25" customHeight="1" spans="4:32"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</row>
    <row r="92" ht="14.25" customHeight="1" spans="4:32"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</row>
    <row r="93" ht="14.25" customHeight="1" spans="4:32"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</row>
    <row r="94" ht="14.25" customHeight="1" spans="4:32"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</row>
    <row r="95" ht="14.25" customHeight="1" spans="4:32"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</row>
    <row r="96" ht="14.25" customHeight="1" spans="4:32"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</row>
    <row r="97" ht="14.25" customHeight="1" spans="4:32"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</row>
    <row r="98" ht="14.25" customHeight="1" spans="4:32"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</row>
    <row r="99" ht="14.25" customHeight="1" spans="4:32"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</row>
    <row r="100" ht="14.25" customHeight="1" spans="4:32"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</row>
    <row r="101" ht="14.25" customHeight="1" spans="4:32"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</row>
    <row r="102" ht="14.25" customHeight="1" spans="4:32"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</row>
    <row r="103" ht="14.25" customHeight="1" spans="4:32"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</row>
    <row r="104" ht="14.25" customHeight="1" spans="4:32"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</row>
    <row r="105" ht="14.25" customHeight="1" spans="4:32"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</row>
    <row r="106" ht="14.25" customHeight="1" spans="4:32"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</row>
    <row r="107" ht="14.25" customHeight="1" spans="4:32"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</row>
    <row r="108" ht="14.25" customHeight="1" spans="4:32"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</row>
    <row r="109" ht="14.25" customHeight="1" spans="4:32"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/>
    </row>
    <row r="110" ht="14.25" customHeight="1" spans="4:32"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8"/>
      <c r="AB110" s="68"/>
      <c r="AC110" s="68"/>
      <c r="AD110" s="68"/>
      <c r="AE110" s="68"/>
      <c r="AF110" s="68"/>
    </row>
    <row r="111" ht="14.25" customHeight="1" spans="4:32"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</row>
    <row r="112" ht="14.25" customHeight="1" spans="4:32"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68"/>
      <c r="AB112" s="68"/>
      <c r="AC112" s="68"/>
      <c r="AD112" s="68"/>
      <c r="AE112" s="68"/>
      <c r="AF112" s="68"/>
    </row>
    <row r="113" ht="14.25" customHeight="1" spans="4:7">
      <c r="D113" s="93"/>
      <c r="E113" s="94"/>
      <c r="F113" s="95"/>
      <c r="G113" s="96"/>
    </row>
    <row r="114" ht="14.25" customHeight="1" spans="4:7">
      <c r="D114" s="93"/>
      <c r="E114" s="94"/>
      <c r="F114" s="95"/>
      <c r="G114" s="96"/>
    </row>
    <row r="115" ht="14.25" customHeight="1" spans="4:7">
      <c r="D115" s="93"/>
      <c r="E115" s="94"/>
      <c r="F115" s="95"/>
      <c r="G115" s="96"/>
    </row>
    <row r="116" ht="14.25" customHeight="1" spans="4:7">
      <c r="D116" s="93"/>
      <c r="E116" s="94"/>
      <c r="F116" s="95"/>
      <c r="G116" s="96"/>
    </row>
    <row r="117" ht="14.25" customHeight="1" spans="4:7">
      <c r="D117" s="93"/>
      <c r="E117" s="94"/>
      <c r="F117" s="95"/>
      <c r="G117" s="96"/>
    </row>
    <row r="118" ht="14.25" customHeight="1" spans="4:7">
      <c r="D118" s="93"/>
      <c r="E118" s="94"/>
      <c r="F118" s="95"/>
      <c r="G118" s="96"/>
    </row>
    <row r="119" ht="14.25" customHeight="1" spans="4:7">
      <c r="D119" s="93"/>
      <c r="E119" s="94"/>
      <c r="F119" s="95"/>
      <c r="G119" s="96"/>
    </row>
    <row r="120" ht="14.25" customHeight="1" spans="4:7">
      <c r="D120" s="93"/>
      <c r="E120" s="94"/>
      <c r="F120" s="95"/>
      <c r="G120" s="96"/>
    </row>
    <row r="121" ht="14.25" customHeight="1" spans="4:7">
      <c r="D121" s="93"/>
      <c r="E121" s="94"/>
      <c r="F121" s="95"/>
      <c r="G121" s="96"/>
    </row>
    <row r="122" ht="14.25" customHeight="1" spans="4:7">
      <c r="D122" s="93"/>
      <c r="E122" s="94"/>
      <c r="F122" s="95"/>
      <c r="G122" s="96"/>
    </row>
    <row r="123" ht="14.25" customHeight="1" spans="4:7">
      <c r="D123" s="93"/>
      <c r="E123" s="94"/>
      <c r="F123" s="95"/>
      <c r="G123" s="96"/>
    </row>
    <row r="124" ht="14.25" customHeight="1" spans="4:7">
      <c r="D124" s="93"/>
      <c r="E124" s="94"/>
      <c r="F124" s="95"/>
      <c r="G124" s="96"/>
    </row>
    <row r="125" ht="14.25" customHeight="1" spans="4:7">
      <c r="D125" s="93"/>
      <c r="E125" s="94"/>
      <c r="F125" s="95"/>
      <c r="G125" s="96"/>
    </row>
    <row r="126" ht="14.25" customHeight="1" spans="4:7">
      <c r="D126" s="93"/>
      <c r="E126" s="94"/>
      <c r="F126" s="95"/>
      <c r="G126" s="96"/>
    </row>
    <row r="127" ht="14.25" customHeight="1" spans="4:7">
      <c r="D127" s="93"/>
      <c r="E127" s="94"/>
      <c r="F127" s="95"/>
      <c r="G127" s="96"/>
    </row>
    <row r="128" ht="14.25" customHeight="1" spans="4:7">
      <c r="D128" s="93"/>
      <c r="E128" s="94"/>
      <c r="F128" s="95"/>
      <c r="G128" s="96"/>
    </row>
    <row r="129" ht="14.25" customHeight="1" spans="4:7">
      <c r="D129" s="93"/>
      <c r="E129" s="94"/>
      <c r="F129" s="95"/>
      <c r="G129" s="96"/>
    </row>
    <row r="130" ht="14.25" customHeight="1" spans="4:7">
      <c r="D130" s="93"/>
      <c r="E130" s="94"/>
      <c r="F130" s="95"/>
      <c r="G130" s="96"/>
    </row>
    <row r="131" ht="14.25" customHeight="1" spans="4:7">
      <c r="D131" s="93"/>
      <c r="E131" s="94"/>
      <c r="F131" s="95"/>
      <c r="G131" s="96"/>
    </row>
    <row r="132" ht="14.25" customHeight="1" spans="4:7">
      <c r="D132" s="93"/>
      <c r="E132" s="94"/>
      <c r="F132" s="95"/>
      <c r="G132" s="96"/>
    </row>
    <row r="133" ht="14.25" customHeight="1" spans="4:7">
      <c r="D133" s="93"/>
      <c r="E133" s="94"/>
      <c r="F133" s="95"/>
      <c r="G133" s="96"/>
    </row>
    <row r="134" ht="14.25" customHeight="1" spans="4:7">
      <c r="D134" s="93"/>
      <c r="E134" s="94"/>
      <c r="F134" s="95"/>
      <c r="G134" s="96"/>
    </row>
    <row r="135" ht="14.25" customHeight="1" spans="4:7">
      <c r="D135" s="93"/>
      <c r="E135" s="94"/>
      <c r="F135" s="95"/>
      <c r="G135" s="96"/>
    </row>
    <row r="136" ht="14.25" customHeight="1" spans="4:7">
      <c r="D136" s="93"/>
      <c r="E136" s="94"/>
      <c r="F136" s="95"/>
      <c r="G136" s="96"/>
    </row>
    <row r="137" ht="14.25" customHeight="1" spans="4:7">
      <c r="D137" s="93"/>
      <c r="E137" s="94"/>
      <c r="F137" s="95"/>
      <c r="G137" s="96"/>
    </row>
    <row r="138" ht="14.25" customHeight="1" spans="4:7">
      <c r="D138" s="93"/>
      <c r="E138" s="94"/>
      <c r="F138" s="95"/>
      <c r="G138" s="96"/>
    </row>
    <row r="139" ht="14.25" customHeight="1" spans="4:7">
      <c r="D139" s="93"/>
      <c r="E139" s="94"/>
      <c r="F139" s="95"/>
      <c r="G139" s="96"/>
    </row>
    <row r="140" ht="14.25" customHeight="1" spans="4:7">
      <c r="D140" s="93"/>
      <c r="E140" s="94"/>
      <c r="F140" s="95"/>
      <c r="G140" s="96"/>
    </row>
    <row r="141" ht="14.25" customHeight="1" spans="4:7">
      <c r="D141" s="93"/>
      <c r="E141" s="94"/>
      <c r="F141" s="95"/>
      <c r="G141" s="96"/>
    </row>
    <row r="142" ht="14.25" customHeight="1" spans="4:7">
      <c r="D142" s="93"/>
      <c r="E142" s="94"/>
      <c r="F142" s="95"/>
      <c r="G142" s="96"/>
    </row>
    <row r="143" ht="14.25" customHeight="1" spans="4:7">
      <c r="D143" s="93"/>
      <c r="E143" s="94"/>
      <c r="F143" s="95"/>
      <c r="G143" s="96"/>
    </row>
    <row r="144" ht="14.25" customHeight="1" spans="4:7">
      <c r="D144" s="93"/>
      <c r="E144" s="94"/>
      <c r="F144" s="95"/>
      <c r="G144" s="96"/>
    </row>
    <row r="145" ht="14.25" customHeight="1" spans="4:7">
      <c r="D145" s="93"/>
      <c r="E145" s="94"/>
      <c r="F145" s="95"/>
      <c r="G145" s="96"/>
    </row>
    <row r="146" ht="14.25" customHeight="1" spans="4:7">
      <c r="D146" s="93"/>
      <c r="E146" s="94"/>
      <c r="F146" s="95"/>
      <c r="G146" s="96"/>
    </row>
    <row r="147" ht="14.25" customHeight="1" spans="4:7">
      <c r="D147" s="93"/>
      <c r="E147" s="94"/>
      <c r="F147" s="95"/>
      <c r="G147" s="96"/>
    </row>
    <row r="148" ht="14.25" customHeight="1" spans="4:7">
      <c r="D148" s="93"/>
      <c r="E148" s="94"/>
      <c r="F148" s="95"/>
      <c r="G148" s="96"/>
    </row>
    <row r="149" ht="14.25" customHeight="1" spans="4:7">
      <c r="D149" s="93"/>
      <c r="E149" s="94"/>
      <c r="F149" s="95"/>
      <c r="G149" s="96"/>
    </row>
    <row r="150" ht="14.25" customHeight="1" spans="4:7">
      <c r="D150" s="93"/>
      <c r="E150" s="94"/>
      <c r="F150" s="95"/>
      <c r="G150" s="96"/>
    </row>
    <row r="151" ht="14.25" customHeight="1" spans="4:7">
      <c r="D151" s="93"/>
      <c r="E151" s="94"/>
      <c r="F151" s="95"/>
      <c r="G151" s="96"/>
    </row>
    <row r="152" ht="14.25" customHeight="1" spans="4:7">
      <c r="D152" s="93"/>
      <c r="E152" s="94"/>
      <c r="F152" s="95"/>
      <c r="G152" s="96"/>
    </row>
    <row r="153" ht="14.25" customHeight="1" spans="4:7">
      <c r="D153" s="93"/>
      <c r="E153" s="94"/>
      <c r="F153" s="95"/>
      <c r="G153" s="96"/>
    </row>
    <row r="154" ht="14.25" customHeight="1" spans="4:7">
      <c r="D154" s="93"/>
      <c r="E154" s="94"/>
      <c r="F154" s="95"/>
      <c r="G154" s="96"/>
    </row>
    <row r="155" ht="14.25" customHeight="1" spans="4:7">
      <c r="D155" s="93"/>
      <c r="E155" s="94"/>
      <c r="F155" s="95"/>
      <c r="G155" s="96"/>
    </row>
    <row r="156" ht="14.25" customHeight="1" spans="4:7">
      <c r="D156" s="93"/>
      <c r="E156" s="94"/>
      <c r="F156" s="95"/>
      <c r="G156" s="96"/>
    </row>
    <row r="157" ht="14.25" customHeight="1" spans="4:7">
      <c r="D157" s="93"/>
      <c r="E157" s="94"/>
      <c r="F157" s="95"/>
      <c r="G157" s="96"/>
    </row>
    <row r="158" ht="14.25" customHeight="1" spans="4:7">
      <c r="D158" s="93"/>
      <c r="E158" s="94"/>
      <c r="F158" s="95"/>
      <c r="G158" s="96"/>
    </row>
    <row r="159" ht="14.25" customHeight="1" spans="4:7">
      <c r="D159" s="93"/>
      <c r="E159" s="94"/>
      <c r="F159" s="95"/>
      <c r="G159" s="96"/>
    </row>
    <row r="160" ht="14.25" customHeight="1" spans="4:7">
      <c r="D160" s="93"/>
      <c r="E160" s="94"/>
      <c r="F160" s="95"/>
      <c r="G160" s="96"/>
    </row>
    <row r="161" ht="14.25" customHeight="1" spans="4:7">
      <c r="D161" s="93"/>
      <c r="E161" s="94"/>
      <c r="F161" s="95"/>
      <c r="G161" s="96"/>
    </row>
    <row r="162" ht="14.25" customHeight="1" spans="4:7">
      <c r="D162" s="93"/>
      <c r="E162" s="94"/>
      <c r="F162" s="95"/>
      <c r="G162" s="96"/>
    </row>
    <row r="163" ht="14.25" customHeight="1" spans="4:7">
      <c r="D163" s="93"/>
      <c r="E163" s="94"/>
      <c r="F163" s="95"/>
      <c r="G163" s="96"/>
    </row>
    <row r="164" ht="14.25" customHeight="1" spans="4:7">
      <c r="D164" s="93"/>
      <c r="E164" s="94"/>
      <c r="F164" s="95"/>
      <c r="G164" s="96"/>
    </row>
    <row r="165" ht="14.25" customHeight="1" spans="4:7">
      <c r="D165" s="93"/>
      <c r="E165" s="94"/>
      <c r="F165" s="95"/>
      <c r="G165" s="96"/>
    </row>
    <row r="166" ht="14.25" customHeight="1" spans="4:7">
      <c r="D166" s="93"/>
      <c r="E166" s="94"/>
      <c r="F166" s="95"/>
      <c r="G166" s="96"/>
    </row>
    <row r="167" ht="14.25" customHeight="1" spans="4:7">
      <c r="D167" s="93"/>
      <c r="E167" s="94"/>
      <c r="F167" s="95"/>
      <c r="G167" s="96"/>
    </row>
    <row r="168" ht="14.25" customHeight="1" spans="4:7">
      <c r="D168" s="93"/>
      <c r="E168" s="94"/>
      <c r="F168" s="95"/>
      <c r="G168" s="96"/>
    </row>
    <row r="169" ht="14.25" customHeight="1" spans="4:7">
      <c r="D169" s="93"/>
      <c r="E169" s="94"/>
      <c r="F169" s="95"/>
      <c r="G169" s="96"/>
    </row>
    <row r="170" ht="14.25" customHeight="1" spans="4:7">
      <c r="D170" s="93"/>
      <c r="E170" s="94"/>
      <c r="F170" s="95"/>
      <c r="G170" s="96"/>
    </row>
    <row r="171" ht="14.25" customHeight="1" spans="4:7">
      <c r="D171" s="93"/>
      <c r="E171" s="94"/>
      <c r="F171" s="95"/>
      <c r="G171" s="96"/>
    </row>
    <row r="172" ht="14.25" customHeight="1" spans="4:7">
      <c r="D172" s="93"/>
      <c r="E172" s="94"/>
      <c r="F172" s="95"/>
      <c r="G172" s="96"/>
    </row>
    <row r="173" ht="14.25" customHeight="1" spans="4:7">
      <c r="D173" s="93"/>
      <c r="E173" s="94"/>
      <c r="F173" s="95"/>
      <c r="G173" s="96"/>
    </row>
    <row r="174" ht="14.25" customHeight="1" spans="4:7">
      <c r="D174" s="93"/>
      <c r="E174" s="94"/>
      <c r="F174" s="95"/>
      <c r="G174" s="96"/>
    </row>
    <row r="175" ht="14.25" customHeight="1" spans="4:7">
      <c r="D175" s="93"/>
      <c r="E175" s="94"/>
      <c r="F175" s="95"/>
      <c r="G175" s="96"/>
    </row>
    <row r="176" ht="14.25" customHeight="1" spans="4:7">
      <c r="D176" s="93"/>
      <c r="E176" s="94"/>
      <c r="F176" s="95"/>
      <c r="G176" s="96"/>
    </row>
    <row r="177" ht="14.25" customHeight="1" spans="4:7">
      <c r="D177" s="93"/>
      <c r="E177" s="94"/>
      <c r="F177" s="95"/>
      <c r="G177" s="96"/>
    </row>
    <row r="178" ht="14.25" customHeight="1" spans="4:7">
      <c r="D178" s="93"/>
      <c r="E178" s="94"/>
      <c r="F178" s="95"/>
      <c r="G178" s="96"/>
    </row>
    <row r="179" ht="14.25" customHeight="1" spans="4:7">
      <c r="D179" s="93"/>
      <c r="E179" s="94"/>
      <c r="F179" s="95"/>
      <c r="G179" s="96"/>
    </row>
    <row r="180" ht="14.25" customHeight="1" spans="4:7">
      <c r="D180" s="93"/>
      <c r="E180" s="94"/>
      <c r="F180" s="95"/>
      <c r="G180" s="96"/>
    </row>
    <row r="181" ht="14.25" customHeight="1" spans="4:7">
      <c r="D181" s="93"/>
      <c r="E181" s="94"/>
      <c r="F181" s="95"/>
      <c r="G181" s="96"/>
    </row>
    <row r="182" ht="14.25" customHeight="1" spans="4:7">
      <c r="D182" s="93"/>
      <c r="E182" s="94"/>
      <c r="F182" s="95"/>
      <c r="G182" s="96"/>
    </row>
    <row r="183" ht="14.25" customHeight="1" spans="4:7">
      <c r="D183" s="93"/>
      <c r="E183" s="94"/>
      <c r="F183" s="95"/>
      <c r="G183" s="96"/>
    </row>
    <row r="184" ht="14.25" customHeight="1" spans="4:7">
      <c r="D184" s="93"/>
      <c r="E184" s="94"/>
      <c r="F184" s="95"/>
      <c r="G184" s="96"/>
    </row>
    <row r="185" ht="14.25" customHeight="1" spans="4:7">
      <c r="D185" s="93"/>
      <c r="E185" s="94"/>
      <c r="F185" s="95"/>
      <c r="G185" s="96"/>
    </row>
    <row r="186" ht="14.25" customHeight="1" spans="4:7">
      <c r="D186" s="93"/>
      <c r="E186" s="94"/>
      <c r="F186" s="95"/>
      <c r="G186" s="96"/>
    </row>
    <row r="187" ht="14.25" customHeight="1" spans="4:7">
      <c r="D187" s="93"/>
      <c r="E187" s="94"/>
      <c r="F187" s="95"/>
      <c r="G187" s="96"/>
    </row>
    <row r="188" ht="14.25" customHeight="1" spans="4:7">
      <c r="D188" s="93"/>
      <c r="E188" s="94"/>
      <c r="F188" s="95"/>
      <c r="G188" s="96"/>
    </row>
    <row r="189" ht="14.25" customHeight="1" spans="4:7">
      <c r="D189" s="93"/>
      <c r="E189" s="94"/>
      <c r="F189" s="95"/>
      <c r="G189" s="96"/>
    </row>
    <row r="190" ht="14.25" customHeight="1" spans="4:7">
      <c r="D190" s="93"/>
      <c r="E190" s="94"/>
      <c r="F190" s="95"/>
      <c r="G190" s="96"/>
    </row>
    <row r="191" ht="14.25" customHeight="1" spans="4:7">
      <c r="D191" s="93"/>
      <c r="E191" s="94"/>
      <c r="F191" s="95"/>
      <c r="G191" s="96"/>
    </row>
    <row r="192" ht="14.25" customHeight="1" spans="4:7">
      <c r="D192" s="93"/>
      <c r="E192" s="94"/>
      <c r="F192" s="95"/>
      <c r="G192" s="96"/>
    </row>
    <row r="193" ht="14.25" customHeight="1" spans="4:7">
      <c r="D193" s="93"/>
      <c r="E193" s="94"/>
      <c r="F193" s="95"/>
      <c r="G193" s="96"/>
    </row>
    <row r="194" ht="14.25" customHeight="1" spans="4:7">
      <c r="D194" s="93"/>
      <c r="E194" s="94"/>
      <c r="F194" s="95"/>
      <c r="G194" s="96"/>
    </row>
    <row r="195" ht="14.25" customHeight="1" spans="4:7">
      <c r="D195" s="93"/>
      <c r="E195" s="94"/>
      <c r="F195" s="95"/>
      <c r="G195" s="96"/>
    </row>
    <row r="196" ht="14.25" customHeight="1" spans="4:7">
      <c r="D196" s="93"/>
      <c r="E196" s="94"/>
      <c r="F196" s="95"/>
      <c r="G196" s="96"/>
    </row>
    <row r="197" ht="14.25" customHeight="1" spans="4:7">
      <c r="D197" s="93"/>
      <c r="E197" s="94"/>
      <c r="F197" s="95"/>
      <c r="G197" s="96"/>
    </row>
    <row r="198" ht="14.25" customHeight="1" spans="4:7">
      <c r="D198" s="93"/>
      <c r="E198" s="94"/>
      <c r="F198" s="95"/>
      <c r="G198" s="96"/>
    </row>
    <row r="199" ht="14.25" customHeight="1" spans="4:7">
      <c r="D199" s="93"/>
      <c r="E199" s="94"/>
      <c r="F199" s="95"/>
      <c r="G199" s="96"/>
    </row>
    <row r="200" ht="14.25" customHeight="1" spans="4:7">
      <c r="D200" s="93"/>
      <c r="E200" s="94"/>
      <c r="F200" s="95"/>
      <c r="G200" s="96"/>
    </row>
    <row r="201" ht="14.25" customHeight="1" spans="4:7">
      <c r="D201" s="93"/>
      <c r="E201" s="94"/>
      <c r="F201" s="95"/>
      <c r="G201" s="96"/>
    </row>
    <row r="202" ht="14.25" customHeight="1" spans="4:7">
      <c r="D202" s="93"/>
      <c r="E202" s="94"/>
      <c r="F202" s="95"/>
      <c r="G202" s="96"/>
    </row>
    <row r="203" ht="14.25" customHeight="1" spans="4:7">
      <c r="D203" s="93"/>
      <c r="E203" s="94"/>
      <c r="F203" s="95"/>
      <c r="G203" s="96"/>
    </row>
    <row r="204" ht="14.25" customHeight="1" spans="4:7">
      <c r="D204" s="93"/>
      <c r="E204" s="94"/>
      <c r="F204" s="95"/>
      <c r="G204" s="96"/>
    </row>
    <row r="205" ht="14.25" customHeight="1" spans="4:7">
      <c r="D205" s="93"/>
      <c r="E205" s="94"/>
      <c r="F205" s="95"/>
      <c r="G205" s="96"/>
    </row>
    <row r="206" ht="14.25" customHeight="1" spans="4:7">
      <c r="D206" s="93"/>
      <c r="E206" s="94"/>
      <c r="F206" s="95"/>
      <c r="G206" s="96"/>
    </row>
    <row r="207" ht="14.25" customHeight="1" spans="4:7">
      <c r="D207" s="93"/>
      <c r="E207" s="94"/>
      <c r="F207" s="95"/>
      <c r="G207" s="96"/>
    </row>
    <row r="208" ht="14.25" customHeight="1" spans="4:7">
      <c r="D208" s="93"/>
      <c r="E208" s="94"/>
      <c r="F208" s="95"/>
      <c r="G208" s="96"/>
    </row>
    <row r="209" ht="14.25" customHeight="1" spans="4:7">
      <c r="D209" s="93"/>
      <c r="E209" s="94"/>
      <c r="F209" s="95"/>
      <c r="G209" s="96"/>
    </row>
    <row r="210" ht="14.25" customHeight="1" spans="4:7">
      <c r="D210" s="93"/>
      <c r="E210" s="94"/>
      <c r="F210" s="95"/>
      <c r="G210" s="96"/>
    </row>
    <row r="211" ht="14.25" customHeight="1" spans="4:7">
      <c r="D211" s="93"/>
      <c r="E211" s="94"/>
      <c r="F211" s="95"/>
      <c r="G211" s="96"/>
    </row>
    <row r="212" ht="14.25" customHeight="1" spans="4:7">
      <c r="D212" s="93"/>
      <c r="E212" s="94"/>
      <c r="F212" s="95"/>
      <c r="G212" s="96"/>
    </row>
    <row r="213" ht="14.25" customHeight="1" spans="4:7">
      <c r="D213" s="93"/>
      <c r="E213" s="94"/>
      <c r="F213" s="95"/>
      <c r="G213" s="96"/>
    </row>
    <row r="214" ht="14.25" customHeight="1" spans="4:7">
      <c r="D214" s="93"/>
      <c r="E214" s="94"/>
      <c r="F214" s="95"/>
      <c r="G214" s="96"/>
    </row>
    <row r="215" ht="14.25" customHeight="1" spans="4:7">
      <c r="D215" s="93"/>
      <c r="E215" s="94"/>
      <c r="F215" s="95"/>
      <c r="G215" s="96"/>
    </row>
    <row r="216" ht="14.25" customHeight="1" spans="4:7">
      <c r="D216" s="93"/>
      <c r="E216" s="94"/>
      <c r="F216" s="95"/>
      <c r="G216" s="96"/>
    </row>
    <row r="217" ht="14.25" customHeight="1" spans="4:7">
      <c r="D217" s="93"/>
      <c r="E217" s="94"/>
      <c r="F217" s="95"/>
      <c r="G217" s="96"/>
    </row>
    <row r="218" ht="14.25" customHeight="1" spans="4:7">
      <c r="D218" s="93"/>
      <c r="E218" s="94"/>
      <c r="F218" s="95"/>
      <c r="G218" s="96"/>
    </row>
    <row r="219" ht="14.25" customHeight="1" spans="4:7">
      <c r="D219" s="93"/>
      <c r="E219" s="94"/>
      <c r="F219" s="95"/>
      <c r="G219" s="96"/>
    </row>
    <row r="220" ht="14.25" customHeight="1" spans="4:7">
      <c r="D220" s="93"/>
      <c r="E220" s="94"/>
      <c r="F220" s="95"/>
      <c r="G220" s="96"/>
    </row>
    <row r="221" ht="14.25" customHeight="1" spans="4:7">
      <c r="D221" s="93"/>
      <c r="E221" s="94"/>
      <c r="F221" s="95"/>
      <c r="G221" s="96"/>
    </row>
    <row r="222" ht="14.25" customHeight="1" spans="4:7">
      <c r="D222" s="93"/>
      <c r="E222" s="94"/>
      <c r="F222" s="95"/>
      <c r="G222" s="96"/>
    </row>
    <row r="223" ht="14.25" customHeight="1" spans="4:7">
      <c r="D223" s="93"/>
      <c r="E223" s="94"/>
      <c r="F223" s="95"/>
      <c r="G223" s="96"/>
    </row>
    <row r="224" ht="14.25" customHeight="1" spans="4:7">
      <c r="D224" s="93"/>
      <c r="E224" s="94"/>
      <c r="F224" s="95"/>
      <c r="G224" s="96"/>
    </row>
    <row r="225" ht="14.25" customHeight="1" spans="4:7">
      <c r="D225" s="93"/>
      <c r="E225" s="94"/>
      <c r="F225" s="95"/>
      <c r="G225" s="96"/>
    </row>
    <row r="226" ht="14.25" customHeight="1" spans="4:7">
      <c r="D226" s="93"/>
      <c r="E226" s="94"/>
      <c r="F226" s="95"/>
      <c r="G226" s="96"/>
    </row>
    <row r="227" ht="14.25" customHeight="1" spans="4:7">
      <c r="D227" s="93"/>
      <c r="E227" s="94"/>
      <c r="F227" s="95"/>
      <c r="G227" s="96"/>
    </row>
    <row r="228" ht="14.25" customHeight="1" spans="4:7">
      <c r="D228" s="93"/>
      <c r="E228" s="94"/>
      <c r="F228" s="95"/>
      <c r="G228" s="96"/>
    </row>
    <row r="229" ht="14.25" customHeight="1" spans="4:7">
      <c r="D229" s="93"/>
      <c r="E229" s="94"/>
      <c r="F229" s="95"/>
      <c r="G229" s="96"/>
    </row>
    <row r="230" ht="14.25" customHeight="1" spans="4:7">
      <c r="D230" s="93"/>
      <c r="E230" s="94"/>
      <c r="F230" s="95"/>
      <c r="G230" s="96"/>
    </row>
    <row r="231" ht="14.25" customHeight="1" spans="4:7">
      <c r="D231" s="93"/>
      <c r="E231" s="94"/>
      <c r="F231" s="95"/>
      <c r="G231" s="96"/>
    </row>
    <row r="232" ht="14.25" customHeight="1" spans="4:7">
      <c r="D232" s="93"/>
      <c r="E232" s="94"/>
      <c r="F232" s="95"/>
      <c r="G232" s="96"/>
    </row>
    <row r="233" ht="14.25" customHeight="1" spans="4:7">
      <c r="D233" s="93"/>
      <c r="E233" s="94"/>
      <c r="F233" s="95"/>
      <c r="G233" s="96"/>
    </row>
    <row r="234" ht="14.25" customHeight="1" spans="4:7">
      <c r="D234" s="93"/>
      <c r="E234" s="94"/>
      <c r="F234" s="95"/>
      <c r="G234" s="96"/>
    </row>
    <row r="235" ht="14.25" customHeight="1" spans="4:7">
      <c r="D235" s="93"/>
      <c r="E235" s="94"/>
      <c r="F235" s="95"/>
      <c r="G235" s="96"/>
    </row>
    <row r="236" ht="14.25" customHeight="1" spans="4:7">
      <c r="D236" s="93"/>
      <c r="E236" s="94"/>
      <c r="F236" s="95"/>
      <c r="G236" s="96"/>
    </row>
    <row r="237" ht="14.25" customHeight="1" spans="4:7">
      <c r="D237" s="93"/>
      <c r="E237" s="94"/>
      <c r="F237" s="95"/>
      <c r="G237" s="96"/>
    </row>
    <row r="238" ht="14.25" customHeight="1" spans="4:7">
      <c r="D238" s="93"/>
      <c r="E238" s="94"/>
      <c r="F238" s="95"/>
      <c r="G238" s="96"/>
    </row>
    <row r="239" ht="14.25" customHeight="1" spans="4:7">
      <c r="D239" s="93"/>
      <c r="E239" s="94"/>
      <c r="F239" s="95"/>
      <c r="G239" s="96"/>
    </row>
    <row r="240" ht="14.25" customHeight="1" spans="4:7">
      <c r="D240" s="93"/>
      <c r="E240" s="94"/>
      <c r="F240" s="95"/>
      <c r="G240" s="96"/>
    </row>
    <row r="241" ht="14.25" customHeight="1" spans="4:7">
      <c r="D241" s="93"/>
      <c r="E241" s="94"/>
      <c r="F241" s="95"/>
      <c r="G241" s="96"/>
    </row>
    <row r="242" ht="14.25" customHeight="1" spans="4:7">
      <c r="D242" s="93"/>
      <c r="E242" s="94"/>
      <c r="F242" s="95"/>
      <c r="G242" s="96"/>
    </row>
    <row r="243" ht="14.25" customHeight="1" spans="4:7">
      <c r="D243" s="93"/>
      <c r="E243" s="94"/>
      <c r="F243" s="95"/>
      <c r="G243" s="96"/>
    </row>
    <row r="244" ht="14.25" customHeight="1" spans="4:7">
      <c r="D244" s="93"/>
      <c r="E244" s="94"/>
      <c r="F244" s="95"/>
      <c r="G244" s="96"/>
    </row>
    <row r="245" ht="14.25" customHeight="1" spans="4:7">
      <c r="D245" s="93"/>
      <c r="E245" s="94"/>
      <c r="F245" s="95"/>
      <c r="G245" s="96"/>
    </row>
    <row r="246" ht="14.25" customHeight="1" spans="4:7">
      <c r="D246" s="93"/>
      <c r="E246" s="94"/>
      <c r="F246" s="95"/>
      <c r="G246" s="96"/>
    </row>
    <row r="247" ht="14.25" customHeight="1" spans="4:7">
      <c r="D247" s="93"/>
      <c r="E247" s="94"/>
      <c r="F247" s="95"/>
      <c r="G247" s="96"/>
    </row>
    <row r="248" ht="14.25" customHeight="1" spans="4:7">
      <c r="D248" s="93"/>
      <c r="E248" s="94"/>
      <c r="F248" s="95"/>
      <c r="G248" s="96"/>
    </row>
    <row r="249" ht="14.25" customHeight="1" spans="4:7">
      <c r="D249" s="93"/>
      <c r="E249" s="94"/>
      <c r="F249" s="95"/>
      <c r="G249" s="96"/>
    </row>
    <row r="250" ht="14.25" customHeight="1" spans="4:7">
      <c r="D250" s="93"/>
      <c r="E250" s="94"/>
      <c r="F250" s="95"/>
      <c r="G250" s="96"/>
    </row>
    <row r="251" ht="14.25" customHeight="1" spans="4:7">
      <c r="D251" s="93"/>
      <c r="E251" s="94"/>
      <c r="F251" s="95"/>
      <c r="G251" s="96"/>
    </row>
    <row r="252" ht="14.25" customHeight="1" spans="4:7">
      <c r="D252" s="93"/>
      <c r="E252" s="94"/>
      <c r="F252" s="95"/>
      <c r="G252" s="96"/>
    </row>
    <row r="253" ht="14.25" customHeight="1" spans="4:7">
      <c r="D253" s="93"/>
      <c r="E253" s="94"/>
      <c r="F253" s="95"/>
      <c r="G253" s="96"/>
    </row>
    <row r="254" ht="14.25" customHeight="1" spans="4:7">
      <c r="D254" s="93"/>
      <c r="E254" s="94"/>
      <c r="F254" s="95"/>
      <c r="G254" s="96"/>
    </row>
    <row r="255" ht="14.25" customHeight="1" spans="4:7">
      <c r="D255" s="93"/>
      <c r="E255" s="94"/>
      <c r="F255" s="95"/>
      <c r="G255" s="96"/>
    </row>
    <row r="256" ht="14.25" customHeight="1" spans="4:7">
      <c r="D256" s="93"/>
      <c r="E256" s="94"/>
      <c r="F256" s="95"/>
      <c r="G256" s="96"/>
    </row>
    <row r="257" ht="14.25" customHeight="1" spans="4:7">
      <c r="D257" s="93"/>
      <c r="E257" s="94"/>
      <c r="F257" s="95"/>
      <c r="G257" s="96"/>
    </row>
    <row r="258" ht="14.25" customHeight="1" spans="4:7">
      <c r="D258" s="93"/>
      <c r="E258" s="94"/>
      <c r="F258" s="95"/>
      <c r="G258" s="96"/>
    </row>
    <row r="259" ht="14.25" customHeight="1" spans="4:7">
      <c r="D259" s="93"/>
      <c r="E259" s="94"/>
      <c r="F259" s="95"/>
      <c r="G259" s="96"/>
    </row>
    <row r="260" ht="14.25" customHeight="1" spans="4:7">
      <c r="D260" s="93"/>
      <c r="E260" s="94"/>
      <c r="F260" s="95"/>
      <c r="G260" s="96"/>
    </row>
    <row r="261" ht="14.25" customHeight="1" spans="4:7">
      <c r="D261" s="93"/>
      <c r="E261" s="94"/>
      <c r="F261" s="95"/>
      <c r="G261" s="96"/>
    </row>
    <row r="262" ht="14.25" customHeight="1" spans="4:7">
      <c r="D262" s="93"/>
      <c r="E262" s="94"/>
      <c r="F262" s="95"/>
      <c r="G262" s="96"/>
    </row>
    <row r="263" ht="14.25" customHeight="1" spans="4:7">
      <c r="D263" s="93"/>
      <c r="E263" s="94"/>
      <c r="F263" s="95"/>
      <c r="G263" s="96"/>
    </row>
    <row r="264" ht="14.25" customHeight="1" spans="4:7">
      <c r="D264" s="93"/>
      <c r="E264" s="94"/>
      <c r="F264" s="95"/>
      <c r="G264" s="96"/>
    </row>
    <row r="265" ht="14.25" customHeight="1" spans="4:7">
      <c r="D265" s="93"/>
      <c r="E265" s="94"/>
      <c r="F265" s="95"/>
      <c r="G265" s="96"/>
    </row>
    <row r="266" ht="14.25" customHeight="1" spans="4:7">
      <c r="D266" s="93"/>
      <c r="E266" s="94"/>
      <c r="F266" s="95"/>
      <c r="G266" s="96"/>
    </row>
    <row r="267" ht="14.25" customHeight="1" spans="4:7">
      <c r="D267" s="93"/>
      <c r="E267" s="94"/>
      <c r="F267" s="95"/>
      <c r="G267" s="96"/>
    </row>
    <row r="268" ht="14.25" customHeight="1" spans="4:7">
      <c r="D268" s="93"/>
      <c r="E268" s="94"/>
      <c r="F268" s="95"/>
      <c r="G268" s="96"/>
    </row>
    <row r="269" ht="14.25" customHeight="1" spans="4:7">
      <c r="D269" s="93"/>
      <c r="E269" s="94"/>
      <c r="F269" s="95"/>
      <c r="G269" s="96"/>
    </row>
    <row r="270" ht="14.25" customHeight="1" spans="4:7">
      <c r="D270" s="93"/>
      <c r="E270" s="94"/>
      <c r="F270" s="95"/>
      <c r="G270" s="96"/>
    </row>
    <row r="271" ht="14.25" customHeight="1" spans="4:7">
      <c r="D271" s="93"/>
      <c r="E271" s="94"/>
      <c r="F271" s="95"/>
      <c r="G271" s="96"/>
    </row>
    <row r="272" ht="14.25" customHeight="1" spans="4:7">
      <c r="D272" s="93"/>
      <c r="E272" s="94"/>
      <c r="F272" s="95"/>
      <c r="G272" s="96"/>
    </row>
    <row r="273" ht="14.25" customHeight="1" spans="4:7">
      <c r="D273" s="93"/>
      <c r="E273" s="94"/>
      <c r="F273" s="95"/>
      <c r="G273" s="96"/>
    </row>
    <row r="274" ht="14.25" customHeight="1" spans="4:7">
      <c r="D274" s="93"/>
      <c r="E274" s="94"/>
      <c r="F274" s="95"/>
      <c r="G274" s="96"/>
    </row>
    <row r="275" ht="14.25" customHeight="1" spans="4:7">
      <c r="D275" s="93"/>
      <c r="E275" s="94"/>
      <c r="F275" s="95"/>
      <c r="G275" s="96"/>
    </row>
    <row r="276" ht="14.25" customHeight="1" spans="4:7">
      <c r="D276" s="93"/>
      <c r="E276" s="94"/>
      <c r="F276" s="95"/>
      <c r="G276" s="96"/>
    </row>
    <row r="277" ht="14.25" customHeight="1" spans="4:7">
      <c r="D277" s="93"/>
      <c r="E277" s="94"/>
      <c r="F277" s="95"/>
      <c r="G277" s="96"/>
    </row>
    <row r="278" ht="14.25" customHeight="1" spans="4:7">
      <c r="D278" s="93"/>
      <c r="E278" s="94"/>
      <c r="F278" s="95"/>
      <c r="G278" s="96"/>
    </row>
    <row r="279" ht="14.25" customHeight="1" spans="4:7">
      <c r="D279" s="93"/>
      <c r="E279" s="94"/>
      <c r="F279" s="95"/>
      <c r="G279" s="96"/>
    </row>
    <row r="280" ht="14.25" customHeight="1" spans="4:7">
      <c r="D280" s="93"/>
      <c r="E280" s="94"/>
      <c r="F280" s="95"/>
      <c r="G280" s="96"/>
    </row>
    <row r="281" ht="14.25" customHeight="1" spans="4:7">
      <c r="D281" s="93"/>
      <c r="E281" s="94"/>
      <c r="F281" s="95"/>
      <c r="G281" s="96"/>
    </row>
    <row r="282" ht="14.25" customHeight="1" spans="4:7">
      <c r="D282" s="93"/>
      <c r="E282" s="94"/>
      <c r="F282" s="95"/>
      <c r="G282" s="96"/>
    </row>
    <row r="283" ht="14.25" customHeight="1" spans="4:7">
      <c r="D283" s="93"/>
      <c r="E283" s="94"/>
      <c r="F283" s="95"/>
      <c r="G283" s="96"/>
    </row>
    <row r="284" ht="14.25" customHeight="1" spans="4:7">
      <c r="D284" s="93"/>
      <c r="E284" s="94"/>
      <c r="F284" s="95"/>
      <c r="G284" s="96"/>
    </row>
    <row r="285" ht="14.25" customHeight="1" spans="4:7">
      <c r="D285" s="93"/>
      <c r="E285" s="94"/>
      <c r="F285" s="95"/>
      <c r="G285" s="96"/>
    </row>
    <row r="286" ht="14.25" customHeight="1" spans="4:7">
      <c r="D286" s="93"/>
      <c r="E286" s="94"/>
      <c r="F286" s="95"/>
      <c r="G286" s="96"/>
    </row>
    <row r="287" ht="14.25" customHeight="1" spans="4:7">
      <c r="D287" s="93"/>
      <c r="E287" s="94"/>
      <c r="F287" s="95"/>
      <c r="G287" s="96"/>
    </row>
    <row r="288" ht="14.25" customHeight="1" spans="4:7">
      <c r="D288" s="93"/>
      <c r="E288" s="94"/>
      <c r="F288" s="95"/>
      <c r="G288" s="96"/>
    </row>
    <row r="289" ht="14.25" customHeight="1" spans="4:7">
      <c r="D289" s="93"/>
      <c r="E289" s="94"/>
      <c r="F289" s="95"/>
      <c r="G289" s="96"/>
    </row>
    <row r="290" ht="14.25" customHeight="1" spans="4:7">
      <c r="D290" s="93"/>
      <c r="E290" s="94"/>
      <c r="F290" s="95"/>
      <c r="G290" s="96"/>
    </row>
    <row r="291" ht="14.25" customHeight="1" spans="4:7">
      <c r="D291" s="93"/>
      <c r="E291" s="94"/>
      <c r="F291" s="95"/>
      <c r="G291" s="96"/>
    </row>
    <row r="292" ht="14.25" customHeight="1" spans="4:7">
      <c r="D292" s="93"/>
      <c r="E292" s="94"/>
      <c r="F292" s="95"/>
      <c r="G292" s="96"/>
    </row>
    <row r="293" ht="14.25" customHeight="1" spans="4:7">
      <c r="D293" s="93"/>
      <c r="E293" s="94"/>
      <c r="F293" s="95"/>
      <c r="G293" s="96"/>
    </row>
    <row r="294" ht="14.25" customHeight="1" spans="4:7">
      <c r="D294" s="93"/>
      <c r="E294" s="94"/>
      <c r="F294" s="95"/>
      <c r="G294" s="96"/>
    </row>
    <row r="295" ht="14.25" customHeight="1" spans="4:7">
      <c r="D295" s="93"/>
      <c r="E295" s="94"/>
      <c r="F295" s="95"/>
      <c r="G295" s="96"/>
    </row>
    <row r="296" ht="14.25" customHeight="1" spans="4:7">
      <c r="D296" s="93"/>
      <c r="E296" s="94"/>
      <c r="F296" s="95"/>
      <c r="G296" s="96"/>
    </row>
    <row r="297" ht="14.25" customHeight="1" spans="4:7">
      <c r="D297" s="93"/>
      <c r="E297" s="94"/>
      <c r="F297" s="95"/>
      <c r="G297" s="96"/>
    </row>
    <row r="298" ht="14.25" customHeight="1" spans="4:7">
      <c r="D298" s="93"/>
      <c r="E298" s="94"/>
      <c r="F298" s="95"/>
      <c r="G298" s="96"/>
    </row>
    <row r="299" ht="14.25" customHeight="1" spans="4:7">
      <c r="D299" s="93"/>
      <c r="E299" s="94"/>
      <c r="F299" s="95"/>
      <c r="G299" s="96"/>
    </row>
    <row r="300" ht="14.25" customHeight="1" spans="4:7">
      <c r="D300" s="93"/>
      <c r="E300" s="94"/>
      <c r="F300" s="95"/>
      <c r="G300" s="96"/>
    </row>
    <row r="301" ht="14.25" customHeight="1" spans="4:7">
      <c r="D301" s="93"/>
      <c r="E301" s="94"/>
      <c r="F301" s="95"/>
      <c r="G301" s="96"/>
    </row>
    <row r="302" ht="14.25" customHeight="1" spans="4:7">
      <c r="D302" s="93"/>
      <c r="E302" s="94"/>
      <c r="F302" s="95"/>
      <c r="G302" s="96"/>
    </row>
    <row r="303" ht="14.25" customHeight="1" spans="4:7">
      <c r="D303" s="93"/>
      <c r="E303" s="94"/>
      <c r="F303" s="95"/>
      <c r="G303" s="96"/>
    </row>
    <row r="304" ht="14.25" customHeight="1" spans="4:7">
      <c r="D304" s="93"/>
      <c r="E304" s="94"/>
      <c r="F304" s="95"/>
      <c r="G304" s="96"/>
    </row>
    <row r="305" ht="14.25" customHeight="1" spans="4:7">
      <c r="D305" s="93"/>
      <c r="E305" s="94"/>
      <c r="F305" s="95"/>
      <c r="G305" s="96"/>
    </row>
    <row r="306" ht="14.25" customHeight="1" spans="4:7">
      <c r="D306" s="93"/>
      <c r="E306" s="94"/>
      <c r="F306" s="95"/>
      <c r="G306" s="96"/>
    </row>
    <row r="307" ht="14.25" customHeight="1" spans="4:7">
      <c r="D307" s="93"/>
      <c r="E307" s="94"/>
      <c r="F307" s="95"/>
      <c r="G307" s="96"/>
    </row>
    <row r="308" ht="14.25" customHeight="1" spans="4:7">
      <c r="D308" s="93"/>
      <c r="E308" s="94"/>
      <c r="F308" s="95"/>
      <c r="G308" s="96"/>
    </row>
    <row r="309" ht="14.25" customHeight="1" spans="4:7">
      <c r="D309" s="93"/>
      <c r="E309" s="94"/>
      <c r="F309" s="95"/>
      <c r="G309" s="96"/>
    </row>
    <row r="310" ht="14.25" customHeight="1" spans="4:7">
      <c r="D310" s="93"/>
      <c r="E310" s="94"/>
      <c r="F310" s="95"/>
      <c r="G310" s="96"/>
    </row>
    <row r="311" ht="14.25" customHeight="1" spans="4:7">
      <c r="D311" s="93"/>
      <c r="E311" s="94"/>
      <c r="F311" s="95"/>
      <c r="G311" s="96"/>
    </row>
    <row r="312" ht="14.25" customHeight="1" spans="4:7">
      <c r="D312" s="93"/>
      <c r="E312" s="94"/>
      <c r="F312" s="95"/>
      <c r="G312" s="96"/>
    </row>
    <row r="313" ht="14.25" customHeight="1" spans="4:7">
      <c r="D313" s="93"/>
      <c r="E313" s="94"/>
      <c r="F313" s="95"/>
      <c r="G313" s="96"/>
    </row>
    <row r="314" ht="14.25" customHeight="1" spans="4:7">
      <c r="D314" s="93"/>
      <c r="E314" s="94"/>
      <c r="F314" s="95"/>
      <c r="G314" s="96"/>
    </row>
    <row r="315" ht="14.25" customHeight="1" spans="4:7">
      <c r="D315" s="93"/>
      <c r="E315" s="94"/>
      <c r="F315" s="95"/>
      <c r="G315" s="96"/>
    </row>
    <row r="316" ht="14.25" customHeight="1" spans="4:7">
      <c r="D316" s="93"/>
      <c r="E316" s="94"/>
      <c r="F316" s="95"/>
      <c r="G316" s="96"/>
    </row>
    <row r="317" ht="14.25" customHeight="1" spans="4:7">
      <c r="D317" s="93"/>
      <c r="E317" s="94"/>
      <c r="F317" s="95"/>
      <c r="G317" s="96"/>
    </row>
    <row r="318" ht="14.25" customHeight="1" spans="4:7">
      <c r="D318" s="93"/>
      <c r="E318" s="94"/>
      <c r="F318" s="95"/>
      <c r="G318" s="96"/>
    </row>
    <row r="319" ht="14.25" customHeight="1" spans="4:7">
      <c r="D319" s="93"/>
      <c r="E319" s="94"/>
      <c r="F319" s="95"/>
      <c r="G319" s="96"/>
    </row>
    <row r="320" ht="14.25" customHeight="1" spans="4:7">
      <c r="D320" s="93"/>
      <c r="E320" s="94"/>
      <c r="F320" s="95"/>
      <c r="G320" s="96"/>
    </row>
    <row r="321" ht="14.25" customHeight="1" spans="4:7">
      <c r="D321" s="93"/>
      <c r="E321" s="94"/>
      <c r="F321" s="95"/>
      <c r="G321" s="96"/>
    </row>
    <row r="322" ht="14.25" customHeight="1" spans="4:7">
      <c r="D322" s="93"/>
      <c r="E322" s="94"/>
      <c r="F322" s="95"/>
      <c r="G322" s="96"/>
    </row>
    <row r="323" ht="14.25" customHeight="1" spans="4:7">
      <c r="D323" s="93"/>
      <c r="E323" s="94"/>
      <c r="F323" s="95"/>
      <c r="G323" s="96"/>
    </row>
    <row r="324" ht="14.25" customHeight="1" spans="4:7">
      <c r="D324" s="93"/>
      <c r="E324" s="94"/>
      <c r="F324" s="95"/>
      <c r="G324" s="96"/>
    </row>
    <row r="325" ht="14.25" customHeight="1" spans="4:7">
      <c r="D325" s="93"/>
      <c r="E325" s="94"/>
      <c r="F325" s="95"/>
      <c r="G325" s="96"/>
    </row>
    <row r="326" ht="14.25" customHeight="1" spans="4:7">
      <c r="D326" s="93"/>
      <c r="E326" s="94"/>
      <c r="F326" s="95"/>
      <c r="G326" s="96"/>
    </row>
    <row r="327" ht="14.25" customHeight="1" spans="4:7">
      <c r="D327" s="93"/>
      <c r="E327" s="94"/>
      <c r="F327" s="95"/>
      <c r="G327" s="96"/>
    </row>
    <row r="328" ht="14.25" customHeight="1" spans="4:7">
      <c r="D328" s="93"/>
      <c r="E328" s="94"/>
      <c r="F328" s="95"/>
      <c r="G328" s="96"/>
    </row>
    <row r="329" ht="14.25" customHeight="1" spans="4:7">
      <c r="D329" s="93"/>
      <c r="E329" s="94"/>
      <c r="F329" s="95"/>
      <c r="G329" s="96"/>
    </row>
    <row r="330" ht="14.25" customHeight="1" spans="4:7">
      <c r="D330" s="93"/>
      <c r="E330" s="94"/>
      <c r="F330" s="95"/>
      <c r="G330" s="96"/>
    </row>
    <row r="331" ht="14.25" customHeight="1" spans="4:7">
      <c r="D331" s="93"/>
      <c r="E331" s="94"/>
      <c r="F331" s="95"/>
      <c r="G331" s="96"/>
    </row>
    <row r="332" ht="14.25" customHeight="1" spans="4:7">
      <c r="D332" s="93"/>
      <c r="E332" s="94"/>
      <c r="F332" s="95"/>
      <c r="G332" s="96"/>
    </row>
    <row r="333" ht="14.25" customHeight="1" spans="4:7">
      <c r="D333" s="93"/>
      <c r="E333" s="94"/>
      <c r="F333" s="95"/>
      <c r="G333" s="96"/>
    </row>
    <row r="334" ht="14.25" customHeight="1" spans="4:7">
      <c r="D334" s="93"/>
      <c r="E334" s="94"/>
      <c r="F334" s="95"/>
      <c r="G334" s="96"/>
    </row>
    <row r="335" ht="14.25" customHeight="1" spans="4:7">
      <c r="D335" s="93"/>
      <c r="E335" s="94"/>
      <c r="F335" s="95"/>
      <c r="G335" s="96"/>
    </row>
    <row r="336" ht="14.25" customHeight="1" spans="4:7">
      <c r="D336" s="93"/>
      <c r="E336" s="94"/>
      <c r="F336" s="95"/>
      <c r="G336" s="96"/>
    </row>
    <row r="337" ht="14.25" customHeight="1" spans="4:7">
      <c r="D337" s="93"/>
      <c r="E337" s="94"/>
      <c r="F337" s="95"/>
      <c r="G337" s="96"/>
    </row>
    <row r="338" ht="14.25" customHeight="1" spans="4:7">
      <c r="D338" s="93"/>
      <c r="E338" s="94"/>
      <c r="F338" s="95"/>
      <c r="G338" s="96"/>
    </row>
    <row r="339" ht="14.25" customHeight="1" spans="4:7">
      <c r="D339" s="93"/>
      <c r="E339" s="94"/>
      <c r="F339" s="95"/>
      <c r="G339" s="96"/>
    </row>
    <row r="340" ht="14.25" customHeight="1" spans="4:7">
      <c r="D340" s="93"/>
      <c r="E340" s="94"/>
      <c r="F340" s="95"/>
      <c r="G340" s="96"/>
    </row>
    <row r="341" ht="14.25" customHeight="1" spans="4:7">
      <c r="D341" s="93"/>
      <c r="E341" s="94"/>
      <c r="F341" s="95"/>
      <c r="G341" s="96"/>
    </row>
    <row r="342" ht="14.25" customHeight="1" spans="4:7">
      <c r="D342" s="93"/>
      <c r="E342" s="94"/>
      <c r="F342" s="95"/>
      <c r="G342" s="96"/>
    </row>
    <row r="343" ht="14.25" customHeight="1" spans="4:7">
      <c r="D343" s="93"/>
      <c r="E343" s="94"/>
      <c r="F343" s="95"/>
      <c r="G343" s="96"/>
    </row>
    <row r="344" ht="14.25" customHeight="1" spans="4:7">
      <c r="D344" s="93"/>
      <c r="E344" s="94"/>
      <c r="F344" s="95"/>
      <c r="G344" s="96"/>
    </row>
    <row r="345" ht="14.25" customHeight="1" spans="4:7">
      <c r="D345" s="93"/>
      <c r="E345" s="94"/>
      <c r="F345" s="95"/>
      <c r="G345" s="96"/>
    </row>
    <row r="346" ht="14.25" customHeight="1" spans="4:7">
      <c r="D346" s="93"/>
      <c r="E346" s="94"/>
      <c r="F346" s="95"/>
      <c r="G346" s="96"/>
    </row>
    <row r="347" ht="14.25" customHeight="1" spans="4:7">
      <c r="D347" s="93"/>
      <c r="E347" s="94"/>
      <c r="F347" s="95"/>
      <c r="G347" s="96"/>
    </row>
    <row r="348" ht="14.25" customHeight="1" spans="4:7">
      <c r="D348" s="93"/>
      <c r="E348" s="94"/>
      <c r="F348" s="95"/>
      <c r="G348" s="96"/>
    </row>
    <row r="349" ht="14.25" customHeight="1" spans="4:7">
      <c r="D349" s="93"/>
      <c r="E349" s="94"/>
      <c r="F349" s="95"/>
      <c r="G349" s="96"/>
    </row>
    <row r="350" ht="14.25" customHeight="1" spans="4:7">
      <c r="D350" s="93"/>
      <c r="E350" s="94"/>
      <c r="F350" s="95"/>
      <c r="G350" s="96"/>
    </row>
    <row r="351" ht="14.25" customHeight="1" spans="4:7">
      <c r="D351" s="93"/>
      <c r="E351" s="94"/>
      <c r="F351" s="95"/>
      <c r="G351" s="96"/>
    </row>
    <row r="352" ht="14.25" customHeight="1" spans="4:7">
      <c r="D352" s="93"/>
      <c r="E352" s="94"/>
      <c r="F352" s="95"/>
      <c r="G352" s="96"/>
    </row>
    <row r="353" ht="14.25" customHeight="1" spans="4:7">
      <c r="D353" s="93"/>
      <c r="E353" s="94"/>
      <c r="F353" s="95"/>
      <c r="G353" s="96"/>
    </row>
    <row r="354" ht="14.25" customHeight="1" spans="4:7">
      <c r="D354" s="93"/>
      <c r="E354" s="94"/>
      <c r="F354" s="95"/>
      <c r="G354" s="96"/>
    </row>
    <row r="355" ht="14.25" customHeight="1" spans="4:7">
      <c r="D355" s="93"/>
      <c r="E355" s="94"/>
      <c r="F355" s="95"/>
      <c r="G355" s="96"/>
    </row>
    <row r="356" ht="14.25" customHeight="1" spans="4:7">
      <c r="D356" s="93"/>
      <c r="E356" s="94"/>
      <c r="F356" s="95"/>
      <c r="G356" s="96"/>
    </row>
    <row r="357" ht="14.25" customHeight="1" spans="4:7">
      <c r="D357" s="93"/>
      <c r="E357" s="94"/>
      <c r="F357" s="95"/>
      <c r="G357" s="96"/>
    </row>
    <row r="358" ht="14.25" customHeight="1" spans="4:7">
      <c r="D358" s="93"/>
      <c r="E358" s="94"/>
      <c r="F358" s="95"/>
      <c r="G358" s="96"/>
    </row>
    <row r="359" ht="14.25" customHeight="1" spans="4:7">
      <c r="D359" s="93"/>
      <c r="E359" s="94"/>
      <c r="F359" s="95"/>
      <c r="G359" s="96"/>
    </row>
    <row r="360" ht="14.25" customHeight="1" spans="4:7">
      <c r="D360" s="93"/>
      <c r="E360" s="94"/>
      <c r="F360" s="95"/>
      <c r="G360" s="96"/>
    </row>
    <row r="361" ht="14.25" customHeight="1" spans="4:7">
      <c r="D361" s="93"/>
      <c r="E361" s="94"/>
      <c r="F361" s="95"/>
      <c r="G361" s="96"/>
    </row>
    <row r="362" ht="14.25" customHeight="1" spans="4:7">
      <c r="D362" s="93"/>
      <c r="E362" s="94"/>
      <c r="F362" s="95"/>
      <c r="G362" s="96"/>
    </row>
    <row r="363" ht="14.25" customHeight="1" spans="4:7">
      <c r="D363" s="93"/>
      <c r="E363" s="94"/>
      <c r="F363" s="95"/>
      <c r="G363" s="96"/>
    </row>
    <row r="364" ht="14.25" customHeight="1" spans="4:7">
      <c r="D364" s="93"/>
      <c r="E364" s="94"/>
      <c r="F364" s="95"/>
      <c r="G364" s="96"/>
    </row>
    <row r="365" ht="14.25" customHeight="1" spans="4:7">
      <c r="D365" s="93"/>
      <c r="E365" s="94"/>
      <c r="F365" s="95"/>
      <c r="G365" s="96"/>
    </row>
    <row r="366" ht="14.25" customHeight="1" spans="4:7">
      <c r="D366" s="93"/>
      <c r="E366" s="94"/>
      <c r="F366" s="95"/>
      <c r="G366" s="96"/>
    </row>
    <row r="367" ht="14.25" customHeight="1" spans="4:7">
      <c r="D367" s="93"/>
      <c r="E367" s="94"/>
      <c r="F367" s="95"/>
      <c r="G367" s="96"/>
    </row>
    <row r="368" ht="14.25" customHeight="1" spans="4:7">
      <c r="D368" s="93"/>
      <c r="E368" s="94"/>
      <c r="F368" s="95"/>
      <c r="G368" s="96"/>
    </row>
    <row r="369" ht="14.25" customHeight="1" spans="4:7">
      <c r="D369" s="93"/>
      <c r="E369" s="94"/>
      <c r="F369" s="95"/>
      <c r="G369" s="96"/>
    </row>
    <row r="370" ht="14.25" customHeight="1" spans="4:7">
      <c r="D370" s="93"/>
      <c r="E370" s="94"/>
      <c r="F370" s="95"/>
      <c r="G370" s="96"/>
    </row>
    <row r="371" ht="14.25" customHeight="1" spans="4:7">
      <c r="D371" s="93"/>
      <c r="E371" s="94"/>
      <c r="F371" s="95"/>
      <c r="G371" s="96"/>
    </row>
    <row r="372" ht="14.25" customHeight="1" spans="4:7">
      <c r="D372" s="93"/>
      <c r="E372" s="94"/>
      <c r="F372" s="95"/>
      <c r="G372" s="96"/>
    </row>
    <row r="373" ht="14.25" customHeight="1" spans="4:7">
      <c r="D373" s="93"/>
      <c r="E373" s="94"/>
      <c r="F373" s="95"/>
      <c r="G373" s="96"/>
    </row>
    <row r="374" ht="14.25" customHeight="1" spans="4:7">
      <c r="D374" s="93"/>
      <c r="E374" s="94"/>
      <c r="F374" s="95"/>
      <c r="G374" s="96"/>
    </row>
    <row r="375" ht="14.25" customHeight="1" spans="4:7">
      <c r="D375" s="93"/>
      <c r="E375" s="94"/>
      <c r="F375" s="95"/>
      <c r="G375" s="96"/>
    </row>
    <row r="376" ht="14.25" customHeight="1" spans="4:7">
      <c r="D376" s="93"/>
      <c r="E376" s="94"/>
      <c r="F376" s="95"/>
      <c r="G376" s="96"/>
    </row>
    <row r="377" ht="14.25" customHeight="1" spans="4:7">
      <c r="D377" s="93"/>
      <c r="E377" s="94"/>
      <c r="F377" s="95"/>
      <c r="G377" s="96"/>
    </row>
    <row r="378" ht="14.25" customHeight="1" spans="4:7">
      <c r="D378" s="93"/>
      <c r="E378" s="94"/>
      <c r="F378" s="95"/>
      <c r="G378" s="96"/>
    </row>
    <row r="379" ht="14.25" customHeight="1" spans="4:7">
      <c r="D379" s="93"/>
      <c r="E379" s="94"/>
      <c r="F379" s="95"/>
      <c r="G379" s="96"/>
    </row>
    <row r="380" ht="14.25" customHeight="1" spans="4:7">
      <c r="D380" s="93"/>
      <c r="E380" s="94"/>
      <c r="F380" s="95"/>
      <c r="G380" s="96"/>
    </row>
    <row r="381" ht="14.25" customHeight="1" spans="4:7">
      <c r="D381" s="93"/>
      <c r="E381" s="94"/>
      <c r="F381" s="95"/>
      <c r="G381" s="96"/>
    </row>
    <row r="382" ht="14.25" customHeight="1" spans="4:7">
      <c r="D382" s="93"/>
      <c r="E382" s="94"/>
      <c r="F382" s="95"/>
      <c r="G382" s="96"/>
    </row>
    <row r="383" ht="14.25" customHeight="1" spans="4:7">
      <c r="D383" s="93"/>
      <c r="E383" s="94"/>
      <c r="F383" s="95"/>
      <c r="G383" s="96"/>
    </row>
    <row r="384" ht="14.25" customHeight="1" spans="4:7">
      <c r="D384" s="93"/>
      <c r="E384" s="94"/>
      <c r="F384" s="95"/>
      <c r="G384" s="96"/>
    </row>
    <row r="385" ht="14.25" customHeight="1" spans="4:7">
      <c r="D385" s="93"/>
      <c r="E385" s="94"/>
      <c r="F385" s="95"/>
      <c r="G385" s="96"/>
    </row>
    <row r="386" ht="14.25" customHeight="1" spans="4:7">
      <c r="D386" s="93"/>
      <c r="E386" s="94"/>
      <c r="F386" s="95"/>
      <c r="G386" s="96"/>
    </row>
    <row r="387" ht="14.25" customHeight="1" spans="4:7">
      <c r="D387" s="93"/>
      <c r="E387" s="94"/>
      <c r="F387" s="95"/>
      <c r="G387" s="96"/>
    </row>
    <row r="388" ht="14.25" customHeight="1" spans="4:7">
      <c r="D388" s="93"/>
      <c r="E388" s="94"/>
      <c r="F388" s="95"/>
      <c r="G388" s="96"/>
    </row>
    <row r="389" ht="14.25" customHeight="1" spans="4:7">
      <c r="D389" s="93"/>
      <c r="E389" s="94"/>
      <c r="F389" s="95"/>
      <c r="G389" s="96"/>
    </row>
    <row r="390" ht="14.25" customHeight="1" spans="4:7">
      <c r="D390" s="93"/>
      <c r="E390" s="94"/>
      <c r="F390" s="95"/>
      <c r="G390" s="96"/>
    </row>
    <row r="391" ht="14.25" customHeight="1" spans="4:7">
      <c r="D391" s="93"/>
      <c r="E391" s="94"/>
      <c r="F391" s="95"/>
      <c r="G391" s="96"/>
    </row>
    <row r="392" ht="14.25" customHeight="1" spans="4:7">
      <c r="D392" s="93"/>
      <c r="E392" s="94"/>
      <c r="F392" s="95"/>
      <c r="G392" s="96"/>
    </row>
    <row r="393" ht="14.25" customHeight="1" spans="4:7">
      <c r="D393" s="93"/>
      <c r="E393" s="94"/>
      <c r="F393" s="95"/>
      <c r="G393" s="96"/>
    </row>
    <row r="394" ht="14.25" customHeight="1" spans="4:7">
      <c r="D394" s="93"/>
      <c r="E394" s="94"/>
      <c r="F394" s="95"/>
      <c r="G394" s="96"/>
    </row>
    <row r="395" ht="14.25" customHeight="1" spans="4:7">
      <c r="D395" s="93"/>
      <c r="E395" s="94"/>
      <c r="F395" s="95"/>
      <c r="G395" s="96"/>
    </row>
    <row r="396" ht="14.25" customHeight="1" spans="4:7">
      <c r="D396" s="93"/>
      <c r="E396" s="94"/>
      <c r="F396" s="95"/>
      <c r="G396" s="96"/>
    </row>
    <row r="397" ht="14.25" customHeight="1" spans="4:7">
      <c r="D397" s="93"/>
      <c r="E397" s="94"/>
      <c r="F397" s="95"/>
      <c r="G397" s="96"/>
    </row>
    <row r="398" ht="14.25" customHeight="1" spans="4:7">
      <c r="D398" s="93"/>
      <c r="E398" s="94"/>
      <c r="F398" s="95"/>
      <c r="G398" s="96"/>
    </row>
    <row r="399" ht="14.25" customHeight="1" spans="4:7">
      <c r="D399" s="93"/>
      <c r="E399" s="94"/>
      <c r="F399" s="95"/>
      <c r="G399" s="96"/>
    </row>
    <row r="400" ht="14.25" customHeight="1" spans="4:7">
      <c r="D400" s="93"/>
      <c r="E400" s="94"/>
      <c r="F400" s="95"/>
      <c r="G400" s="96"/>
    </row>
    <row r="401" ht="14.25" customHeight="1" spans="4:7">
      <c r="D401" s="93"/>
      <c r="E401" s="94"/>
      <c r="F401" s="95"/>
      <c r="G401" s="96"/>
    </row>
    <row r="402" ht="14.25" customHeight="1" spans="4:7">
      <c r="D402" s="93"/>
      <c r="E402" s="94"/>
      <c r="F402" s="95"/>
      <c r="G402" s="96"/>
    </row>
    <row r="403" ht="14.25" customHeight="1" spans="4:7">
      <c r="D403" s="93"/>
      <c r="E403" s="94"/>
      <c r="F403" s="95"/>
      <c r="G403" s="96"/>
    </row>
    <row r="404" ht="14.25" customHeight="1" spans="4:7">
      <c r="D404" s="93"/>
      <c r="E404" s="94"/>
      <c r="F404" s="95"/>
      <c r="G404" s="96"/>
    </row>
    <row r="405" ht="14.25" customHeight="1" spans="4:7">
      <c r="D405" s="93"/>
      <c r="E405" s="94"/>
      <c r="F405" s="95"/>
      <c r="G405" s="96"/>
    </row>
    <row r="406" ht="14.25" customHeight="1" spans="4:7">
      <c r="D406" s="93"/>
      <c r="E406" s="94"/>
      <c r="F406" s="95"/>
      <c r="G406" s="96"/>
    </row>
    <row r="407" ht="14.25" customHeight="1" spans="4:7">
      <c r="D407" s="93"/>
      <c r="E407" s="94"/>
      <c r="F407" s="95"/>
      <c r="G407" s="96"/>
    </row>
    <row r="408" ht="14.25" customHeight="1" spans="4:7">
      <c r="D408" s="93"/>
      <c r="E408" s="94"/>
      <c r="F408" s="95"/>
      <c r="G408" s="96"/>
    </row>
    <row r="409" ht="14.25" customHeight="1" spans="4:7">
      <c r="D409" s="93"/>
      <c r="E409" s="94"/>
      <c r="F409" s="95"/>
      <c r="G409" s="96"/>
    </row>
    <row r="410" ht="14.25" customHeight="1" spans="4:7">
      <c r="D410" s="93"/>
      <c r="E410" s="94"/>
      <c r="F410" s="95"/>
      <c r="G410" s="96"/>
    </row>
    <row r="411" ht="14.25" customHeight="1" spans="4:7">
      <c r="D411" s="93"/>
      <c r="E411" s="94"/>
      <c r="F411" s="95"/>
      <c r="G411" s="96"/>
    </row>
    <row r="412" ht="14.25" customHeight="1" spans="4:7">
      <c r="D412" s="93"/>
      <c r="E412" s="94"/>
      <c r="F412" s="95"/>
      <c r="G412" s="96"/>
    </row>
    <row r="413" ht="14.25" customHeight="1" spans="4:7">
      <c r="D413" s="93"/>
      <c r="E413" s="94"/>
      <c r="F413" s="95"/>
      <c r="G413" s="96"/>
    </row>
    <row r="414" ht="14.25" customHeight="1" spans="4:7">
      <c r="D414" s="93"/>
      <c r="E414" s="94"/>
      <c r="F414" s="95"/>
      <c r="G414" s="96"/>
    </row>
    <row r="415" ht="14.25" customHeight="1" spans="4:7">
      <c r="D415" s="93"/>
      <c r="E415" s="94"/>
      <c r="F415" s="95"/>
      <c r="G415" s="96"/>
    </row>
    <row r="416" ht="14.25" customHeight="1" spans="4:7">
      <c r="D416" s="93"/>
      <c r="E416" s="94"/>
      <c r="F416" s="95"/>
      <c r="G416" s="96"/>
    </row>
    <row r="417" ht="14.25" customHeight="1" spans="4:7">
      <c r="D417" s="93"/>
      <c r="E417" s="94"/>
      <c r="F417" s="95"/>
      <c r="G417" s="96"/>
    </row>
    <row r="418" ht="14.25" customHeight="1" spans="4:7">
      <c r="D418" s="93"/>
      <c r="E418" s="94"/>
      <c r="F418" s="95"/>
      <c r="G418" s="96"/>
    </row>
    <row r="419" ht="14.25" customHeight="1" spans="4:7">
      <c r="D419" s="93"/>
      <c r="E419" s="94"/>
      <c r="F419" s="95"/>
      <c r="G419" s="96"/>
    </row>
    <row r="420" ht="14.25" customHeight="1" spans="4:7">
      <c r="D420" s="93"/>
      <c r="E420" s="94"/>
      <c r="F420" s="95"/>
      <c r="G420" s="96"/>
    </row>
    <row r="421" ht="14.25" customHeight="1" spans="4:7">
      <c r="D421" s="93"/>
      <c r="E421" s="94"/>
      <c r="F421" s="95"/>
      <c r="G421" s="96"/>
    </row>
    <row r="422" ht="14.25" customHeight="1" spans="4:7">
      <c r="D422" s="93"/>
      <c r="E422" s="94"/>
      <c r="F422" s="95"/>
      <c r="G422" s="96"/>
    </row>
    <row r="423" ht="14.25" customHeight="1" spans="4:7">
      <c r="D423" s="93"/>
      <c r="E423" s="94"/>
      <c r="F423" s="95"/>
      <c r="G423" s="96"/>
    </row>
    <row r="424" ht="14.25" customHeight="1" spans="4:7">
      <c r="D424" s="93"/>
      <c r="E424" s="94"/>
      <c r="F424" s="95"/>
      <c r="G424" s="96"/>
    </row>
    <row r="425" ht="14.25" customHeight="1" spans="4:7">
      <c r="D425" s="93"/>
      <c r="E425" s="94"/>
      <c r="F425" s="95"/>
      <c r="G425" s="96"/>
    </row>
    <row r="426" ht="14.25" customHeight="1" spans="4:7">
      <c r="D426" s="93"/>
      <c r="E426" s="94"/>
      <c r="F426" s="95"/>
      <c r="G426" s="96"/>
    </row>
    <row r="427" ht="14.25" customHeight="1" spans="4:7">
      <c r="D427" s="93"/>
      <c r="E427" s="94"/>
      <c r="F427" s="95"/>
      <c r="G427" s="96"/>
    </row>
    <row r="428" ht="14.25" customHeight="1" spans="4:7">
      <c r="D428" s="93"/>
      <c r="E428" s="94"/>
      <c r="F428" s="95"/>
      <c r="G428" s="96"/>
    </row>
    <row r="429" ht="14.25" customHeight="1" spans="4:7">
      <c r="D429" s="93"/>
      <c r="E429" s="94"/>
      <c r="F429" s="95"/>
      <c r="G429" s="96"/>
    </row>
    <row r="430" ht="14.25" customHeight="1" spans="4:7">
      <c r="D430" s="93"/>
      <c r="E430" s="94"/>
      <c r="F430" s="95"/>
      <c r="G430" s="96"/>
    </row>
    <row r="431" ht="14.25" customHeight="1" spans="4:7">
      <c r="D431" s="93"/>
      <c r="E431" s="94"/>
      <c r="F431" s="95"/>
      <c r="G431" s="96"/>
    </row>
    <row r="432" ht="14.25" customHeight="1" spans="4:7">
      <c r="D432" s="93"/>
      <c r="E432" s="94"/>
      <c r="F432" s="95"/>
      <c r="G432" s="96"/>
    </row>
    <row r="433" ht="14.25" customHeight="1" spans="4:7">
      <c r="D433" s="93"/>
      <c r="E433" s="94"/>
      <c r="F433" s="95"/>
      <c r="G433" s="96"/>
    </row>
    <row r="434" ht="14.25" customHeight="1" spans="4:7">
      <c r="D434" s="93"/>
      <c r="E434" s="94"/>
      <c r="F434" s="95"/>
      <c r="G434" s="96"/>
    </row>
    <row r="435" ht="14.25" customHeight="1" spans="4:7">
      <c r="D435" s="93"/>
      <c r="E435" s="94"/>
      <c r="F435" s="95"/>
      <c r="G435" s="96"/>
    </row>
    <row r="436" ht="14.25" customHeight="1" spans="4:7">
      <c r="D436" s="93"/>
      <c r="E436" s="94"/>
      <c r="F436" s="95"/>
      <c r="G436" s="96"/>
    </row>
    <row r="437" ht="14.25" customHeight="1" spans="4:7">
      <c r="D437" s="93"/>
      <c r="E437" s="94"/>
      <c r="F437" s="95"/>
      <c r="G437" s="96"/>
    </row>
    <row r="438" ht="14.25" customHeight="1" spans="4:7">
      <c r="D438" s="93"/>
      <c r="E438" s="94"/>
      <c r="F438" s="95"/>
      <c r="G438" s="96"/>
    </row>
    <row r="439" ht="14.25" customHeight="1" spans="4:7">
      <c r="D439" s="93"/>
      <c r="E439" s="94"/>
      <c r="F439" s="95"/>
      <c r="G439" s="96"/>
    </row>
    <row r="440" ht="14.25" customHeight="1" spans="4:7">
      <c r="D440" s="93"/>
      <c r="E440" s="94"/>
      <c r="F440" s="95"/>
      <c r="G440" s="96"/>
    </row>
    <row r="441" ht="14.25" customHeight="1" spans="4:7">
      <c r="D441" s="93"/>
      <c r="E441" s="94"/>
      <c r="F441" s="95"/>
      <c r="G441" s="96"/>
    </row>
    <row r="442" ht="14.25" customHeight="1" spans="4:7">
      <c r="D442" s="93"/>
      <c r="E442" s="94"/>
      <c r="F442" s="95"/>
      <c r="G442" s="96"/>
    </row>
    <row r="443" ht="14.25" customHeight="1" spans="4:7">
      <c r="D443" s="93"/>
      <c r="E443" s="94"/>
      <c r="F443" s="95"/>
      <c r="G443" s="96"/>
    </row>
    <row r="444" ht="14.25" customHeight="1" spans="4:7">
      <c r="D444" s="93"/>
      <c r="E444" s="94"/>
      <c r="F444" s="95"/>
      <c r="G444" s="96"/>
    </row>
    <row r="445" ht="14.25" customHeight="1" spans="4:7">
      <c r="D445" s="93"/>
      <c r="E445" s="94"/>
      <c r="F445" s="95"/>
      <c r="G445" s="96"/>
    </row>
    <row r="446" ht="14.25" customHeight="1" spans="4:7">
      <c r="D446" s="93"/>
      <c r="E446" s="94"/>
      <c r="F446" s="95"/>
      <c r="G446" s="96"/>
    </row>
    <row r="447" ht="14.25" customHeight="1" spans="4:7">
      <c r="D447" s="93"/>
      <c r="E447" s="94"/>
      <c r="F447" s="95"/>
      <c r="G447" s="96"/>
    </row>
    <row r="448" ht="14.25" customHeight="1" spans="4:7">
      <c r="D448" s="93"/>
      <c r="E448" s="94"/>
      <c r="F448" s="95"/>
      <c r="G448" s="96"/>
    </row>
    <row r="449" ht="14.25" customHeight="1" spans="4:7">
      <c r="D449" s="93"/>
      <c r="E449" s="94"/>
      <c r="F449" s="95"/>
      <c r="G449" s="96"/>
    </row>
    <row r="450" ht="14.25" customHeight="1" spans="4:7">
      <c r="D450" s="93"/>
      <c r="E450" s="94"/>
      <c r="F450" s="95"/>
      <c r="G450" s="96"/>
    </row>
    <row r="451" ht="14.25" customHeight="1" spans="4:7">
      <c r="D451" s="93"/>
      <c r="E451" s="94"/>
      <c r="F451" s="95"/>
      <c r="G451" s="96"/>
    </row>
    <row r="452" ht="14.25" customHeight="1" spans="4:7">
      <c r="D452" s="93"/>
      <c r="E452" s="94"/>
      <c r="F452" s="95"/>
      <c r="G452" s="96"/>
    </row>
    <row r="453" ht="14.25" customHeight="1" spans="4:7">
      <c r="D453" s="93"/>
      <c r="E453" s="94"/>
      <c r="F453" s="95"/>
      <c r="G453" s="96"/>
    </row>
    <row r="454" ht="14.25" customHeight="1" spans="4:7">
      <c r="D454" s="93"/>
      <c r="E454" s="94"/>
      <c r="F454" s="95"/>
      <c r="G454" s="96"/>
    </row>
    <row r="455" ht="14.25" customHeight="1" spans="4:7">
      <c r="D455" s="93"/>
      <c r="E455" s="94"/>
      <c r="F455" s="95"/>
      <c r="G455" s="96"/>
    </row>
    <row r="456" ht="14.25" customHeight="1" spans="4:7">
      <c r="D456" s="93"/>
      <c r="E456" s="94"/>
      <c r="F456" s="95"/>
      <c r="G456" s="96"/>
    </row>
    <row r="457" ht="14.25" customHeight="1" spans="4:7">
      <c r="D457" s="93"/>
      <c r="E457" s="94"/>
      <c r="F457" s="95"/>
      <c r="G457" s="96"/>
    </row>
    <row r="458" ht="14.25" customHeight="1" spans="4:7">
      <c r="D458" s="93"/>
      <c r="E458" s="94"/>
      <c r="F458" s="95"/>
      <c r="G458" s="96"/>
    </row>
    <row r="459" ht="14.25" customHeight="1" spans="4:7">
      <c r="D459" s="93"/>
      <c r="E459" s="94"/>
      <c r="F459" s="95"/>
      <c r="G459" s="96"/>
    </row>
    <row r="460" ht="14.25" customHeight="1" spans="4:7">
      <c r="D460" s="93"/>
      <c r="E460" s="94"/>
      <c r="F460" s="95"/>
      <c r="G460" s="96"/>
    </row>
    <row r="461" ht="14.25" customHeight="1" spans="4:7">
      <c r="D461" s="93"/>
      <c r="E461" s="94"/>
      <c r="F461" s="95"/>
      <c r="G461" s="96"/>
    </row>
    <row r="462" ht="14.25" customHeight="1" spans="4:7">
      <c r="D462" s="93"/>
      <c r="E462" s="94"/>
      <c r="F462" s="95"/>
      <c r="G462" s="96"/>
    </row>
    <row r="463" ht="14.25" customHeight="1" spans="4:7">
      <c r="D463" s="93"/>
      <c r="E463" s="94"/>
      <c r="F463" s="95"/>
      <c r="G463" s="96"/>
    </row>
    <row r="464" ht="14.25" customHeight="1" spans="4:7">
      <c r="D464" s="93"/>
      <c r="E464" s="94"/>
      <c r="F464" s="95"/>
      <c r="G464" s="96"/>
    </row>
    <row r="465" ht="14.25" customHeight="1" spans="4:7">
      <c r="D465" s="93"/>
      <c r="E465" s="94"/>
      <c r="F465" s="95"/>
      <c r="G465" s="96"/>
    </row>
    <row r="466" ht="14.25" customHeight="1" spans="4:7">
      <c r="D466" s="93"/>
      <c r="E466" s="94"/>
      <c r="F466" s="95"/>
      <c r="G466" s="96"/>
    </row>
    <row r="467" ht="14.25" customHeight="1" spans="4:7">
      <c r="D467" s="93"/>
      <c r="E467" s="94"/>
      <c r="F467" s="95"/>
      <c r="G467" s="96"/>
    </row>
    <row r="468" ht="14.25" customHeight="1" spans="4:7">
      <c r="D468" s="93"/>
      <c r="E468" s="94"/>
      <c r="F468" s="95"/>
      <c r="G468" s="96"/>
    </row>
    <row r="469" ht="14.25" customHeight="1" spans="4:7">
      <c r="D469" s="93"/>
      <c r="E469" s="94"/>
      <c r="F469" s="95"/>
      <c r="G469" s="96"/>
    </row>
    <row r="470" ht="14.25" customHeight="1" spans="4:7">
      <c r="D470" s="93"/>
      <c r="E470" s="94"/>
      <c r="F470" s="95"/>
      <c r="G470" s="96"/>
    </row>
    <row r="471" ht="14.25" customHeight="1" spans="4:7">
      <c r="D471" s="93"/>
      <c r="E471" s="94"/>
      <c r="F471" s="95"/>
      <c r="G471" s="96"/>
    </row>
    <row r="472" ht="14.25" customHeight="1" spans="4:7">
      <c r="D472" s="93"/>
      <c r="E472" s="94"/>
      <c r="F472" s="95"/>
      <c r="G472" s="96"/>
    </row>
    <row r="473" ht="14.25" customHeight="1" spans="4:7">
      <c r="D473" s="93"/>
      <c r="E473" s="94"/>
      <c r="F473" s="95"/>
      <c r="G473" s="96"/>
    </row>
    <row r="474" ht="14.25" customHeight="1" spans="4:7">
      <c r="D474" s="93"/>
      <c r="E474" s="94"/>
      <c r="F474" s="95"/>
      <c r="G474" s="96"/>
    </row>
    <row r="475" ht="14.25" customHeight="1" spans="4:7">
      <c r="D475" s="93"/>
      <c r="E475" s="94"/>
      <c r="F475" s="95"/>
      <c r="G475" s="96"/>
    </row>
    <row r="476" ht="14.25" customHeight="1" spans="4:7">
      <c r="D476" s="93"/>
      <c r="E476" s="94"/>
      <c r="F476" s="95"/>
      <c r="G476" s="96"/>
    </row>
    <row r="477" ht="14.25" customHeight="1" spans="4:7">
      <c r="D477" s="93"/>
      <c r="E477" s="94"/>
      <c r="F477" s="95"/>
      <c r="G477" s="96"/>
    </row>
    <row r="478" ht="14.25" customHeight="1" spans="4:7">
      <c r="D478" s="93"/>
      <c r="E478" s="94"/>
      <c r="F478" s="95"/>
      <c r="G478" s="96"/>
    </row>
    <row r="479" ht="14.25" customHeight="1" spans="4:7">
      <c r="D479" s="93"/>
      <c r="E479" s="94"/>
      <c r="F479" s="95"/>
      <c r="G479" s="96"/>
    </row>
    <row r="480" ht="14.25" customHeight="1" spans="4:7">
      <c r="D480" s="93"/>
      <c r="E480" s="94"/>
      <c r="F480" s="95"/>
      <c r="G480" s="96"/>
    </row>
    <row r="481" ht="14.25" customHeight="1" spans="4:7">
      <c r="D481" s="93"/>
      <c r="E481" s="94"/>
      <c r="F481" s="95"/>
      <c r="G481" s="96"/>
    </row>
    <row r="482" ht="14.25" customHeight="1" spans="4:7">
      <c r="D482" s="93"/>
      <c r="E482" s="94"/>
      <c r="F482" s="95"/>
      <c r="G482" s="96"/>
    </row>
    <row r="483" ht="14.25" customHeight="1" spans="4:7">
      <c r="D483" s="93"/>
      <c r="E483" s="94"/>
      <c r="F483" s="95"/>
      <c r="G483" s="96"/>
    </row>
    <row r="484" ht="14.25" customHeight="1" spans="4:7">
      <c r="D484" s="93"/>
      <c r="E484" s="94"/>
      <c r="F484" s="95"/>
      <c r="G484" s="96"/>
    </row>
    <row r="485" ht="14.25" customHeight="1" spans="4:7">
      <c r="D485" s="93"/>
      <c r="E485" s="94"/>
      <c r="F485" s="95"/>
      <c r="G485" s="96"/>
    </row>
    <row r="486" ht="14.25" customHeight="1" spans="4:7">
      <c r="D486" s="93"/>
      <c r="E486" s="94"/>
      <c r="F486" s="95"/>
      <c r="G486" s="96"/>
    </row>
    <row r="487" ht="14.25" customHeight="1" spans="4:7">
      <c r="D487" s="93"/>
      <c r="E487" s="94"/>
      <c r="F487" s="95"/>
      <c r="G487" s="96"/>
    </row>
    <row r="488" ht="14.25" customHeight="1" spans="4:7">
      <c r="D488" s="93"/>
      <c r="E488" s="94"/>
      <c r="F488" s="95"/>
      <c r="G488" s="96"/>
    </row>
    <row r="489" ht="14.25" customHeight="1" spans="4:7">
      <c r="D489" s="93"/>
      <c r="E489" s="94"/>
      <c r="F489" s="95"/>
      <c r="G489" s="96"/>
    </row>
    <row r="490" ht="14.25" customHeight="1" spans="4:7">
      <c r="D490" s="93"/>
      <c r="E490" s="94"/>
      <c r="F490" s="95"/>
      <c r="G490" s="96"/>
    </row>
    <row r="491" ht="14.25" customHeight="1" spans="4:7">
      <c r="D491" s="93"/>
      <c r="E491" s="94"/>
      <c r="F491" s="95"/>
      <c r="G491" s="96"/>
    </row>
    <row r="492" ht="14.25" customHeight="1" spans="4:7">
      <c r="D492" s="93"/>
      <c r="E492" s="94"/>
      <c r="F492" s="95"/>
      <c r="G492" s="96"/>
    </row>
    <row r="493" ht="14.25" customHeight="1" spans="4:7">
      <c r="D493" s="93"/>
      <c r="E493" s="94"/>
      <c r="F493" s="95"/>
      <c r="G493" s="96"/>
    </row>
    <row r="494" ht="14.25" customHeight="1" spans="4:7">
      <c r="D494" s="93"/>
      <c r="E494" s="94"/>
      <c r="F494" s="95"/>
      <c r="G494" s="96"/>
    </row>
    <row r="495" ht="14.25" customHeight="1" spans="4:7">
      <c r="D495" s="93"/>
      <c r="E495" s="94"/>
      <c r="F495" s="95"/>
      <c r="G495" s="96"/>
    </row>
    <row r="496" ht="14.25" customHeight="1" spans="4:7">
      <c r="D496" s="93"/>
      <c r="E496" s="94"/>
      <c r="F496" s="95"/>
      <c r="G496" s="96"/>
    </row>
    <row r="497" ht="14.25" customHeight="1" spans="4:7">
      <c r="D497" s="93"/>
      <c r="E497" s="94"/>
      <c r="F497" s="95"/>
      <c r="G497" s="96"/>
    </row>
    <row r="498" ht="14.25" customHeight="1" spans="4:7">
      <c r="D498" s="93"/>
      <c r="E498" s="94"/>
      <c r="F498" s="95"/>
      <c r="G498" s="96"/>
    </row>
    <row r="499" ht="14.25" customHeight="1" spans="4:7">
      <c r="D499" s="93"/>
      <c r="E499" s="94"/>
      <c r="F499" s="95"/>
      <c r="G499" s="96"/>
    </row>
    <row r="500" ht="14.25" customHeight="1" spans="4:7">
      <c r="D500" s="93"/>
      <c r="E500" s="94"/>
      <c r="F500" s="95"/>
      <c r="G500" s="96"/>
    </row>
    <row r="501" ht="14.25" customHeight="1" spans="4:7">
      <c r="D501" s="93"/>
      <c r="E501" s="94"/>
      <c r="F501" s="95"/>
      <c r="G501" s="96"/>
    </row>
    <row r="502" ht="14.25" customHeight="1" spans="4:7">
      <c r="D502" s="93"/>
      <c r="E502" s="94"/>
      <c r="F502" s="95"/>
      <c r="G502" s="96"/>
    </row>
    <row r="503" ht="14.25" customHeight="1" spans="4:7">
      <c r="D503" s="93"/>
      <c r="E503" s="94"/>
      <c r="F503" s="95"/>
      <c r="G503" s="96"/>
    </row>
    <row r="504" ht="14.25" customHeight="1" spans="4:7">
      <c r="D504" s="93"/>
      <c r="E504" s="94"/>
      <c r="F504" s="95"/>
      <c r="G504" s="96"/>
    </row>
    <row r="505" ht="14.25" customHeight="1" spans="4:7">
      <c r="D505" s="93"/>
      <c r="E505" s="94"/>
      <c r="F505" s="95"/>
      <c r="G505" s="96"/>
    </row>
    <row r="506" ht="14.25" customHeight="1" spans="4:7">
      <c r="D506" s="93"/>
      <c r="E506" s="94"/>
      <c r="F506" s="95"/>
      <c r="G506" s="96"/>
    </row>
    <row r="507" ht="14.25" customHeight="1" spans="4:7">
      <c r="D507" s="93"/>
      <c r="E507" s="94"/>
      <c r="F507" s="95"/>
      <c r="G507" s="96"/>
    </row>
    <row r="508" ht="14.25" customHeight="1" spans="4:7">
      <c r="D508" s="93"/>
      <c r="E508" s="94"/>
      <c r="F508" s="95"/>
      <c r="G508" s="96"/>
    </row>
    <row r="509" ht="14.25" customHeight="1" spans="4:7">
      <c r="D509" s="93"/>
      <c r="E509" s="94"/>
      <c r="F509" s="95"/>
      <c r="G509" s="96"/>
    </row>
    <row r="510" ht="14.25" customHeight="1" spans="4:7">
      <c r="D510" s="93"/>
      <c r="E510" s="94"/>
      <c r="F510" s="95"/>
      <c r="G510" s="96"/>
    </row>
    <row r="511" ht="14.25" customHeight="1" spans="4:7">
      <c r="D511" s="93"/>
      <c r="E511" s="94"/>
      <c r="F511" s="95"/>
      <c r="G511" s="96"/>
    </row>
    <row r="512" ht="14.25" customHeight="1" spans="4:7">
      <c r="D512" s="93"/>
      <c r="E512" s="94"/>
      <c r="F512" s="95"/>
      <c r="G512" s="96"/>
    </row>
    <row r="513" ht="14.25" customHeight="1" spans="4:7">
      <c r="D513" s="93"/>
      <c r="E513" s="94"/>
      <c r="F513" s="95"/>
      <c r="G513" s="96"/>
    </row>
    <row r="514" ht="14.25" customHeight="1" spans="4:7">
      <c r="D514" s="93"/>
      <c r="E514" s="94"/>
      <c r="F514" s="95"/>
      <c r="G514" s="96"/>
    </row>
    <row r="515" ht="14.25" customHeight="1" spans="4:7">
      <c r="D515" s="93"/>
      <c r="E515" s="94"/>
      <c r="F515" s="95"/>
      <c r="G515" s="96"/>
    </row>
    <row r="516" ht="14.25" customHeight="1" spans="4:7">
      <c r="D516" s="93"/>
      <c r="E516" s="94"/>
      <c r="F516" s="95"/>
      <c r="G516" s="96"/>
    </row>
    <row r="517" ht="14.25" customHeight="1" spans="4:7">
      <c r="D517" s="93"/>
      <c r="E517" s="94"/>
      <c r="F517" s="95"/>
      <c r="G517" s="96"/>
    </row>
    <row r="518" ht="14.25" customHeight="1" spans="4:7">
      <c r="D518" s="93"/>
      <c r="E518" s="94"/>
      <c r="F518" s="95"/>
      <c r="G518" s="96"/>
    </row>
    <row r="519" ht="14.25" customHeight="1" spans="4:7">
      <c r="D519" s="93"/>
      <c r="E519" s="94"/>
      <c r="F519" s="95"/>
      <c r="G519" s="96"/>
    </row>
    <row r="520" ht="14.25" customHeight="1" spans="4:7">
      <c r="D520" s="93"/>
      <c r="E520" s="94"/>
      <c r="F520" s="95"/>
      <c r="G520" s="96"/>
    </row>
    <row r="521" ht="14.25" customHeight="1" spans="4:7">
      <c r="D521" s="93"/>
      <c r="E521" s="94"/>
      <c r="F521" s="95"/>
      <c r="G521" s="96"/>
    </row>
    <row r="522" ht="14.25" customHeight="1" spans="4:7">
      <c r="D522" s="93"/>
      <c r="E522" s="94"/>
      <c r="F522" s="95"/>
      <c r="G522" s="96"/>
    </row>
    <row r="523" ht="14.25" customHeight="1" spans="4:7">
      <c r="D523" s="93"/>
      <c r="E523" s="94"/>
      <c r="F523" s="95"/>
      <c r="G523" s="96"/>
    </row>
    <row r="524" ht="14.25" customHeight="1" spans="4:7">
      <c r="D524" s="93"/>
      <c r="E524" s="94"/>
      <c r="F524" s="95"/>
      <c r="G524" s="96"/>
    </row>
    <row r="525" ht="14.25" customHeight="1" spans="4:7">
      <c r="D525" s="93"/>
      <c r="E525" s="94"/>
      <c r="F525" s="95"/>
      <c r="G525" s="96"/>
    </row>
    <row r="526" ht="14.25" customHeight="1" spans="4:7">
      <c r="D526" s="93"/>
      <c r="E526" s="94"/>
      <c r="F526" s="95"/>
      <c r="G526" s="96"/>
    </row>
    <row r="527" ht="14.25" customHeight="1" spans="4:7">
      <c r="D527" s="93"/>
      <c r="E527" s="94"/>
      <c r="F527" s="95"/>
      <c r="G527" s="96"/>
    </row>
    <row r="528" ht="14.25" customHeight="1" spans="4:7">
      <c r="D528" s="93"/>
      <c r="E528" s="94"/>
      <c r="F528" s="95"/>
      <c r="G528" s="96"/>
    </row>
    <row r="529" ht="14.25" customHeight="1" spans="4:7">
      <c r="D529" s="93"/>
      <c r="E529" s="94"/>
      <c r="F529" s="95"/>
      <c r="G529" s="96"/>
    </row>
    <row r="530" ht="14.25" customHeight="1" spans="4:7">
      <c r="D530" s="93"/>
      <c r="E530" s="94"/>
      <c r="F530" s="95"/>
      <c r="G530" s="96"/>
    </row>
    <row r="531" ht="14.25" customHeight="1" spans="4:7">
      <c r="D531" s="93"/>
      <c r="E531" s="94"/>
      <c r="F531" s="95"/>
      <c r="G531" s="96"/>
    </row>
    <row r="532" ht="14.25" customHeight="1" spans="4:7">
      <c r="D532" s="93"/>
      <c r="E532" s="94"/>
      <c r="F532" s="95"/>
      <c r="G532" s="96"/>
    </row>
    <row r="533" ht="14.25" customHeight="1" spans="4:7">
      <c r="D533" s="93"/>
      <c r="E533" s="94"/>
      <c r="F533" s="95"/>
      <c r="G533" s="96"/>
    </row>
    <row r="534" ht="14.25" customHeight="1" spans="4:7">
      <c r="D534" s="93"/>
      <c r="E534" s="94"/>
      <c r="F534" s="95"/>
      <c r="G534" s="96"/>
    </row>
    <row r="535" ht="14.25" customHeight="1" spans="4:7">
      <c r="D535" s="93"/>
      <c r="E535" s="94"/>
      <c r="F535" s="95"/>
      <c r="G535" s="96"/>
    </row>
    <row r="536" ht="14.25" customHeight="1" spans="4:7">
      <c r="D536" s="93"/>
      <c r="E536" s="94"/>
      <c r="F536" s="95"/>
      <c r="G536" s="96"/>
    </row>
    <row r="537" ht="14.25" customHeight="1" spans="4:7">
      <c r="D537" s="93"/>
      <c r="E537" s="94"/>
      <c r="F537" s="95"/>
      <c r="G537" s="96"/>
    </row>
    <row r="538" ht="14.25" customHeight="1" spans="4:7">
      <c r="D538" s="93"/>
      <c r="E538" s="94"/>
      <c r="F538" s="95"/>
      <c r="G538" s="96"/>
    </row>
    <row r="539" ht="14.25" customHeight="1" spans="4:7">
      <c r="D539" s="93"/>
      <c r="E539" s="94"/>
      <c r="F539" s="95"/>
      <c r="G539" s="96"/>
    </row>
    <row r="540" ht="14.25" customHeight="1" spans="4:7">
      <c r="D540" s="93"/>
      <c r="E540" s="94"/>
      <c r="F540" s="95"/>
      <c r="G540" s="96"/>
    </row>
    <row r="541" ht="14.25" customHeight="1" spans="4:7">
      <c r="D541" s="93"/>
      <c r="E541" s="94"/>
      <c r="F541" s="95"/>
      <c r="G541" s="96"/>
    </row>
    <row r="542" ht="14.25" customHeight="1" spans="4:7">
      <c r="D542" s="93"/>
      <c r="E542" s="94"/>
      <c r="F542" s="95"/>
      <c r="G542" s="96"/>
    </row>
    <row r="543" ht="14.25" customHeight="1" spans="4:7">
      <c r="D543" s="93"/>
      <c r="E543" s="94"/>
      <c r="F543" s="95"/>
      <c r="G543" s="96"/>
    </row>
    <row r="544" ht="14.25" customHeight="1" spans="4:7">
      <c r="D544" s="93"/>
      <c r="E544" s="94"/>
      <c r="F544" s="95"/>
      <c r="G544" s="96"/>
    </row>
    <row r="545" ht="14.25" customHeight="1" spans="4:7">
      <c r="D545" s="93"/>
      <c r="E545" s="94"/>
      <c r="F545" s="95"/>
      <c r="G545" s="96"/>
    </row>
    <row r="546" ht="14.25" customHeight="1" spans="4:7">
      <c r="D546" s="93"/>
      <c r="E546" s="94"/>
      <c r="F546" s="95"/>
      <c r="G546" s="96"/>
    </row>
    <row r="547" ht="14.25" customHeight="1" spans="4:7">
      <c r="D547" s="93"/>
      <c r="E547" s="94"/>
      <c r="F547" s="95"/>
      <c r="G547" s="96"/>
    </row>
    <row r="548" ht="14.25" customHeight="1" spans="4:7">
      <c r="D548" s="93"/>
      <c r="E548" s="94"/>
      <c r="F548" s="95"/>
      <c r="G548" s="96"/>
    </row>
    <row r="549" ht="14.25" customHeight="1" spans="4:7">
      <c r="D549" s="93"/>
      <c r="E549" s="94"/>
      <c r="F549" s="95"/>
      <c r="G549" s="96"/>
    </row>
    <row r="550" ht="14.25" customHeight="1" spans="4:7">
      <c r="D550" s="93"/>
      <c r="E550" s="94"/>
      <c r="F550" s="95"/>
      <c r="G550" s="96"/>
    </row>
    <row r="551" ht="14.25" customHeight="1" spans="4:7">
      <c r="D551" s="93"/>
      <c r="E551" s="94"/>
      <c r="F551" s="95"/>
      <c r="G551" s="96"/>
    </row>
    <row r="552" ht="14.25" customHeight="1" spans="4:7">
      <c r="D552" s="93"/>
      <c r="E552" s="94"/>
      <c r="F552" s="95"/>
      <c r="G552" s="96"/>
    </row>
    <row r="553" ht="14.25" customHeight="1" spans="4:7">
      <c r="D553" s="93"/>
      <c r="E553" s="94"/>
      <c r="F553" s="95"/>
      <c r="G553" s="96"/>
    </row>
    <row r="554" ht="14.25" customHeight="1" spans="4:7">
      <c r="D554" s="93"/>
      <c r="E554" s="94"/>
      <c r="F554" s="95"/>
      <c r="G554" s="96"/>
    </row>
    <row r="555" ht="14.25" customHeight="1" spans="4:7">
      <c r="D555" s="93"/>
      <c r="E555" s="94"/>
      <c r="F555" s="95"/>
      <c r="G555" s="96"/>
    </row>
    <row r="556" ht="14.25" customHeight="1" spans="4:7">
      <c r="D556" s="93"/>
      <c r="E556" s="94"/>
      <c r="F556" s="95"/>
      <c r="G556" s="96"/>
    </row>
    <row r="557" ht="14.25" customHeight="1" spans="4:7">
      <c r="D557" s="93"/>
      <c r="E557" s="94"/>
      <c r="F557" s="95"/>
      <c r="G557" s="96"/>
    </row>
    <row r="558" ht="14.25" customHeight="1" spans="4:7">
      <c r="D558" s="93"/>
      <c r="E558" s="94"/>
      <c r="F558" s="95"/>
      <c r="G558" s="96"/>
    </row>
    <row r="559" ht="14.25" customHeight="1" spans="4:7">
      <c r="D559" s="93"/>
      <c r="E559" s="94"/>
      <c r="F559" s="95"/>
      <c r="G559" s="96"/>
    </row>
    <row r="560" ht="14.25" customHeight="1" spans="4:7">
      <c r="D560" s="93"/>
      <c r="E560" s="94"/>
      <c r="F560" s="95"/>
      <c r="G560" s="96"/>
    </row>
    <row r="561" ht="14.25" customHeight="1" spans="4:7">
      <c r="D561" s="93"/>
      <c r="E561" s="94"/>
      <c r="F561" s="95"/>
      <c r="G561" s="96"/>
    </row>
    <row r="562" ht="14.25" customHeight="1" spans="4:7">
      <c r="D562" s="93"/>
      <c r="E562" s="94"/>
      <c r="F562" s="95"/>
      <c r="G562" s="96"/>
    </row>
    <row r="563" ht="14.25" customHeight="1" spans="4:7">
      <c r="D563" s="93"/>
      <c r="E563" s="94"/>
      <c r="F563" s="95"/>
      <c r="G563" s="96"/>
    </row>
    <row r="564" ht="14.25" customHeight="1" spans="4:7">
      <c r="D564" s="93"/>
      <c r="E564" s="94"/>
      <c r="F564" s="95"/>
      <c r="G564" s="96"/>
    </row>
    <row r="565" ht="14.25" customHeight="1" spans="4:7">
      <c r="D565" s="93"/>
      <c r="E565" s="94"/>
      <c r="F565" s="95"/>
      <c r="G565" s="96"/>
    </row>
    <row r="566" ht="14.25" customHeight="1" spans="4:7">
      <c r="D566" s="93"/>
      <c r="E566" s="94"/>
      <c r="F566" s="95"/>
      <c r="G566" s="96"/>
    </row>
    <row r="567" ht="14.25" customHeight="1" spans="4:7">
      <c r="D567" s="93"/>
      <c r="E567" s="94"/>
      <c r="F567" s="95"/>
      <c r="G567" s="96"/>
    </row>
    <row r="568" ht="14.25" customHeight="1" spans="4:7">
      <c r="D568" s="93"/>
      <c r="E568" s="94"/>
      <c r="F568" s="95"/>
      <c r="G568" s="96"/>
    </row>
    <row r="569" ht="14.25" customHeight="1" spans="4:7">
      <c r="D569" s="93"/>
      <c r="E569" s="94"/>
      <c r="F569" s="95"/>
      <c r="G569" s="96"/>
    </row>
    <row r="570" ht="14.25" customHeight="1" spans="4:7">
      <c r="D570" s="93"/>
      <c r="E570" s="94"/>
      <c r="F570" s="95"/>
      <c r="G570" s="96"/>
    </row>
    <row r="571" ht="14.25" customHeight="1" spans="4:7">
      <c r="D571" s="93"/>
      <c r="E571" s="94"/>
      <c r="F571" s="95"/>
      <c r="G571" s="96"/>
    </row>
    <row r="572" ht="14.25" customHeight="1" spans="4:7">
      <c r="D572" s="93"/>
      <c r="E572" s="94"/>
      <c r="F572" s="95"/>
      <c r="G572" s="96"/>
    </row>
    <row r="573" ht="14.25" customHeight="1" spans="4:7">
      <c r="D573" s="93"/>
      <c r="E573" s="94"/>
      <c r="F573" s="95"/>
      <c r="G573" s="96"/>
    </row>
    <row r="574" ht="14.25" customHeight="1" spans="4:7">
      <c r="D574" s="93"/>
      <c r="E574" s="94"/>
      <c r="F574" s="95"/>
      <c r="G574" s="96"/>
    </row>
    <row r="575" ht="14.25" customHeight="1" spans="4:7">
      <c r="D575" s="93"/>
      <c r="E575" s="94"/>
      <c r="F575" s="95"/>
      <c r="G575" s="96"/>
    </row>
    <row r="576" ht="14.25" customHeight="1" spans="4:7">
      <c r="D576" s="93"/>
      <c r="E576" s="94"/>
      <c r="F576" s="95"/>
      <c r="G576" s="96"/>
    </row>
    <row r="577" ht="14.25" customHeight="1" spans="4:7">
      <c r="D577" s="93"/>
      <c r="E577" s="94"/>
      <c r="F577" s="95"/>
      <c r="G577" s="96"/>
    </row>
    <row r="578" ht="14.25" customHeight="1" spans="4:7">
      <c r="D578" s="93"/>
      <c r="E578" s="94"/>
      <c r="F578" s="95"/>
      <c r="G578" s="96"/>
    </row>
    <row r="579" ht="14.25" customHeight="1" spans="4:7">
      <c r="D579" s="93"/>
      <c r="E579" s="94"/>
      <c r="F579" s="95"/>
      <c r="G579" s="96"/>
    </row>
    <row r="580" ht="14.25" customHeight="1" spans="4:7">
      <c r="D580" s="93"/>
      <c r="E580" s="94"/>
      <c r="F580" s="95"/>
      <c r="G580" s="96"/>
    </row>
    <row r="581" ht="14.25" customHeight="1" spans="4:7">
      <c r="D581" s="93"/>
      <c r="E581" s="94"/>
      <c r="F581" s="95"/>
      <c r="G581" s="96"/>
    </row>
    <row r="582" ht="14.25" customHeight="1" spans="4:7">
      <c r="D582" s="93"/>
      <c r="E582" s="94"/>
      <c r="F582" s="95"/>
      <c r="G582" s="96"/>
    </row>
    <row r="583" ht="14.25" customHeight="1" spans="4:7">
      <c r="D583" s="93"/>
      <c r="E583" s="94"/>
      <c r="F583" s="95"/>
      <c r="G583" s="96"/>
    </row>
    <row r="584" ht="14.25" customHeight="1" spans="4:7">
      <c r="D584" s="93"/>
      <c r="E584" s="94"/>
      <c r="F584" s="95"/>
      <c r="G584" s="96"/>
    </row>
    <row r="585" ht="14.25" customHeight="1" spans="4:7">
      <c r="D585" s="93"/>
      <c r="E585" s="94"/>
      <c r="F585" s="95"/>
      <c r="G585" s="96"/>
    </row>
    <row r="586" ht="14.25" customHeight="1" spans="4:7">
      <c r="D586" s="93"/>
      <c r="E586" s="94"/>
      <c r="F586" s="95"/>
      <c r="G586" s="96"/>
    </row>
    <row r="587" ht="14.25" customHeight="1" spans="4:7">
      <c r="D587" s="93"/>
      <c r="E587" s="94"/>
      <c r="F587" s="95"/>
      <c r="G587" s="96"/>
    </row>
    <row r="588" ht="14.25" customHeight="1" spans="4:7">
      <c r="D588" s="93"/>
      <c r="E588" s="94"/>
      <c r="F588" s="95"/>
      <c r="G588" s="96"/>
    </row>
    <row r="589" ht="14.25" customHeight="1" spans="4:7">
      <c r="D589" s="93"/>
      <c r="E589" s="94"/>
      <c r="F589" s="95"/>
      <c r="G589" s="96"/>
    </row>
    <row r="590" ht="14.25" customHeight="1" spans="4:7">
      <c r="D590" s="93"/>
      <c r="E590" s="94"/>
      <c r="F590" s="95"/>
      <c r="G590" s="96"/>
    </row>
    <row r="591" ht="14.25" customHeight="1" spans="4:7">
      <c r="D591" s="93"/>
      <c r="E591" s="94"/>
      <c r="F591" s="95"/>
      <c r="G591" s="96"/>
    </row>
    <row r="592" ht="14.25" customHeight="1" spans="4:7">
      <c r="D592" s="93"/>
      <c r="E592" s="94"/>
      <c r="F592" s="95"/>
      <c r="G592" s="96"/>
    </row>
    <row r="593" ht="14.25" customHeight="1" spans="4:7">
      <c r="D593" s="93"/>
      <c r="E593" s="94"/>
      <c r="F593" s="95"/>
      <c r="G593" s="96"/>
    </row>
    <row r="594" ht="14.25" customHeight="1" spans="4:7">
      <c r="D594" s="93"/>
      <c r="E594" s="94"/>
      <c r="F594" s="95"/>
      <c r="G594" s="96"/>
    </row>
    <row r="595" ht="14.25" customHeight="1" spans="4:7">
      <c r="D595" s="93"/>
      <c r="E595" s="94"/>
      <c r="F595" s="95"/>
      <c r="G595" s="96"/>
    </row>
    <row r="596" ht="14.25" customHeight="1" spans="4:7">
      <c r="D596" s="93"/>
      <c r="E596" s="94"/>
      <c r="F596" s="95"/>
      <c r="G596" s="96"/>
    </row>
    <row r="597" ht="14.25" customHeight="1" spans="4:7">
      <c r="D597" s="93"/>
      <c r="E597" s="94"/>
      <c r="F597" s="95"/>
      <c r="G597" s="96"/>
    </row>
    <row r="598" ht="14.25" customHeight="1" spans="4:7">
      <c r="D598" s="93"/>
      <c r="E598" s="94"/>
      <c r="F598" s="95"/>
      <c r="G598" s="96"/>
    </row>
    <row r="599" ht="14.25" customHeight="1" spans="4:7">
      <c r="D599" s="93"/>
      <c r="E599" s="94"/>
      <c r="F599" s="95"/>
      <c r="G599" s="96"/>
    </row>
    <row r="600" ht="14.25" customHeight="1" spans="4:7">
      <c r="D600" s="93"/>
      <c r="E600" s="94"/>
      <c r="F600" s="95"/>
      <c r="G600" s="96"/>
    </row>
    <row r="601" ht="14.25" customHeight="1" spans="4:7">
      <c r="D601" s="93"/>
      <c r="E601" s="94"/>
      <c r="F601" s="95"/>
      <c r="G601" s="96"/>
    </row>
    <row r="602" ht="14.25" customHeight="1" spans="4:7">
      <c r="D602" s="93"/>
      <c r="E602" s="94"/>
      <c r="F602" s="95"/>
      <c r="G602" s="96"/>
    </row>
    <row r="603" ht="14.25" customHeight="1" spans="4:7">
      <c r="D603" s="93"/>
      <c r="E603" s="94"/>
      <c r="F603" s="95"/>
      <c r="G603" s="96"/>
    </row>
    <row r="604" ht="14.25" customHeight="1" spans="4:7">
      <c r="D604" s="93"/>
      <c r="E604" s="94"/>
      <c r="F604" s="95"/>
      <c r="G604" s="96"/>
    </row>
    <row r="605" ht="14.25" customHeight="1" spans="4:7">
      <c r="D605" s="93"/>
      <c r="E605" s="94"/>
      <c r="F605" s="95"/>
      <c r="G605" s="96"/>
    </row>
    <row r="606" ht="14.25" customHeight="1" spans="4:7">
      <c r="D606" s="93"/>
      <c r="E606" s="94"/>
      <c r="F606" s="95"/>
      <c r="G606" s="96"/>
    </row>
    <row r="607" ht="14.25" customHeight="1" spans="4:7">
      <c r="D607" s="93"/>
      <c r="E607" s="94"/>
      <c r="F607" s="95"/>
      <c r="G607" s="96"/>
    </row>
    <row r="608" ht="14.25" customHeight="1" spans="4:7">
      <c r="D608" s="93"/>
      <c r="E608" s="94"/>
      <c r="F608" s="95"/>
      <c r="G608" s="96"/>
    </row>
    <row r="609" ht="14.25" customHeight="1" spans="4:7">
      <c r="D609" s="93"/>
      <c r="E609" s="94"/>
      <c r="F609" s="95"/>
      <c r="G609" s="96"/>
    </row>
    <row r="610" ht="14.25" customHeight="1" spans="4:7">
      <c r="D610" s="93"/>
      <c r="E610" s="94"/>
      <c r="F610" s="95"/>
      <c r="G610" s="96"/>
    </row>
    <row r="611" ht="14.25" customHeight="1" spans="4:7">
      <c r="D611" s="93"/>
      <c r="E611" s="94"/>
      <c r="F611" s="95"/>
      <c r="G611" s="96"/>
    </row>
    <row r="612" ht="14.25" customHeight="1" spans="4:7">
      <c r="D612" s="93"/>
      <c r="E612" s="94"/>
      <c r="F612" s="95"/>
      <c r="G612" s="96"/>
    </row>
    <row r="613" ht="14.25" customHeight="1" spans="4:7">
      <c r="D613" s="93"/>
      <c r="E613" s="94"/>
      <c r="F613" s="95"/>
      <c r="G613" s="96"/>
    </row>
    <row r="614" ht="14.25" customHeight="1" spans="4:7">
      <c r="D614" s="93"/>
      <c r="E614" s="94"/>
      <c r="F614" s="95"/>
      <c r="G614" s="96"/>
    </row>
    <row r="615" ht="14.25" customHeight="1" spans="4:7">
      <c r="D615" s="93"/>
      <c r="E615" s="94"/>
      <c r="F615" s="95"/>
      <c r="G615" s="96"/>
    </row>
    <row r="616" ht="14.25" customHeight="1" spans="4:7">
      <c r="D616" s="93"/>
      <c r="E616" s="94"/>
      <c r="F616" s="95"/>
      <c r="G616" s="96"/>
    </row>
    <row r="617" ht="14.25" customHeight="1" spans="4:7">
      <c r="D617" s="93"/>
      <c r="E617" s="94"/>
      <c r="F617" s="95"/>
      <c r="G617" s="96"/>
    </row>
    <row r="618" ht="14.25" customHeight="1" spans="4:7">
      <c r="D618" s="93"/>
      <c r="E618" s="94"/>
      <c r="F618" s="95"/>
      <c r="G618" s="96"/>
    </row>
    <row r="619" ht="14.25" customHeight="1" spans="4:7">
      <c r="D619" s="93"/>
      <c r="E619" s="94"/>
      <c r="F619" s="95"/>
      <c r="G619" s="96"/>
    </row>
    <row r="620" ht="14.25" customHeight="1" spans="4:7">
      <c r="D620" s="93"/>
      <c r="E620" s="94"/>
      <c r="F620" s="95"/>
      <c r="G620" s="96"/>
    </row>
    <row r="621" ht="14.25" customHeight="1" spans="4:7">
      <c r="D621" s="93"/>
      <c r="E621" s="94"/>
      <c r="F621" s="95"/>
      <c r="G621" s="96"/>
    </row>
    <row r="622" ht="14.25" customHeight="1" spans="4:7">
      <c r="D622" s="93"/>
      <c r="E622" s="94"/>
      <c r="F622" s="95"/>
      <c r="G622" s="96"/>
    </row>
    <row r="623" ht="14.25" customHeight="1" spans="4:7">
      <c r="D623" s="93"/>
      <c r="E623" s="94"/>
      <c r="F623" s="95"/>
      <c r="G623" s="96"/>
    </row>
    <row r="624" ht="14.25" customHeight="1" spans="4:7">
      <c r="D624" s="93"/>
      <c r="E624" s="94"/>
      <c r="F624" s="95"/>
      <c r="G624" s="96"/>
    </row>
    <row r="625" ht="14.25" customHeight="1" spans="4:7">
      <c r="D625" s="93"/>
      <c r="E625" s="94"/>
      <c r="F625" s="95"/>
      <c r="G625" s="96"/>
    </row>
    <row r="626" ht="14.25" customHeight="1" spans="4:7">
      <c r="D626" s="93"/>
      <c r="E626" s="94"/>
      <c r="F626" s="95"/>
      <c r="G626" s="96"/>
    </row>
    <row r="627" ht="14.25" customHeight="1" spans="4:7">
      <c r="D627" s="93"/>
      <c r="E627" s="94"/>
      <c r="F627" s="95"/>
      <c r="G627" s="96"/>
    </row>
    <row r="628" ht="14.25" customHeight="1" spans="4:7">
      <c r="D628" s="93"/>
      <c r="E628" s="94"/>
      <c r="F628" s="95"/>
      <c r="G628" s="96"/>
    </row>
    <row r="629" ht="14.25" customHeight="1" spans="4:7">
      <c r="D629" s="93"/>
      <c r="E629" s="94"/>
      <c r="F629" s="95"/>
      <c r="G629" s="96"/>
    </row>
    <row r="630" ht="14.25" customHeight="1" spans="4:7">
      <c r="D630" s="93"/>
      <c r="E630" s="94"/>
      <c r="F630" s="95"/>
      <c r="G630" s="96"/>
    </row>
    <row r="631" ht="14.25" customHeight="1" spans="4:7">
      <c r="D631" s="93"/>
      <c r="E631" s="94"/>
      <c r="F631" s="95"/>
      <c r="G631" s="96"/>
    </row>
    <row r="632" ht="14.25" customHeight="1" spans="4:7">
      <c r="D632" s="93"/>
      <c r="E632" s="94"/>
      <c r="F632" s="95"/>
      <c r="G632" s="96"/>
    </row>
    <row r="633" ht="14.25" customHeight="1" spans="4:7">
      <c r="D633" s="93"/>
      <c r="E633" s="94"/>
      <c r="F633" s="95"/>
      <c r="G633" s="96"/>
    </row>
    <row r="634" ht="14.25" customHeight="1" spans="4:7">
      <c r="D634" s="93"/>
      <c r="E634" s="94"/>
      <c r="F634" s="95"/>
      <c r="G634" s="96"/>
    </row>
    <row r="635" ht="14.25" customHeight="1" spans="4:7">
      <c r="D635" s="93"/>
      <c r="E635" s="94"/>
      <c r="F635" s="95"/>
      <c r="G635" s="96"/>
    </row>
    <row r="636" ht="14.25" customHeight="1" spans="4:7">
      <c r="D636" s="93"/>
      <c r="E636" s="94"/>
      <c r="F636" s="95"/>
      <c r="G636" s="96"/>
    </row>
    <row r="637" ht="14.25" customHeight="1" spans="4:7">
      <c r="D637" s="93"/>
      <c r="E637" s="94"/>
      <c r="F637" s="95"/>
      <c r="G637" s="96"/>
    </row>
    <row r="638" ht="14.25" customHeight="1" spans="4:7">
      <c r="D638" s="93"/>
      <c r="E638" s="94"/>
      <c r="F638" s="95"/>
      <c r="G638" s="96"/>
    </row>
    <row r="639" ht="14.25" customHeight="1" spans="4:7">
      <c r="D639" s="93"/>
      <c r="E639" s="94"/>
      <c r="F639" s="95"/>
      <c r="G639" s="96"/>
    </row>
    <row r="640" ht="14.25" customHeight="1" spans="4:7">
      <c r="D640" s="93"/>
      <c r="E640" s="94"/>
      <c r="F640" s="95"/>
      <c r="G640" s="96"/>
    </row>
    <row r="641" ht="14.25" customHeight="1" spans="4:7">
      <c r="D641" s="93"/>
      <c r="E641" s="94"/>
      <c r="F641" s="95"/>
      <c r="G641" s="96"/>
    </row>
    <row r="642" ht="14.25" customHeight="1" spans="4:7">
      <c r="D642" s="93"/>
      <c r="E642" s="94"/>
      <c r="F642" s="95"/>
      <c r="G642" s="96"/>
    </row>
    <row r="643" ht="14.25" customHeight="1" spans="4:7">
      <c r="D643" s="93"/>
      <c r="E643" s="94"/>
      <c r="F643" s="95"/>
      <c r="G643" s="96"/>
    </row>
    <row r="644" ht="14.25" customHeight="1" spans="4:7">
      <c r="D644" s="93"/>
      <c r="E644" s="94"/>
      <c r="F644" s="95"/>
      <c r="G644" s="96"/>
    </row>
    <row r="645" ht="14.25" customHeight="1" spans="4:7">
      <c r="D645" s="93"/>
      <c r="E645" s="94"/>
      <c r="F645" s="95"/>
      <c r="G645" s="96"/>
    </row>
    <row r="646" ht="14.25" customHeight="1" spans="4:7">
      <c r="D646" s="93"/>
      <c r="E646" s="94"/>
      <c r="F646" s="95"/>
      <c r="G646" s="96"/>
    </row>
    <row r="647" ht="14.25" customHeight="1" spans="4:7">
      <c r="D647" s="93"/>
      <c r="E647" s="94"/>
      <c r="F647" s="95"/>
      <c r="G647" s="96"/>
    </row>
    <row r="648" ht="14.25" customHeight="1" spans="4:7">
      <c r="D648" s="93"/>
      <c r="E648" s="94"/>
      <c r="F648" s="95"/>
      <c r="G648" s="96"/>
    </row>
    <row r="649" ht="14.25" customHeight="1" spans="4:7">
      <c r="D649" s="93"/>
      <c r="E649" s="94"/>
      <c r="F649" s="95"/>
      <c r="G649" s="96"/>
    </row>
    <row r="650" ht="14.25" customHeight="1" spans="4:7">
      <c r="D650" s="93"/>
      <c r="E650" s="94"/>
      <c r="F650" s="95"/>
      <c r="G650" s="96"/>
    </row>
    <row r="651" ht="14.25" customHeight="1" spans="4:7">
      <c r="D651" s="93"/>
      <c r="E651" s="94"/>
      <c r="F651" s="95"/>
      <c r="G651" s="96"/>
    </row>
    <row r="652" ht="14.25" customHeight="1" spans="4:7">
      <c r="D652" s="93"/>
      <c r="E652" s="94"/>
      <c r="F652" s="95"/>
      <c r="G652" s="96"/>
    </row>
    <row r="653" ht="14.25" customHeight="1" spans="4:7">
      <c r="D653" s="93"/>
      <c r="E653" s="94"/>
      <c r="F653" s="95"/>
      <c r="G653" s="96"/>
    </row>
    <row r="654" ht="14.25" customHeight="1" spans="4:7">
      <c r="D654" s="93"/>
      <c r="E654" s="94"/>
      <c r="F654" s="95"/>
      <c r="G654" s="96"/>
    </row>
    <row r="655" ht="14.25" customHeight="1" spans="4:7">
      <c r="D655" s="93"/>
      <c r="E655" s="94"/>
      <c r="F655" s="95"/>
      <c r="G655" s="96"/>
    </row>
    <row r="656" ht="14.25" customHeight="1" spans="4:7">
      <c r="D656" s="93"/>
      <c r="E656" s="94"/>
      <c r="F656" s="95"/>
      <c r="G656" s="96"/>
    </row>
    <row r="657" ht="14.25" customHeight="1" spans="4:7">
      <c r="D657" s="93"/>
      <c r="E657" s="94"/>
      <c r="F657" s="95"/>
      <c r="G657" s="96"/>
    </row>
    <row r="658" ht="14.25" customHeight="1" spans="4:7">
      <c r="D658" s="93"/>
      <c r="E658" s="94"/>
      <c r="F658" s="95"/>
      <c r="G658" s="96"/>
    </row>
    <row r="659" ht="14.25" customHeight="1" spans="4:7">
      <c r="D659" s="93"/>
      <c r="E659" s="94"/>
      <c r="F659" s="95"/>
      <c r="G659" s="96"/>
    </row>
    <row r="660" ht="14.25" customHeight="1" spans="4:7">
      <c r="D660" s="93"/>
      <c r="E660" s="94"/>
      <c r="F660" s="95"/>
      <c r="G660" s="96"/>
    </row>
    <row r="661" ht="14.25" customHeight="1" spans="4:7">
      <c r="D661" s="93"/>
      <c r="E661" s="94"/>
      <c r="F661" s="95"/>
      <c r="G661" s="96"/>
    </row>
    <row r="662" ht="14.25" customHeight="1" spans="4:7">
      <c r="D662" s="93"/>
      <c r="E662" s="94"/>
      <c r="F662" s="95"/>
      <c r="G662" s="96"/>
    </row>
    <row r="663" ht="14.25" customHeight="1" spans="4:7">
      <c r="D663" s="93"/>
      <c r="E663" s="94"/>
      <c r="F663" s="95"/>
      <c r="G663" s="96"/>
    </row>
    <row r="664" ht="14.25" customHeight="1" spans="4:7">
      <c r="D664" s="93"/>
      <c r="E664" s="94"/>
      <c r="F664" s="95"/>
      <c r="G664" s="96"/>
    </row>
    <row r="665" ht="14.25" customHeight="1" spans="4:7">
      <c r="D665" s="93"/>
      <c r="E665" s="94"/>
      <c r="F665" s="95"/>
      <c r="G665" s="96"/>
    </row>
    <row r="666" ht="14.25" customHeight="1" spans="4:7">
      <c r="D666" s="93"/>
      <c r="E666" s="94"/>
      <c r="F666" s="95"/>
      <c r="G666" s="96"/>
    </row>
    <row r="667" ht="14.25" customHeight="1" spans="4:7">
      <c r="D667" s="93"/>
      <c r="E667" s="94"/>
      <c r="F667" s="95"/>
      <c r="G667" s="96"/>
    </row>
    <row r="668" ht="14.25" customHeight="1" spans="4:7">
      <c r="D668" s="93"/>
      <c r="E668" s="94"/>
      <c r="F668" s="95"/>
      <c r="G668" s="96"/>
    </row>
    <row r="669" ht="14.25" customHeight="1" spans="4:7">
      <c r="D669" s="93"/>
      <c r="E669" s="94"/>
      <c r="F669" s="95"/>
      <c r="G669" s="96"/>
    </row>
    <row r="670" ht="14.25" customHeight="1" spans="4:7">
      <c r="D670" s="93"/>
      <c r="E670" s="94"/>
      <c r="F670" s="95"/>
      <c r="G670" s="96"/>
    </row>
    <row r="671" ht="14.25" customHeight="1" spans="4:7">
      <c r="D671" s="93"/>
      <c r="E671" s="94"/>
      <c r="F671" s="95"/>
      <c r="G671" s="96"/>
    </row>
    <row r="672" ht="14.25" customHeight="1" spans="4:7">
      <c r="D672" s="93"/>
      <c r="E672" s="94"/>
      <c r="F672" s="95"/>
      <c r="G672" s="96"/>
    </row>
    <row r="673" ht="14.25" customHeight="1" spans="4:7">
      <c r="D673" s="93"/>
      <c r="E673" s="94"/>
      <c r="F673" s="95"/>
      <c r="G673" s="96"/>
    </row>
    <row r="674" ht="14.25" customHeight="1" spans="4:7">
      <c r="D674" s="93"/>
      <c r="E674" s="94"/>
      <c r="F674" s="95"/>
      <c r="G674" s="96"/>
    </row>
    <row r="675" ht="14.25" customHeight="1" spans="4:7">
      <c r="D675" s="93"/>
      <c r="E675" s="94"/>
      <c r="F675" s="95"/>
      <c r="G675" s="96"/>
    </row>
    <row r="676" ht="14.25" customHeight="1" spans="4:7">
      <c r="D676" s="93"/>
      <c r="E676" s="94"/>
      <c r="F676" s="95"/>
      <c r="G676" s="96"/>
    </row>
    <row r="677" ht="14.25" customHeight="1" spans="4:7">
      <c r="D677" s="93"/>
      <c r="E677" s="94"/>
      <c r="F677" s="95"/>
      <c r="G677" s="96"/>
    </row>
    <row r="678" ht="14.25" customHeight="1" spans="4:7">
      <c r="D678" s="93"/>
      <c r="E678" s="94"/>
      <c r="F678" s="95"/>
      <c r="G678" s="96"/>
    </row>
    <row r="679" ht="14.25" customHeight="1" spans="4:7">
      <c r="D679" s="93"/>
      <c r="E679" s="94"/>
      <c r="F679" s="95"/>
      <c r="G679" s="96"/>
    </row>
    <row r="680" ht="14.25" customHeight="1" spans="4:7">
      <c r="D680" s="93"/>
      <c r="E680" s="94"/>
      <c r="F680" s="95"/>
      <c r="G680" s="96"/>
    </row>
    <row r="681" ht="14.25" customHeight="1" spans="4:7">
      <c r="D681" s="93"/>
      <c r="E681" s="94"/>
      <c r="F681" s="95"/>
      <c r="G681" s="96"/>
    </row>
    <row r="682" ht="14.25" customHeight="1" spans="4:7">
      <c r="D682" s="93"/>
      <c r="E682" s="94"/>
      <c r="F682" s="95"/>
      <c r="G682" s="96"/>
    </row>
    <row r="683" ht="14.25" customHeight="1" spans="4:7">
      <c r="D683" s="93"/>
      <c r="E683" s="94"/>
      <c r="F683" s="95"/>
      <c r="G683" s="96"/>
    </row>
    <row r="684" ht="14.25" customHeight="1" spans="4:7">
      <c r="D684" s="93"/>
      <c r="E684" s="94"/>
      <c r="F684" s="95"/>
      <c r="G684" s="96"/>
    </row>
    <row r="685" ht="14.25" customHeight="1" spans="4:7">
      <c r="D685" s="93"/>
      <c r="E685" s="94"/>
      <c r="F685" s="95"/>
      <c r="G685" s="96"/>
    </row>
    <row r="686" ht="14.25" customHeight="1" spans="4:7">
      <c r="D686" s="93"/>
      <c r="E686" s="94"/>
      <c r="F686" s="95"/>
      <c r="G686" s="96"/>
    </row>
    <row r="687" ht="14.25" customHeight="1" spans="4:7">
      <c r="D687" s="93"/>
      <c r="E687" s="94"/>
      <c r="F687" s="95"/>
      <c r="G687" s="96"/>
    </row>
    <row r="688" ht="14.25" customHeight="1" spans="4:7">
      <c r="D688" s="93"/>
      <c r="E688" s="94"/>
      <c r="F688" s="95"/>
      <c r="G688" s="96"/>
    </row>
    <row r="689" ht="14.25" customHeight="1" spans="4:7">
      <c r="D689" s="93"/>
      <c r="E689" s="94"/>
      <c r="F689" s="95"/>
      <c r="G689" s="96"/>
    </row>
    <row r="690" ht="14.25" customHeight="1" spans="4:7">
      <c r="D690" s="93"/>
      <c r="E690" s="94"/>
      <c r="F690" s="95"/>
      <c r="G690" s="96"/>
    </row>
    <row r="691" ht="14.25" customHeight="1" spans="4:7">
      <c r="D691" s="93"/>
      <c r="E691" s="94"/>
      <c r="F691" s="95"/>
      <c r="G691" s="96"/>
    </row>
    <row r="692" ht="14.25" customHeight="1" spans="4:7">
      <c r="D692" s="93"/>
      <c r="E692" s="94"/>
      <c r="F692" s="95"/>
      <c r="G692" s="96"/>
    </row>
    <row r="693" ht="14.25" customHeight="1" spans="4:7">
      <c r="D693" s="93"/>
      <c r="E693" s="94"/>
      <c r="F693" s="95"/>
      <c r="G693" s="96"/>
    </row>
    <row r="694" ht="14.25" customHeight="1" spans="4:7">
      <c r="D694" s="93"/>
      <c r="E694" s="94"/>
      <c r="F694" s="95"/>
      <c r="G694" s="96"/>
    </row>
    <row r="695" ht="14.25" customHeight="1" spans="4:7">
      <c r="D695" s="93"/>
      <c r="E695" s="94"/>
      <c r="F695" s="95"/>
      <c r="G695" s="96"/>
    </row>
    <row r="696" ht="14.25" customHeight="1" spans="4:7">
      <c r="D696" s="93"/>
      <c r="E696" s="94"/>
      <c r="F696" s="95"/>
      <c r="G696" s="96"/>
    </row>
    <row r="697" ht="14.25" customHeight="1" spans="4:7">
      <c r="D697" s="93"/>
      <c r="E697" s="94"/>
      <c r="F697" s="95"/>
      <c r="G697" s="96"/>
    </row>
    <row r="698" ht="14.25" customHeight="1" spans="4:7">
      <c r="D698" s="93"/>
      <c r="E698" s="94"/>
      <c r="F698" s="95"/>
      <c r="G698" s="96"/>
    </row>
    <row r="699" ht="14.25" customHeight="1" spans="4:7">
      <c r="D699" s="93"/>
      <c r="E699" s="94"/>
      <c r="F699" s="95"/>
      <c r="G699" s="96"/>
    </row>
    <row r="700" ht="14.25" customHeight="1" spans="4:7">
      <c r="D700" s="93"/>
      <c r="E700" s="94"/>
      <c r="F700" s="95"/>
      <c r="G700" s="96"/>
    </row>
    <row r="701" ht="14.25" customHeight="1" spans="4:7">
      <c r="D701" s="93"/>
      <c r="E701" s="94"/>
      <c r="F701" s="95"/>
      <c r="G701" s="96"/>
    </row>
    <row r="702" ht="14.25" customHeight="1" spans="4:7">
      <c r="D702" s="93"/>
      <c r="E702" s="94"/>
      <c r="F702" s="95"/>
      <c r="G702" s="96"/>
    </row>
    <row r="703" ht="14.25" customHeight="1" spans="4:7">
      <c r="D703" s="93"/>
      <c r="E703" s="94"/>
      <c r="F703" s="95"/>
      <c r="G703" s="96"/>
    </row>
    <row r="704" ht="14.25" customHeight="1" spans="4:7">
      <c r="D704" s="93"/>
      <c r="E704" s="94"/>
      <c r="F704" s="95"/>
      <c r="G704" s="96"/>
    </row>
    <row r="705" ht="14.25" customHeight="1" spans="4:7">
      <c r="D705" s="93"/>
      <c r="E705" s="94"/>
      <c r="F705" s="95"/>
      <c r="G705" s="96"/>
    </row>
    <row r="706" ht="14.25" customHeight="1" spans="4:7">
      <c r="D706" s="93"/>
      <c r="E706" s="94"/>
      <c r="F706" s="95"/>
      <c r="G706" s="96"/>
    </row>
    <row r="707" ht="14.25" customHeight="1" spans="4:7">
      <c r="D707" s="93"/>
      <c r="E707" s="94"/>
      <c r="F707" s="95"/>
      <c r="G707" s="96"/>
    </row>
    <row r="708" ht="14.25" customHeight="1" spans="4:7">
      <c r="D708" s="93"/>
      <c r="E708" s="94"/>
      <c r="F708" s="95"/>
      <c r="G708" s="96"/>
    </row>
    <row r="709" ht="14.25" customHeight="1" spans="4:7">
      <c r="D709" s="93"/>
      <c r="E709" s="94"/>
      <c r="F709" s="95"/>
      <c r="G709" s="96"/>
    </row>
    <row r="710" ht="14.25" customHeight="1" spans="4:7">
      <c r="D710" s="93"/>
      <c r="E710" s="94"/>
      <c r="F710" s="95"/>
      <c r="G710" s="96"/>
    </row>
    <row r="711" ht="14.25" customHeight="1" spans="4:7">
      <c r="D711" s="93"/>
      <c r="E711" s="94"/>
      <c r="F711" s="95"/>
      <c r="G711" s="96"/>
    </row>
    <row r="712" ht="14.25" customHeight="1" spans="4:7">
      <c r="D712" s="93"/>
      <c r="E712" s="94"/>
      <c r="F712" s="95"/>
      <c r="G712" s="96"/>
    </row>
    <row r="713" ht="14.25" customHeight="1" spans="4:7">
      <c r="D713" s="93"/>
      <c r="E713" s="94"/>
      <c r="F713" s="95"/>
      <c r="G713" s="96"/>
    </row>
    <row r="714" ht="14.25" customHeight="1" spans="4:7">
      <c r="D714" s="93"/>
      <c r="E714" s="94"/>
      <c r="F714" s="95"/>
      <c r="G714" s="96"/>
    </row>
    <row r="715" ht="14.25" customHeight="1" spans="4:7">
      <c r="D715" s="93"/>
      <c r="E715" s="94"/>
      <c r="F715" s="95"/>
      <c r="G715" s="96"/>
    </row>
    <row r="716" ht="14.25" customHeight="1" spans="4:7">
      <c r="D716" s="93"/>
      <c r="E716" s="94"/>
      <c r="F716" s="95"/>
      <c r="G716" s="96"/>
    </row>
    <row r="717" ht="14.25" customHeight="1" spans="4:7">
      <c r="D717" s="93"/>
      <c r="E717" s="94"/>
      <c r="F717" s="95"/>
      <c r="G717" s="96"/>
    </row>
    <row r="718" ht="14.25" customHeight="1" spans="4:7">
      <c r="D718" s="93"/>
      <c r="E718" s="94"/>
      <c r="F718" s="95"/>
      <c r="G718" s="96"/>
    </row>
    <row r="719" ht="14.25" customHeight="1" spans="4:7">
      <c r="D719" s="93"/>
      <c r="E719" s="94"/>
      <c r="F719" s="95"/>
      <c r="G719" s="96"/>
    </row>
    <row r="720" ht="14.25" customHeight="1" spans="4:7">
      <c r="D720" s="93"/>
      <c r="E720" s="94"/>
      <c r="F720" s="95"/>
      <c r="G720" s="96"/>
    </row>
    <row r="721" ht="14.25" customHeight="1" spans="4:7">
      <c r="D721" s="93"/>
      <c r="E721" s="94"/>
      <c r="F721" s="95"/>
      <c r="G721" s="96"/>
    </row>
    <row r="722" ht="14.25" customHeight="1" spans="4:7">
      <c r="D722" s="93"/>
      <c r="E722" s="94"/>
      <c r="F722" s="95"/>
      <c r="G722" s="96"/>
    </row>
    <row r="723" ht="14.25" customHeight="1" spans="4:7">
      <c r="D723" s="93"/>
      <c r="E723" s="94"/>
      <c r="F723" s="95"/>
      <c r="G723" s="96"/>
    </row>
    <row r="724" ht="14.25" customHeight="1" spans="4:7">
      <c r="D724" s="93"/>
      <c r="E724" s="94"/>
      <c r="F724" s="95"/>
      <c r="G724" s="96"/>
    </row>
    <row r="725" ht="14.25" customHeight="1" spans="4:7">
      <c r="D725" s="93"/>
      <c r="E725" s="94"/>
      <c r="F725" s="95"/>
      <c r="G725" s="96"/>
    </row>
    <row r="726" ht="14.25" customHeight="1" spans="4:7">
      <c r="D726" s="93"/>
      <c r="E726" s="94"/>
      <c r="F726" s="95"/>
      <c r="G726" s="96"/>
    </row>
    <row r="727" ht="14.25" customHeight="1" spans="4:7">
      <c r="D727" s="93"/>
      <c r="E727" s="94"/>
      <c r="F727" s="95"/>
      <c r="G727" s="96"/>
    </row>
    <row r="728" ht="14.25" customHeight="1" spans="4:7">
      <c r="D728" s="93"/>
      <c r="E728" s="94"/>
      <c r="F728" s="95"/>
      <c r="G728" s="96"/>
    </row>
    <row r="729" ht="14.25" customHeight="1" spans="4:7">
      <c r="D729" s="93"/>
      <c r="E729" s="94"/>
      <c r="F729" s="95"/>
      <c r="G729" s="96"/>
    </row>
    <row r="730" ht="14.25" customHeight="1" spans="4:7">
      <c r="D730" s="93"/>
      <c r="E730" s="94"/>
      <c r="F730" s="95"/>
      <c r="G730" s="96"/>
    </row>
    <row r="731" ht="14.25" customHeight="1" spans="4:7">
      <c r="D731" s="93"/>
      <c r="E731" s="94"/>
      <c r="F731" s="95"/>
      <c r="G731" s="96"/>
    </row>
    <row r="732" ht="14.25" customHeight="1" spans="4:7">
      <c r="D732" s="93"/>
      <c r="E732" s="94"/>
      <c r="F732" s="95"/>
      <c r="G732" s="96"/>
    </row>
    <row r="733" ht="14.25" customHeight="1" spans="4:7">
      <c r="D733" s="93"/>
      <c r="E733" s="94"/>
      <c r="F733" s="95"/>
      <c r="G733" s="96"/>
    </row>
    <row r="734" ht="14.25" customHeight="1" spans="4:7">
      <c r="D734" s="93"/>
      <c r="E734" s="94"/>
      <c r="F734" s="95"/>
      <c r="G734" s="96"/>
    </row>
    <row r="735" ht="14.25" customHeight="1" spans="4:7">
      <c r="D735" s="93"/>
      <c r="E735" s="94"/>
      <c r="F735" s="95"/>
      <c r="G735" s="96"/>
    </row>
    <row r="736" ht="14.25" customHeight="1" spans="4:7">
      <c r="D736" s="93"/>
      <c r="E736" s="94"/>
      <c r="F736" s="95"/>
      <c r="G736" s="96"/>
    </row>
    <row r="737" ht="14.25" customHeight="1" spans="4:7">
      <c r="D737" s="93"/>
      <c r="E737" s="94"/>
      <c r="F737" s="95"/>
      <c r="G737" s="96"/>
    </row>
    <row r="738" ht="14.25" customHeight="1" spans="4:7">
      <c r="D738" s="93"/>
      <c r="E738" s="94"/>
      <c r="F738" s="95"/>
      <c r="G738" s="96"/>
    </row>
    <row r="739" ht="14.25" customHeight="1" spans="4:7">
      <c r="D739" s="93"/>
      <c r="E739" s="94"/>
      <c r="F739" s="95"/>
      <c r="G739" s="96"/>
    </row>
    <row r="740" ht="14.25" customHeight="1" spans="4:7">
      <c r="D740" s="93"/>
      <c r="E740" s="94"/>
      <c r="F740" s="95"/>
      <c r="G740" s="96"/>
    </row>
    <row r="741" ht="14.25" customHeight="1" spans="4:7">
      <c r="D741" s="93"/>
      <c r="E741" s="94"/>
      <c r="F741" s="95"/>
      <c r="G741" s="96"/>
    </row>
    <row r="742" ht="14.25" customHeight="1" spans="4:7">
      <c r="D742" s="93"/>
      <c r="E742" s="94"/>
      <c r="F742" s="95"/>
      <c r="G742" s="96"/>
    </row>
    <row r="743" ht="14.25" customHeight="1" spans="4:7">
      <c r="D743" s="93"/>
      <c r="E743" s="94"/>
      <c r="F743" s="95"/>
      <c r="G743" s="96"/>
    </row>
    <row r="744" ht="14.25" customHeight="1" spans="4:7">
      <c r="D744" s="93"/>
      <c r="E744" s="94"/>
      <c r="F744" s="95"/>
      <c r="G744" s="96"/>
    </row>
    <row r="745" ht="14.25" customHeight="1" spans="4:7">
      <c r="D745" s="93"/>
      <c r="E745" s="94"/>
      <c r="F745" s="95"/>
      <c r="G745" s="96"/>
    </row>
    <row r="746" ht="14.25" customHeight="1" spans="4:7">
      <c r="D746" s="93"/>
      <c r="E746" s="94"/>
      <c r="F746" s="95"/>
      <c r="G746" s="96"/>
    </row>
    <row r="747" ht="14.25" customHeight="1" spans="4:7">
      <c r="D747" s="93"/>
      <c r="E747" s="94"/>
      <c r="F747" s="95"/>
      <c r="G747" s="96"/>
    </row>
    <row r="748" ht="14.25" customHeight="1" spans="4:7">
      <c r="D748" s="93"/>
      <c r="E748" s="94"/>
      <c r="F748" s="95"/>
      <c r="G748" s="96"/>
    </row>
    <row r="749" ht="14.25" customHeight="1" spans="4:7">
      <c r="D749" s="93"/>
      <c r="E749" s="94"/>
      <c r="F749" s="95"/>
      <c r="G749" s="96"/>
    </row>
    <row r="750" ht="14.25" customHeight="1" spans="4:7">
      <c r="D750" s="93"/>
      <c r="E750" s="94"/>
      <c r="F750" s="95"/>
      <c r="G750" s="96"/>
    </row>
    <row r="751" ht="14.25" customHeight="1" spans="4:7">
      <c r="D751" s="93"/>
      <c r="E751" s="94"/>
      <c r="F751" s="95"/>
      <c r="G751" s="96"/>
    </row>
    <row r="752" ht="14.25" customHeight="1" spans="4:7">
      <c r="D752" s="93"/>
      <c r="E752" s="94"/>
      <c r="F752" s="95"/>
      <c r="G752" s="96"/>
    </row>
    <row r="753" ht="14.25" customHeight="1" spans="4:7">
      <c r="D753" s="93"/>
      <c r="E753" s="94"/>
      <c r="F753" s="95"/>
      <c r="G753" s="96"/>
    </row>
    <row r="754" ht="14.25" customHeight="1" spans="4:7">
      <c r="D754" s="93"/>
      <c r="E754" s="94"/>
      <c r="F754" s="95"/>
      <c r="G754" s="96"/>
    </row>
    <row r="755" ht="14.25" customHeight="1" spans="4:7">
      <c r="D755" s="93"/>
      <c r="E755" s="94"/>
      <c r="F755" s="95"/>
      <c r="G755" s="96"/>
    </row>
    <row r="756" ht="14.25" customHeight="1" spans="4:7">
      <c r="D756" s="93"/>
      <c r="E756" s="94"/>
      <c r="F756" s="95"/>
      <c r="G756" s="96"/>
    </row>
    <row r="757" ht="14.25" customHeight="1" spans="4:7">
      <c r="D757" s="93"/>
      <c r="E757" s="94"/>
      <c r="F757" s="95"/>
      <c r="G757" s="96"/>
    </row>
    <row r="758" ht="14.25" customHeight="1" spans="4:7">
      <c r="D758" s="93"/>
      <c r="E758" s="94"/>
      <c r="F758" s="95"/>
      <c r="G758" s="96"/>
    </row>
    <row r="759" ht="14.25" customHeight="1" spans="4:7">
      <c r="D759" s="93"/>
      <c r="E759" s="94"/>
      <c r="F759" s="95"/>
      <c r="G759" s="96"/>
    </row>
    <row r="760" ht="14.25" customHeight="1" spans="4:7">
      <c r="D760" s="93"/>
      <c r="E760" s="94"/>
      <c r="F760" s="95"/>
      <c r="G760" s="96"/>
    </row>
    <row r="761" ht="14.25" customHeight="1" spans="4:7">
      <c r="D761" s="93"/>
      <c r="E761" s="94"/>
      <c r="F761" s="95"/>
      <c r="G761" s="96"/>
    </row>
    <row r="762" ht="14.25" customHeight="1" spans="4:7">
      <c r="D762" s="93"/>
      <c r="E762" s="94"/>
      <c r="F762" s="95"/>
      <c r="G762" s="96"/>
    </row>
    <row r="763" ht="14.25" customHeight="1" spans="4:7">
      <c r="D763" s="93"/>
      <c r="E763" s="94"/>
      <c r="F763" s="95"/>
      <c r="G763" s="96"/>
    </row>
    <row r="764" ht="14.25" customHeight="1" spans="4:7">
      <c r="D764" s="93"/>
      <c r="E764" s="94"/>
      <c r="F764" s="95"/>
      <c r="G764" s="96"/>
    </row>
    <row r="765" ht="14.25" customHeight="1" spans="4:7">
      <c r="D765" s="93"/>
      <c r="E765" s="94"/>
      <c r="F765" s="95"/>
      <c r="G765" s="96"/>
    </row>
    <row r="766" ht="14.25" customHeight="1" spans="4:7">
      <c r="D766" s="93"/>
      <c r="E766" s="94"/>
      <c r="F766" s="95"/>
      <c r="G766" s="96"/>
    </row>
    <row r="767" ht="14.25" customHeight="1" spans="4:7">
      <c r="D767" s="93"/>
      <c r="E767" s="94"/>
      <c r="F767" s="95"/>
      <c r="G767" s="96"/>
    </row>
    <row r="768" ht="14.25" customHeight="1" spans="4:7">
      <c r="D768" s="93"/>
      <c r="E768" s="94"/>
      <c r="F768" s="95"/>
      <c r="G768" s="96"/>
    </row>
    <row r="769" ht="14.25" customHeight="1" spans="4:7">
      <c r="D769" s="93"/>
      <c r="E769" s="94"/>
      <c r="F769" s="95"/>
      <c r="G769" s="96"/>
    </row>
    <row r="770" ht="14.25" customHeight="1" spans="4:7">
      <c r="D770" s="93"/>
      <c r="E770" s="94"/>
      <c r="F770" s="95"/>
      <c r="G770" s="96"/>
    </row>
    <row r="771" ht="14.25" customHeight="1" spans="4:7">
      <c r="D771" s="93"/>
      <c r="E771" s="94"/>
      <c r="F771" s="95"/>
      <c r="G771" s="96"/>
    </row>
    <row r="772" ht="14.25" customHeight="1" spans="4:7">
      <c r="D772" s="93"/>
      <c r="E772" s="94"/>
      <c r="F772" s="95"/>
      <c r="G772" s="96"/>
    </row>
    <row r="773" ht="14.25" customHeight="1" spans="4:7">
      <c r="D773" s="93"/>
      <c r="E773" s="94"/>
      <c r="F773" s="95"/>
      <c r="G773" s="96"/>
    </row>
    <row r="774" ht="14.25" customHeight="1" spans="4:7">
      <c r="D774" s="93"/>
      <c r="E774" s="94"/>
      <c r="F774" s="95"/>
      <c r="G774" s="96"/>
    </row>
    <row r="775" ht="14.25" customHeight="1" spans="4:7">
      <c r="D775" s="93"/>
      <c r="E775" s="94"/>
      <c r="F775" s="95"/>
      <c r="G775" s="96"/>
    </row>
    <row r="776" ht="14.25" customHeight="1" spans="4:7">
      <c r="D776" s="93"/>
      <c r="E776" s="94"/>
      <c r="F776" s="95"/>
      <c r="G776" s="96"/>
    </row>
    <row r="777" ht="14.25" customHeight="1" spans="4:7">
      <c r="D777" s="93"/>
      <c r="E777" s="94"/>
      <c r="F777" s="95"/>
      <c r="G777" s="96"/>
    </row>
    <row r="778" ht="14.25" customHeight="1" spans="4:7">
      <c r="D778" s="93"/>
      <c r="E778" s="94"/>
      <c r="F778" s="95"/>
      <c r="G778" s="96"/>
    </row>
    <row r="779" ht="14.25" customHeight="1" spans="4:7">
      <c r="D779" s="93"/>
      <c r="E779" s="94"/>
      <c r="F779" s="95"/>
      <c r="G779" s="96"/>
    </row>
    <row r="780" ht="14.25" customHeight="1" spans="4:7">
      <c r="D780" s="93"/>
      <c r="E780" s="94"/>
      <c r="F780" s="95"/>
      <c r="G780" s="96"/>
    </row>
    <row r="781" ht="14.25" customHeight="1" spans="4:7">
      <c r="D781" s="93"/>
      <c r="E781" s="94"/>
      <c r="F781" s="95"/>
      <c r="G781" s="96"/>
    </row>
    <row r="782" ht="14.25" customHeight="1" spans="4:7">
      <c r="D782" s="93"/>
      <c r="E782" s="94"/>
      <c r="F782" s="95"/>
      <c r="G782" s="96"/>
    </row>
    <row r="783" ht="14.25" customHeight="1" spans="4:7">
      <c r="D783" s="93"/>
      <c r="E783" s="94"/>
      <c r="F783" s="95"/>
      <c r="G783" s="96"/>
    </row>
    <row r="784" ht="14.25" customHeight="1" spans="4:7">
      <c r="D784" s="93"/>
      <c r="E784" s="94"/>
      <c r="F784" s="95"/>
      <c r="G784" s="96"/>
    </row>
    <row r="785" ht="14.25" customHeight="1" spans="4:7">
      <c r="D785" s="93"/>
      <c r="E785" s="94"/>
      <c r="F785" s="95"/>
      <c r="G785" s="96"/>
    </row>
    <row r="786" ht="14.25" customHeight="1" spans="4:7">
      <c r="D786" s="93"/>
      <c r="E786" s="94"/>
      <c r="F786" s="95"/>
      <c r="G786" s="96"/>
    </row>
    <row r="787" ht="14.25" customHeight="1" spans="4:7">
      <c r="D787" s="93"/>
      <c r="E787" s="94"/>
      <c r="F787" s="95"/>
      <c r="G787" s="96"/>
    </row>
    <row r="788" ht="14.25" customHeight="1" spans="4:7">
      <c r="D788" s="93"/>
      <c r="E788" s="94"/>
      <c r="F788" s="95"/>
      <c r="G788" s="96"/>
    </row>
    <row r="789" ht="14.25" customHeight="1" spans="4:7">
      <c r="D789" s="93"/>
      <c r="E789" s="94"/>
      <c r="F789" s="95"/>
      <c r="G789" s="96"/>
    </row>
    <row r="790" ht="14.25" customHeight="1" spans="4:7">
      <c r="D790" s="93"/>
      <c r="E790" s="94"/>
      <c r="F790" s="95"/>
      <c r="G790" s="96"/>
    </row>
    <row r="791" ht="14.25" customHeight="1" spans="4:7">
      <c r="D791" s="93"/>
      <c r="E791" s="94"/>
      <c r="F791" s="95"/>
      <c r="G791" s="96"/>
    </row>
    <row r="792" ht="14.25" customHeight="1" spans="4:7">
      <c r="D792" s="93"/>
      <c r="E792" s="94"/>
      <c r="F792" s="95"/>
      <c r="G792" s="96"/>
    </row>
    <row r="793" ht="14.25" customHeight="1" spans="4:7">
      <c r="D793" s="93"/>
      <c r="E793" s="94"/>
      <c r="F793" s="95"/>
      <c r="G793" s="96"/>
    </row>
    <row r="794" ht="14.25" customHeight="1" spans="4:7">
      <c r="D794" s="93"/>
      <c r="E794" s="94"/>
      <c r="F794" s="95"/>
      <c r="G794" s="96"/>
    </row>
    <row r="795" ht="14.25" customHeight="1" spans="4:7">
      <c r="D795" s="93"/>
      <c r="E795" s="94"/>
      <c r="F795" s="95"/>
      <c r="G795" s="96"/>
    </row>
    <row r="796" ht="14.25" customHeight="1" spans="4:7">
      <c r="D796" s="93"/>
      <c r="E796" s="94"/>
      <c r="F796" s="95"/>
      <c r="G796" s="96"/>
    </row>
    <row r="797" ht="14.25" customHeight="1" spans="4:7">
      <c r="D797" s="93"/>
      <c r="E797" s="94"/>
      <c r="F797" s="95"/>
      <c r="G797" s="96"/>
    </row>
    <row r="798" ht="14.25" customHeight="1" spans="4:7">
      <c r="D798" s="93"/>
      <c r="E798" s="94"/>
      <c r="F798" s="95"/>
      <c r="G798" s="96"/>
    </row>
    <row r="799" ht="14.25" customHeight="1" spans="4:7">
      <c r="D799" s="93"/>
      <c r="E799" s="94"/>
      <c r="F799" s="95"/>
      <c r="G799" s="96"/>
    </row>
    <row r="800" ht="14.25" customHeight="1" spans="4:7">
      <c r="D800" s="93"/>
      <c r="E800" s="94"/>
      <c r="F800" s="95"/>
      <c r="G800" s="96"/>
    </row>
    <row r="801" ht="14.25" customHeight="1" spans="4:7">
      <c r="D801" s="93"/>
      <c r="E801" s="94"/>
      <c r="F801" s="95"/>
      <c r="G801" s="96"/>
    </row>
    <row r="802" ht="14.25" customHeight="1" spans="4:7">
      <c r="D802" s="93"/>
      <c r="E802" s="94"/>
      <c r="F802" s="95"/>
      <c r="G802" s="96"/>
    </row>
    <row r="803" ht="14.25" customHeight="1" spans="4:7">
      <c r="D803" s="93"/>
      <c r="E803" s="94"/>
      <c r="F803" s="95"/>
      <c r="G803" s="96"/>
    </row>
    <row r="804" ht="14.25" customHeight="1" spans="4:7">
      <c r="D804" s="93"/>
      <c r="E804" s="94"/>
      <c r="F804" s="95"/>
      <c r="G804" s="96"/>
    </row>
    <row r="805" ht="14.25" customHeight="1" spans="4:7">
      <c r="D805" s="93"/>
      <c r="E805" s="94"/>
      <c r="F805" s="95"/>
      <c r="G805" s="96"/>
    </row>
    <row r="806" ht="14.25" customHeight="1" spans="4:7">
      <c r="D806" s="93"/>
      <c r="E806" s="94"/>
      <c r="F806" s="95"/>
      <c r="G806" s="96"/>
    </row>
    <row r="807" ht="14.25" customHeight="1" spans="4:7">
      <c r="D807" s="93"/>
      <c r="E807" s="94"/>
      <c r="F807" s="95"/>
      <c r="G807" s="96"/>
    </row>
    <row r="808" ht="14.25" customHeight="1" spans="4:7">
      <c r="D808" s="93"/>
      <c r="E808" s="94"/>
      <c r="F808" s="95"/>
      <c r="G808" s="96"/>
    </row>
    <row r="809" ht="14.25" customHeight="1" spans="4:7">
      <c r="D809" s="93"/>
      <c r="E809" s="94"/>
      <c r="F809" s="95"/>
      <c r="G809" s="96"/>
    </row>
    <row r="810" ht="14.25" customHeight="1" spans="4:7">
      <c r="D810" s="93"/>
      <c r="E810" s="94"/>
      <c r="F810" s="95"/>
      <c r="G810" s="96"/>
    </row>
    <row r="811" ht="14.25" customHeight="1" spans="4:7">
      <c r="D811" s="93"/>
      <c r="E811" s="94"/>
      <c r="F811" s="95"/>
      <c r="G811" s="96"/>
    </row>
    <row r="812" ht="14.25" customHeight="1" spans="4:7">
      <c r="D812" s="93"/>
      <c r="E812" s="94"/>
      <c r="F812" s="95"/>
      <c r="G812" s="96"/>
    </row>
    <row r="813" ht="14.25" customHeight="1" spans="4:7">
      <c r="D813" s="93"/>
      <c r="E813" s="94"/>
      <c r="F813" s="95"/>
      <c r="G813" s="96"/>
    </row>
    <row r="814" ht="14.25" customHeight="1" spans="4:7">
      <c r="D814" s="93"/>
      <c r="E814" s="94"/>
      <c r="F814" s="95"/>
      <c r="G814" s="96"/>
    </row>
    <row r="815" ht="14.25" customHeight="1" spans="4:7">
      <c r="D815" s="93"/>
      <c r="E815" s="94"/>
      <c r="F815" s="95"/>
      <c r="G815" s="96"/>
    </row>
    <row r="816" ht="14.25" customHeight="1" spans="4:7">
      <c r="D816" s="93"/>
      <c r="E816" s="94"/>
      <c r="F816" s="95"/>
      <c r="G816" s="96"/>
    </row>
    <row r="817" ht="14.25" customHeight="1" spans="4:7">
      <c r="D817" s="93"/>
      <c r="E817" s="94"/>
      <c r="F817" s="95"/>
      <c r="G817" s="96"/>
    </row>
    <row r="818" ht="14.25" customHeight="1" spans="4:7">
      <c r="D818" s="93"/>
      <c r="E818" s="94"/>
      <c r="F818" s="95"/>
      <c r="G818" s="96"/>
    </row>
    <row r="819" ht="14.25" customHeight="1" spans="4:7">
      <c r="D819" s="93"/>
      <c r="E819" s="94"/>
      <c r="F819" s="95"/>
      <c r="G819" s="96"/>
    </row>
    <row r="820" ht="14.25" customHeight="1" spans="4:7">
      <c r="D820" s="93"/>
      <c r="E820" s="94"/>
      <c r="F820" s="95"/>
      <c r="G820" s="96"/>
    </row>
    <row r="821" ht="14.25" customHeight="1" spans="4:7">
      <c r="D821" s="93"/>
      <c r="E821" s="94"/>
      <c r="F821" s="95"/>
      <c r="G821" s="96"/>
    </row>
    <row r="822" ht="14.25" customHeight="1" spans="4:7">
      <c r="D822" s="93"/>
      <c r="E822" s="94"/>
      <c r="F822" s="95"/>
      <c r="G822" s="96"/>
    </row>
    <row r="823" ht="14.25" customHeight="1" spans="4:7">
      <c r="D823" s="93"/>
      <c r="E823" s="94"/>
      <c r="F823" s="95"/>
      <c r="G823" s="96"/>
    </row>
    <row r="824" ht="14.25" customHeight="1" spans="4:7">
      <c r="D824" s="93"/>
      <c r="E824" s="94"/>
      <c r="F824" s="95"/>
      <c r="G824" s="96"/>
    </row>
    <row r="825" ht="14.25" customHeight="1" spans="4:7">
      <c r="D825" s="93"/>
      <c r="E825" s="94"/>
      <c r="F825" s="95"/>
      <c r="G825" s="96"/>
    </row>
    <row r="826" ht="14.25" customHeight="1" spans="4:7">
      <c r="D826" s="93"/>
      <c r="E826" s="94"/>
      <c r="F826" s="95"/>
      <c r="G826" s="96"/>
    </row>
    <row r="827" ht="14.25" customHeight="1" spans="4:7">
      <c r="D827" s="93"/>
      <c r="E827" s="94"/>
      <c r="F827" s="95"/>
      <c r="G827" s="96"/>
    </row>
    <row r="828" ht="14.25" customHeight="1" spans="4:7">
      <c r="D828" s="93"/>
      <c r="E828" s="94"/>
      <c r="F828" s="95"/>
      <c r="G828" s="96"/>
    </row>
    <row r="829" ht="14.25" customHeight="1" spans="4:7">
      <c r="D829" s="93"/>
      <c r="E829" s="94"/>
      <c r="F829" s="95"/>
      <c r="G829" s="96"/>
    </row>
    <row r="830" ht="14.25" customHeight="1" spans="4:7">
      <c r="D830" s="93"/>
      <c r="E830" s="94"/>
      <c r="F830" s="95"/>
      <c r="G830" s="96"/>
    </row>
    <row r="831" ht="14.25" customHeight="1" spans="4:7">
      <c r="D831" s="93"/>
      <c r="E831" s="94"/>
      <c r="F831" s="95"/>
      <c r="G831" s="96"/>
    </row>
    <row r="832" ht="14.25" customHeight="1" spans="4:7">
      <c r="D832" s="93"/>
      <c r="E832" s="94"/>
      <c r="F832" s="95"/>
      <c r="G832" s="96"/>
    </row>
    <row r="833" ht="14.25" customHeight="1" spans="4:7">
      <c r="D833" s="93"/>
      <c r="E833" s="94"/>
      <c r="F833" s="95"/>
      <c r="G833" s="96"/>
    </row>
    <row r="834" ht="14.25" customHeight="1" spans="4:7">
      <c r="D834" s="93"/>
      <c r="E834" s="94"/>
      <c r="F834" s="95"/>
      <c r="G834" s="96"/>
    </row>
    <row r="835" ht="14.25" customHeight="1" spans="4:7">
      <c r="D835" s="93"/>
      <c r="E835" s="94"/>
      <c r="F835" s="95"/>
      <c r="G835" s="96"/>
    </row>
    <row r="836" ht="14.25" customHeight="1" spans="4:7">
      <c r="D836" s="93"/>
      <c r="E836" s="94"/>
      <c r="F836" s="95"/>
      <c r="G836" s="96"/>
    </row>
    <row r="837" ht="14.25" customHeight="1" spans="4:7">
      <c r="D837" s="93"/>
      <c r="E837" s="94"/>
      <c r="F837" s="95"/>
      <c r="G837" s="96"/>
    </row>
    <row r="838" ht="14.25" customHeight="1" spans="4:7">
      <c r="D838" s="93"/>
      <c r="E838" s="94"/>
      <c r="F838" s="95"/>
      <c r="G838" s="96"/>
    </row>
    <row r="839" ht="14.25" customHeight="1" spans="4:7">
      <c r="D839" s="93"/>
      <c r="E839" s="94"/>
      <c r="F839" s="95"/>
      <c r="G839" s="96"/>
    </row>
    <row r="840" ht="14.25" customHeight="1" spans="4:7">
      <c r="D840" s="93"/>
      <c r="E840" s="94"/>
      <c r="F840" s="95"/>
      <c r="G840" s="96"/>
    </row>
    <row r="841" ht="14.25" customHeight="1" spans="4:7">
      <c r="D841" s="93"/>
      <c r="E841" s="94"/>
      <c r="F841" s="95"/>
      <c r="G841" s="96"/>
    </row>
    <row r="842" ht="14.25" customHeight="1" spans="4:7">
      <c r="D842" s="93"/>
      <c r="E842" s="94"/>
      <c r="F842" s="95"/>
      <c r="G842" s="96"/>
    </row>
    <row r="843" ht="14.25" customHeight="1" spans="4:7">
      <c r="D843" s="93"/>
      <c r="E843" s="94"/>
      <c r="F843" s="95"/>
      <c r="G843" s="96"/>
    </row>
    <row r="844" ht="14.25" customHeight="1" spans="4:7">
      <c r="D844" s="93"/>
      <c r="E844" s="94"/>
      <c r="F844" s="95"/>
      <c r="G844" s="96"/>
    </row>
    <row r="845" ht="14.25" customHeight="1" spans="4:7">
      <c r="D845" s="93"/>
      <c r="E845" s="94"/>
      <c r="F845" s="95"/>
      <c r="G845" s="96"/>
    </row>
    <row r="846" ht="14.25" customHeight="1" spans="4:7">
      <c r="D846" s="93"/>
      <c r="E846" s="94"/>
      <c r="F846" s="95"/>
      <c r="G846" s="96"/>
    </row>
    <row r="847" ht="14.25" customHeight="1" spans="4:7">
      <c r="D847" s="93"/>
      <c r="E847" s="94"/>
      <c r="F847" s="95"/>
      <c r="G847" s="96"/>
    </row>
    <row r="848" ht="14.25" customHeight="1" spans="4:7">
      <c r="D848" s="93"/>
      <c r="E848" s="94"/>
      <c r="F848" s="95"/>
      <c r="G848" s="96"/>
    </row>
    <row r="849" ht="14.25" customHeight="1" spans="4:7">
      <c r="D849" s="93"/>
      <c r="E849" s="94"/>
      <c r="F849" s="95"/>
      <c r="G849" s="96"/>
    </row>
    <row r="850" ht="14.25" customHeight="1" spans="4:7">
      <c r="D850" s="93"/>
      <c r="E850" s="94"/>
      <c r="F850" s="95"/>
      <c r="G850" s="96"/>
    </row>
    <row r="851" ht="14.25" customHeight="1" spans="4:7">
      <c r="D851" s="93"/>
      <c r="E851" s="94"/>
      <c r="F851" s="95"/>
      <c r="G851" s="96"/>
    </row>
    <row r="852" ht="14.25" customHeight="1" spans="4:7">
      <c r="D852" s="93"/>
      <c r="E852" s="94"/>
      <c r="F852" s="95"/>
      <c r="G852" s="96"/>
    </row>
    <row r="853" ht="14.25" customHeight="1" spans="4:7">
      <c r="D853" s="93"/>
      <c r="E853" s="94"/>
      <c r="F853" s="95"/>
      <c r="G853" s="96"/>
    </row>
    <row r="854" ht="14.25" customHeight="1" spans="4:7">
      <c r="D854" s="93"/>
      <c r="E854" s="94"/>
      <c r="F854" s="95"/>
      <c r="G854" s="96"/>
    </row>
    <row r="855" ht="14.25" customHeight="1" spans="4:7">
      <c r="D855" s="93"/>
      <c r="E855" s="94"/>
      <c r="F855" s="95"/>
      <c r="G855" s="96"/>
    </row>
    <row r="856" ht="14.25" customHeight="1" spans="4:7">
      <c r="D856" s="93"/>
      <c r="E856" s="94"/>
      <c r="F856" s="95"/>
      <c r="G856" s="96"/>
    </row>
    <row r="857" ht="14.25" customHeight="1" spans="4:7">
      <c r="D857" s="93"/>
      <c r="E857" s="94"/>
      <c r="F857" s="95"/>
      <c r="G857" s="96"/>
    </row>
    <row r="858" ht="14.25" customHeight="1" spans="4:7">
      <c r="D858" s="93"/>
      <c r="E858" s="94"/>
      <c r="F858" s="95"/>
      <c r="G858" s="96"/>
    </row>
    <row r="859" ht="14.25" customHeight="1" spans="4:7">
      <c r="D859" s="93"/>
      <c r="E859" s="94"/>
      <c r="F859" s="95"/>
      <c r="G859" s="96"/>
    </row>
    <row r="860" ht="14.25" customHeight="1" spans="4:7">
      <c r="D860" s="93"/>
      <c r="E860" s="94"/>
      <c r="F860" s="95"/>
      <c r="G860" s="96"/>
    </row>
    <row r="861" ht="14.25" customHeight="1" spans="4:7">
      <c r="D861" s="93"/>
      <c r="E861" s="94"/>
      <c r="F861" s="95"/>
      <c r="G861" s="96"/>
    </row>
    <row r="862" ht="14.25" customHeight="1" spans="4:7">
      <c r="D862" s="93"/>
      <c r="E862" s="94"/>
      <c r="F862" s="95"/>
      <c r="G862" s="96"/>
    </row>
    <row r="863" ht="14.25" customHeight="1" spans="4:7">
      <c r="D863" s="93"/>
      <c r="E863" s="94"/>
      <c r="F863" s="95"/>
      <c r="G863" s="96"/>
    </row>
    <row r="864" ht="14.25" customHeight="1" spans="4:7">
      <c r="D864" s="93"/>
      <c r="E864" s="94"/>
      <c r="F864" s="95"/>
      <c r="G864" s="96"/>
    </row>
    <row r="865" ht="14.25" customHeight="1" spans="4:7">
      <c r="D865" s="93"/>
      <c r="E865" s="94"/>
      <c r="F865" s="95"/>
      <c r="G865" s="96"/>
    </row>
    <row r="866" ht="14.25" customHeight="1" spans="4:7">
      <c r="D866" s="93"/>
      <c r="E866" s="94"/>
      <c r="F866" s="95"/>
      <c r="G866" s="96"/>
    </row>
    <row r="867" ht="14.25" customHeight="1" spans="4:7">
      <c r="D867" s="93"/>
      <c r="E867" s="94"/>
      <c r="F867" s="95"/>
      <c r="G867" s="96"/>
    </row>
    <row r="868" ht="14.25" customHeight="1" spans="4:7">
      <c r="D868" s="93"/>
      <c r="E868" s="94"/>
      <c r="F868" s="95"/>
      <c r="G868" s="96"/>
    </row>
    <row r="869" ht="14.25" customHeight="1" spans="4:7">
      <c r="D869" s="93"/>
      <c r="E869" s="94"/>
      <c r="F869" s="95"/>
      <c r="G869" s="96"/>
    </row>
    <row r="870" ht="14.25" customHeight="1" spans="4:7">
      <c r="D870" s="93"/>
      <c r="E870" s="94"/>
      <c r="F870" s="95"/>
      <c r="G870" s="96"/>
    </row>
    <row r="871" ht="14.25" customHeight="1" spans="4:7">
      <c r="D871" s="93"/>
      <c r="E871" s="94"/>
      <c r="F871" s="95"/>
      <c r="G871" s="96"/>
    </row>
    <row r="872" ht="14.25" customHeight="1" spans="4:7">
      <c r="D872" s="93"/>
      <c r="E872" s="94"/>
      <c r="F872" s="95"/>
      <c r="G872" s="96"/>
    </row>
    <row r="873" ht="14.25" customHeight="1" spans="4:7">
      <c r="D873" s="93"/>
      <c r="E873" s="94"/>
      <c r="F873" s="95"/>
      <c r="G873" s="96"/>
    </row>
    <row r="874" ht="14.25" customHeight="1" spans="4:7">
      <c r="D874" s="93"/>
      <c r="E874" s="94"/>
      <c r="F874" s="95"/>
      <c r="G874" s="96"/>
    </row>
    <row r="875" ht="14.25" customHeight="1" spans="4:7">
      <c r="D875" s="93"/>
      <c r="E875" s="94"/>
      <c r="F875" s="95"/>
      <c r="G875" s="96"/>
    </row>
    <row r="876" ht="14.25" customHeight="1" spans="4:7">
      <c r="D876" s="93"/>
      <c r="E876" s="94"/>
      <c r="F876" s="95"/>
      <c r="G876" s="96"/>
    </row>
    <row r="877" ht="14.25" customHeight="1" spans="4:7">
      <c r="D877" s="93"/>
      <c r="E877" s="94"/>
      <c r="F877" s="95"/>
      <c r="G877" s="96"/>
    </row>
    <row r="878" ht="14.25" customHeight="1" spans="4:7">
      <c r="D878" s="93"/>
      <c r="E878" s="94"/>
      <c r="F878" s="95"/>
      <c r="G878" s="96"/>
    </row>
    <row r="879" ht="14.25" customHeight="1" spans="4:7">
      <c r="D879" s="93"/>
      <c r="E879" s="94"/>
      <c r="F879" s="95"/>
      <c r="G879" s="96"/>
    </row>
    <row r="880" ht="14.25" customHeight="1" spans="4:7">
      <c r="D880" s="93"/>
      <c r="E880" s="94"/>
      <c r="F880" s="95"/>
      <c r="G880" s="96"/>
    </row>
    <row r="881" ht="14.25" customHeight="1" spans="4:7">
      <c r="D881" s="93"/>
      <c r="E881" s="94"/>
      <c r="F881" s="95"/>
      <c r="G881" s="96"/>
    </row>
    <row r="882" ht="14.25" customHeight="1" spans="4:7">
      <c r="D882" s="93"/>
      <c r="E882" s="94"/>
      <c r="F882" s="95"/>
      <c r="G882" s="96"/>
    </row>
    <row r="883" ht="14.25" customHeight="1" spans="4:7">
      <c r="D883" s="93"/>
      <c r="E883" s="94"/>
      <c r="F883" s="95"/>
      <c r="G883" s="96"/>
    </row>
    <row r="884" ht="14.25" customHeight="1" spans="4:7">
      <c r="D884" s="93"/>
      <c r="E884" s="94"/>
      <c r="F884" s="95"/>
      <c r="G884" s="96"/>
    </row>
    <row r="885" ht="14.25" customHeight="1" spans="4:7">
      <c r="D885" s="93"/>
      <c r="E885" s="94"/>
      <c r="F885" s="95"/>
      <c r="G885" s="96"/>
    </row>
    <row r="886" ht="14.25" customHeight="1" spans="4:7">
      <c r="D886" s="93"/>
      <c r="E886" s="94"/>
      <c r="F886" s="95"/>
      <c r="G886" s="96"/>
    </row>
    <row r="887" ht="14.25" customHeight="1" spans="4:7">
      <c r="D887" s="93"/>
      <c r="E887" s="94"/>
      <c r="F887" s="95"/>
      <c r="G887" s="96"/>
    </row>
    <row r="888" ht="14.25" customHeight="1" spans="4:7">
      <c r="D888" s="93"/>
      <c r="E888" s="94"/>
      <c r="F888" s="95"/>
      <c r="G888" s="96"/>
    </row>
    <row r="889" ht="14.25" customHeight="1" spans="4:7">
      <c r="D889" s="93"/>
      <c r="E889" s="94"/>
      <c r="F889" s="95"/>
      <c r="G889" s="96"/>
    </row>
    <row r="890" ht="14.25" customHeight="1" spans="4:7">
      <c r="D890" s="93"/>
      <c r="E890" s="94"/>
      <c r="F890" s="95"/>
      <c r="G890" s="96"/>
    </row>
    <row r="891" ht="14.25" customHeight="1" spans="4:7">
      <c r="D891" s="93"/>
      <c r="E891" s="94"/>
      <c r="F891" s="95"/>
      <c r="G891" s="96"/>
    </row>
    <row r="892" ht="14.25" customHeight="1" spans="4:7">
      <c r="D892" s="93"/>
      <c r="E892" s="94"/>
      <c r="F892" s="95"/>
      <c r="G892" s="96"/>
    </row>
    <row r="893" ht="14.25" customHeight="1" spans="4:7">
      <c r="D893" s="93"/>
      <c r="E893" s="94"/>
      <c r="F893" s="95"/>
      <c r="G893" s="96"/>
    </row>
    <row r="894" ht="14.25" customHeight="1" spans="4:7">
      <c r="D894" s="93"/>
      <c r="E894" s="94"/>
      <c r="F894" s="95"/>
      <c r="G894" s="96"/>
    </row>
    <row r="895" ht="14.25" customHeight="1" spans="4:7">
      <c r="D895" s="93"/>
      <c r="E895" s="94"/>
      <c r="F895" s="95"/>
      <c r="G895" s="96"/>
    </row>
    <row r="896" ht="14.25" customHeight="1" spans="4:7">
      <c r="D896" s="93"/>
      <c r="E896" s="94"/>
      <c r="F896" s="95"/>
      <c r="G896" s="96"/>
    </row>
    <row r="897" ht="14.25" customHeight="1" spans="4:7">
      <c r="D897" s="93"/>
      <c r="E897" s="94"/>
      <c r="F897" s="95"/>
      <c r="G897" s="96"/>
    </row>
    <row r="898" ht="14.25" customHeight="1" spans="4:7">
      <c r="D898" s="93"/>
      <c r="E898" s="94"/>
      <c r="F898" s="95"/>
      <c r="G898" s="96"/>
    </row>
    <row r="899" ht="14.25" customHeight="1" spans="4:7">
      <c r="D899" s="93"/>
      <c r="E899" s="94"/>
      <c r="F899" s="95"/>
      <c r="G899" s="96"/>
    </row>
    <row r="900" ht="14.25" customHeight="1" spans="4:7">
      <c r="D900" s="93"/>
      <c r="E900" s="94"/>
      <c r="F900" s="95"/>
      <c r="G900" s="96"/>
    </row>
    <row r="901" ht="14.25" customHeight="1" spans="4:7">
      <c r="D901" s="93"/>
      <c r="E901" s="94"/>
      <c r="F901" s="95"/>
      <c r="G901" s="96"/>
    </row>
    <row r="902" ht="14.25" customHeight="1" spans="4:7">
      <c r="D902" s="93"/>
      <c r="E902" s="94"/>
      <c r="F902" s="95"/>
      <c r="G902" s="96"/>
    </row>
    <row r="903" ht="14.25" customHeight="1" spans="4:7">
      <c r="D903" s="93"/>
      <c r="E903" s="94"/>
      <c r="F903" s="95"/>
      <c r="G903" s="96"/>
    </row>
    <row r="904" ht="14.25" customHeight="1" spans="4:7">
      <c r="D904" s="93"/>
      <c r="E904" s="94"/>
      <c r="F904" s="95"/>
      <c r="G904" s="96"/>
    </row>
    <row r="905" ht="14.25" customHeight="1" spans="4:7">
      <c r="D905" s="93"/>
      <c r="E905" s="94"/>
      <c r="F905" s="95"/>
      <c r="G905" s="96"/>
    </row>
    <row r="906" ht="14.25" customHeight="1" spans="4:7">
      <c r="D906" s="93"/>
      <c r="E906" s="94"/>
      <c r="F906" s="95"/>
      <c r="G906" s="96"/>
    </row>
    <row r="907" ht="14.25" customHeight="1" spans="4:7">
      <c r="D907" s="93"/>
      <c r="E907" s="94"/>
      <c r="F907" s="95"/>
      <c r="G907" s="96"/>
    </row>
    <row r="908" ht="14.25" customHeight="1" spans="4:7">
      <c r="D908" s="93"/>
      <c r="E908" s="94"/>
      <c r="F908" s="95"/>
      <c r="G908" s="96"/>
    </row>
    <row r="909" ht="14.25" customHeight="1" spans="4:7">
      <c r="D909" s="93"/>
      <c r="E909" s="94"/>
      <c r="F909" s="95"/>
      <c r="G909" s="96"/>
    </row>
    <row r="910" ht="14.25" customHeight="1" spans="4:7">
      <c r="D910" s="93"/>
      <c r="E910" s="94"/>
      <c r="F910" s="95"/>
      <c r="G910" s="96"/>
    </row>
    <row r="911" ht="14.25" customHeight="1" spans="4:7">
      <c r="D911" s="93"/>
      <c r="E911" s="94"/>
      <c r="F911" s="95"/>
      <c r="G911" s="96"/>
    </row>
    <row r="912" ht="14.25" customHeight="1" spans="4:7">
      <c r="D912" s="93"/>
      <c r="E912" s="94"/>
      <c r="F912" s="95"/>
      <c r="G912" s="96"/>
    </row>
    <row r="913" ht="14.25" customHeight="1" spans="4:7">
      <c r="D913" s="93"/>
      <c r="E913" s="94"/>
      <c r="F913" s="95"/>
      <c r="G913" s="96"/>
    </row>
    <row r="914" ht="14.25" customHeight="1" spans="4:7">
      <c r="D914" s="93"/>
      <c r="E914" s="94"/>
      <c r="F914" s="95"/>
      <c r="G914" s="96"/>
    </row>
    <row r="915" ht="14.25" customHeight="1" spans="4:7">
      <c r="D915" s="93"/>
      <c r="E915" s="94"/>
      <c r="F915" s="95"/>
      <c r="G915" s="96"/>
    </row>
    <row r="916" ht="14.25" customHeight="1" spans="4:7">
      <c r="D916" s="93"/>
      <c r="E916" s="94"/>
      <c r="F916" s="95"/>
      <c r="G916" s="96"/>
    </row>
    <row r="917" ht="14.25" customHeight="1" spans="4:7">
      <c r="D917" s="93"/>
      <c r="E917" s="94"/>
      <c r="F917" s="95"/>
      <c r="G917" s="96"/>
    </row>
    <row r="918" ht="14.25" customHeight="1" spans="4:7">
      <c r="D918" s="93"/>
      <c r="E918" s="94"/>
      <c r="F918" s="95"/>
      <c r="G918" s="96"/>
    </row>
    <row r="919" ht="14.25" customHeight="1" spans="4:7">
      <c r="D919" s="93"/>
      <c r="E919" s="94"/>
      <c r="F919" s="95"/>
      <c r="G919" s="96"/>
    </row>
    <row r="920" ht="14.25" customHeight="1" spans="4:7">
      <c r="D920" s="93"/>
      <c r="E920" s="94"/>
      <c r="F920" s="95"/>
      <c r="G920" s="96"/>
    </row>
    <row r="921" ht="14.25" customHeight="1" spans="4:7">
      <c r="D921" s="93"/>
      <c r="E921" s="94"/>
      <c r="F921" s="95"/>
      <c r="G921" s="96"/>
    </row>
    <row r="922" ht="14.25" customHeight="1" spans="4:7">
      <c r="D922" s="93"/>
      <c r="E922" s="94"/>
      <c r="F922" s="95"/>
      <c r="G922" s="96"/>
    </row>
    <row r="923" ht="14.25" customHeight="1" spans="4:7">
      <c r="D923" s="93"/>
      <c r="E923" s="94"/>
      <c r="F923" s="95"/>
      <c r="G923" s="96"/>
    </row>
    <row r="924" ht="14.25" customHeight="1" spans="4:7">
      <c r="D924" s="93"/>
      <c r="E924" s="94"/>
      <c r="F924" s="95"/>
      <c r="G924" s="96"/>
    </row>
    <row r="925" ht="14.25" customHeight="1" spans="4:7">
      <c r="D925" s="93"/>
      <c r="E925" s="94"/>
      <c r="F925" s="95"/>
      <c r="G925" s="96"/>
    </row>
    <row r="926" ht="14.25" customHeight="1" spans="4:7">
      <c r="D926" s="93"/>
      <c r="E926" s="94"/>
      <c r="F926" s="95"/>
      <c r="G926" s="96"/>
    </row>
    <row r="927" ht="14.25" customHeight="1" spans="4:7">
      <c r="D927" s="93"/>
      <c r="E927" s="94"/>
      <c r="F927" s="95"/>
      <c r="G927" s="96"/>
    </row>
    <row r="928" ht="14.25" customHeight="1" spans="4:7">
      <c r="D928" s="93"/>
      <c r="E928" s="94"/>
      <c r="F928" s="95"/>
      <c r="G928" s="96"/>
    </row>
    <row r="929" ht="14.25" customHeight="1" spans="4:7">
      <c r="D929" s="93"/>
      <c r="E929" s="94"/>
      <c r="F929" s="95"/>
      <c r="G929" s="96"/>
    </row>
    <row r="930" ht="14.25" customHeight="1" spans="4:7">
      <c r="D930" s="93"/>
      <c r="E930" s="94"/>
      <c r="F930" s="95"/>
      <c r="G930" s="96"/>
    </row>
    <row r="931" ht="14.25" customHeight="1" spans="4:7">
      <c r="D931" s="93"/>
      <c r="E931" s="94"/>
      <c r="F931" s="95"/>
      <c r="G931" s="96"/>
    </row>
    <row r="932" ht="14.25" customHeight="1" spans="4:7">
      <c r="D932" s="93"/>
      <c r="E932" s="94"/>
      <c r="F932" s="95"/>
      <c r="G932" s="96"/>
    </row>
    <row r="933" ht="14.25" customHeight="1" spans="4:7">
      <c r="D933" s="93"/>
      <c r="E933" s="94"/>
      <c r="F933" s="95"/>
      <c r="G933" s="96"/>
    </row>
    <row r="934" ht="14.25" customHeight="1" spans="4:7">
      <c r="D934" s="93"/>
      <c r="E934" s="94"/>
      <c r="F934" s="95"/>
      <c r="G934" s="96"/>
    </row>
    <row r="935" ht="14.25" customHeight="1" spans="4:7">
      <c r="D935" s="93"/>
      <c r="E935" s="94"/>
      <c r="F935" s="95"/>
      <c r="G935" s="96"/>
    </row>
    <row r="936" ht="14.25" customHeight="1" spans="4:7">
      <c r="D936" s="93"/>
      <c r="E936" s="94"/>
      <c r="F936" s="95"/>
      <c r="G936" s="96"/>
    </row>
    <row r="937" ht="14.25" customHeight="1" spans="4:7">
      <c r="D937" s="93"/>
      <c r="E937" s="94"/>
      <c r="F937" s="95"/>
      <c r="G937" s="96"/>
    </row>
    <row r="938" ht="14.25" customHeight="1" spans="4:7">
      <c r="D938" s="93"/>
      <c r="E938" s="94"/>
      <c r="F938" s="95"/>
      <c r="G938" s="96"/>
    </row>
    <row r="939" ht="14.25" customHeight="1" spans="4:7">
      <c r="D939" s="93"/>
      <c r="E939" s="94"/>
      <c r="F939" s="95"/>
      <c r="G939" s="96"/>
    </row>
    <row r="940" ht="14.25" customHeight="1" spans="4:7">
      <c r="D940" s="93"/>
      <c r="E940" s="94"/>
      <c r="F940" s="95"/>
      <c r="G940" s="96"/>
    </row>
    <row r="941" ht="14.25" customHeight="1" spans="4:7">
      <c r="D941" s="93"/>
      <c r="E941" s="94"/>
      <c r="F941" s="95"/>
      <c r="G941" s="96"/>
    </row>
    <row r="942" ht="14.25" customHeight="1" spans="4:7">
      <c r="D942" s="93"/>
      <c r="E942" s="94"/>
      <c r="F942" s="95"/>
      <c r="G942" s="96"/>
    </row>
    <row r="943" ht="14.25" customHeight="1" spans="4:7">
      <c r="D943" s="93"/>
      <c r="E943" s="94"/>
      <c r="F943" s="95"/>
      <c r="G943" s="96"/>
    </row>
    <row r="944" ht="14.25" customHeight="1" spans="4:7">
      <c r="D944" s="93"/>
      <c r="E944" s="94"/>
      <c r="F944" s="95"/>
      <c r="G944" s="96"/>
    </row>
    <row r="945" ht="14.25" customHeight="1" spans="4:7">
      <c r="D945" s="93"/>
      <c r="E945" s="94"/>
      <c r="F945" s="95"/>
      <c r="G945" s="96"/>
    </row>
    <row r="946" ht="14.25" customHeight="1" spans="4:7">
      <c r="D946" s="93"/>
      <c r="E946" s="94"/>
      <c r="F946" s="95"/>
      <c r="G946" s="96"/>
    </row>
    <row r="947" ht="14.25" customHeight="1" spans="4:7">
      <c r="D947" s="93"/>
      <c r="E947" s="94"/>
      <c r="F947" s="95"/>
      <c r="G947" s="96"/>
    </row>
    <row r="948" ht="14.25" customHeight="1" spans="4:7">
      <c r="D948" s="93"/>
      <c r="E948" s="94"/>
      <c r="F948" s="95"/>
      <c r="G948" s="96"/>
    </row>
    <row r="949" ht="14.25" customHeight="1" spans="4:7">
      <c r="D949" s="93"/>
      <c r="E949" s="94"/>
      <c r="F949" s="95"/>
      <c r="G949" s="96"/>
    </row>
    <row r="950" ht="14.25" customHeight="1" spans="4:7">
      <c r="D950" s="93"/>
      <c r="E950" s="94"/>
      <c r="F950" s="95"/>
      <c r="G950" s="96"/>
    </row>
    <row r="951" ht="14.25" customHeight="1" spans="4:7">
      <c r="D951" s="93"/>
      <c r="E951" s="94"/>
      <c r="F951" s="95"/>
      <c r="G951" s="96"/>
    </row>
    <row r="952" ht="14.25" customHeight="1" spans="4:7">
      <c r="D952" s="93"/>
      <c r="E952" s="94"/>
      <c r="F952" s="95"/>
      <c r="G952" s="96"/>
    </row>
    <row r="953" ht="14.25" customHeight="1" spans="4:7">
      <c r="D953" s="93"/>
      <c r="E953" s="94"/>
      <c r="F953" s="95"/>
      <c r="G953" s="96"/>
    </row>
    <row r="954" ht="14.25" customHeight="1" spans="4:7">
      <c r="D954" s="93"/>
      <c r="E954" s="94"/>
      <c r="F954" s="95"/>
      <c r="G954" s="96"/>
    </row>
    <row r="955" ht="14.25" customHeight="1" spans="4:7">
      <c r="D955" s="93"/>
      <c r="E955" s="94"/>
      <c r="F955" s="95"/>
      <c r="G955" s="96"/>
    </row>
    <row r="956" ht="14.25" customHeight="1" spans="4:7">
      <c r="D956" s="93"/>
      <c r="E956" s="94"/>
      <c r="F956" s="95"/>
      <c r="G956" s="96"/>
    </row>
    <row r="957" ht="14.25" customHeight="1" spans="4:7">
      <c r="D957" s="93"/>
      <c r="E957" s="94"/>
      <c r="F957" s="95"/>
      <c r="G957" s="96"/>
    </row>
    <row r="958" ht="14.25" customHeight="1" spans="4:7">
      <c r="D958" s="93"/>
      <c r="E958" s="94"/>
      <c r="F958" s="95"/>
      <c r="G958" s="96"/>
    </row>
    <row r="959" ht="14.25" customHeight="1" spans="4:7">
      <c r="D959" s="93"/>
      <c r="E959" s="94"/>
      <c r="F959" s="95"/>
      <c r="G959" s="96"/>
    </row>
    <row r="960" ht="14.25" customHeight="1" spans="4:7">
      <c r="D960" s="93"/>
      <c r="E960" s="94"/>
      <c r="F960" s="95"/>
      <c r="G960" s="96"/>
    </row>
    <row r="961" ht="14.25" customHeight="1" spans="4:7">
      <c r="D961" s="93"/>
      <c r="E961" s="94"/>
      <c r="F961" s="95"/>
      <c r="G961" s="96"/>
    </row>
    <row r="962" ht="14.25" customHeight="1" spans="4:7">
      <c r="D962" s="93"/>
      <c r="E962" s="94"/>
      <c r="F962" s="95"/>
      <c r="G962" s="96"/>
    </row>
    <row r="963" ht="14.25" customHeight="1" spans="4:7">
      <c r="D963" s="93"/>
      <c r="E963" s="94"/>
      <c r="F963" s="95"/>
      <c r="G963" s="96"/>
    </row>
    <row r="964" ht="14.25" customHeight="1" spans="4:7">
      <c r="D964" s="93"/>
      <c r="E964" s="94"/>
      <c r="F964" s="95"/>
      <c r="G964" s="96"/>
    </row>
    <row r="965" ht="14.25" customHeight="1" spans="4:7">
      <c r="D965" s="93"/>
      <c r="E965" s="94"/>
      <c r="F965" s="95"/>
      <c r="G965" s="96"/>
    </row>
    <row r="966" ht="14.25" customHeight="1" spans="4:7">
      <c r="D966" s="93"/>
      <c r="E966" s="94"/>
      <c r="F966" s="95"/>
      <c r="G966" s="96"/>
    </row>
    <row r="967" ht="14.25" customHeight="1" spans="4:7">
      <c r="D967" s="93"/>
      <c r="E967" s="94"/>
      <c r="F967" s="95"/>
      <c r="G967" s="96"/>
    </row>
    <row r="968" ht="14.25" customHeight="1" spans="4:7">
      <c r="D968" s="93"/>
      <c r="E968" s="94"/>
      <c r="F968" s="95"/>
      <c r="G968" s="96"/>
    </row>
    <row r="969" ht="14.25" customHeight="1" spans="4:7">
      <c r="D969" s="93"/>
      <c r="E969" s="94"/>
      <c r="F969" s="95"/>
      <c r="G969" s="96"/>
    </row>
    <row r="970" ht="14.25" customHeight="1" spans="4:7">
      <c r="D970" s="93"/>
      <c r="E970" s="94"/>
      <c r="F970" s="95"/>
      <c r="G970" s="96"/>
    </row>
    <row r="971" ht="14.25" customHeight="1" spans="4:7">
      <c r="D971" s="93"/>
      <c r="E971" s="94"/>
      <c r="F971" s="95"/>
      <c r="G971" s="96"/>
    </row>
    <row r="972" ht="14.25" customHeight="1" spans="4:7">
      <c r="D972" s="93"/>
      <c r="E972" s="94"/>
      <c r="F972" s="95"/>
      <c r="G972" s="96"/>
    </row>
    <row r="973" ht="14.25" customHeight="1" spans="4:7">
      <c r="D973" s="93"/>
      <c r="E973" s="94"/>
      <c r="F973" s="95"/>
      <c r="G973" s="96"/>
    </row>
    <row r="974" ht="14.25" customHeight="1" spans="4:7">
      <c r="D974" s="93"/>
      <c r="E974" s="94"/>
      <c r="F974" s="95"/>
      <c r="G974" s="96"/>
    </row>
    <row r="975" ht="14.25" customHeight="1" spans="4:7">
      <c r="D975" s="93"/>
      <c r="E975" s="94"/>
      <c r="F975" s="95"/>
      <c r="G975" s="96"/>
    </row>
    <row r="976" ht="14.25" customHeight="1" spans="4:7">
      <c r="D976" s="93"/>
      <c r="E976" s="94"/>
      <c r="F976" s="95"/>
      <c r="G976" s="96"/>
    </row>
    <row r="977" ht="14.25" customHeight="1" spans="4:7">
      <c r="D977" s="93"/>
      <c r="E977" s="94"/>
      <c r="F977" s="95"/>
      <c r="G977" s="96"/>
    </row>
    <row r="978" ht="14.25" customHeight="1" spans="4:7">
      <c r="D978" s="93"/>
      <c r="E978" s="94"/>
      <c r="F978" s="95"/>
      <c r="G978" s="96"/>
    </row>
    <row r="979" ht="14.25" customHeight="1" spans="4:7">
      <c r="D979" s="93"/>
      <c r="E979" s="94"/>
      <c r="F979" s="95"/>
      <c r="G979" s="96"/>
    </row>
    <row r="980" ht="14.25" customHeight="1" spans="4:7">
      <c r="D980" s="93"/>
      <c r="E980" s="94"/>
      <c r="F980" s="95"/>
      <c r="G980" s="96"/>
    </row>
    <row r="981" ht="14.25" customHeight="1" spans="4:7">
      <c r="D981" s="93"/>
      <c r="E981" s="94"/>
      <c r="F981" s="95"/>
      <c r="G981" s="96"/>
    </row>
    <row r="982" ht="14.25" customHeight="1" spans="4:7">
      <c r="D982" s="93"/>
      <c r="E982" s="94"/>
      <c r="F982" s="95"/>
      <c r="G982" s="96"/>
    </row>
    <row r="983" ht="14.25" customHeight="1" spans="4:7">
      <c r="D983" s="93"/>
      <c r="E983" s="94"/>
      <c r="F983" s="95"/>
      <c r="G983" s="96"/>
    </row>
    <row r="984" ht="14.25" customHeight="1" spans="4:7">
      <c r="D984" s="93"/>
      <c r="E984" s="94"/>
      <c r="F984" s="95"/>
      <c r="G984" s="96"/>
    </row>
    <row r="985" ht="14.25" customHeight="1" spans="4:7">
      <c r="D985" s="93"/>
      <c r="E985" s="94"/>
      <c r="F985" s="95"/>
      <c r="G985" s="96"/>
    </row>
    <row r="986" ht="14.25" customHeight="1" spans="4:7">
      <c r="D986" s="93"/>
      <c r="E986" s="94"/>
      <c r="F986" s="95"/>
      <c r="G986" s="96"/>
    </row>
    <row r="987" ht="14.25" customHeight="1" spans="4:7">
      <c r="D987" s="93"/>
      <c r="E987" s="94"/>
      <c r="F987" s="95"/>
      <c r="G987" s="96"/>
    </row>
    <row r="988" ht="14.25" customHeight="1" spans="4:7">
      <c r="D988" s="93"/>
      <c r="E988" s="94"/>
      <c r="F988" s="95"/>
      <c r="G988" s="96"/>
    </row>
    <row r="989" ht="14.25" customHeight="1" spans="4:7">
      <c r="D989" s="93"/>
      <c r="E989" s="94"/>
      <c r="F989" s="95"/>
      <c r="G989" s="96"/>
    </row>
    <row r="990" ht="14.25" customHeight="1" spans="4:7">
      <c r="D990" s="93"/>
      <c r="E990" s="94"/>
      <c r="F990" s="95"/>
      <c r="G990" s="96"/>
    </row>
    <row r="991" ht="14.25" customHeight="1" spans="4:7">
      <c r="D991" s="93"/>
      <c r="E991" s="94"/>
      <c r="F991" s="95"/>
      <c r="G991" s="96"/>
    </row>
    <row r="992" ht="14.25" customHeight="1" spans="4:7">
      <c r="D992" s="93"/>
      <c r="E992" s="94"/>
      <c r="F992" s="95"/>
      <c r="G992" s="96"/>
    </row>
    <row r="993" ht="14.25" customHeight="1" spans="4:7">
      <c r="D993" s="93"/>
      <c r="E993" s="94"/>
      <c r="F993" s="95"/>
      <c r="G993" s="96"/>
    </row>
    <row r="994" ht="14.25" customHeight="1" spans="4:7">
      <c r="D994" s="93"/>
      <c r="E994" s="94"/>
      <c r="F994" s="95"/>
      <c r="G994" s="96"/>
    </row>
    <row r="995" ht="14.25" customHeight="1" spans="4:7">
      <c r="D995" s="93"/>
      <c r="E995" s="94"/>
      <c r="F995" s="95"/>
      <c r="G995" s="96"/>
    </row>
    <row r="996" ht="14.25" customHeight="1" spans="4:7">
      <c r="D996" s="93"/>
      <c r="E996" s="94"/>
      <c r="F996" s="95"/>
      <c r="G996" s="96"/>
    </row>
    <row r="997" ht="14.25" customHeight="1" spans="4:7">
      <c r="D997" s="93"/>
      <c r="E997" s="94"/>
      <c r="F997" s="95"/>
      <c r="G997" s="96"/>
    </row>
    <row r="998" ht="14.25" customHeight="1" spans="4:7">
      <c r="D998" s="93"/>
      <c r="E998" s="94"/>
      <c r="F998" s="95"/>
      <c r="G998" s="96"/>
    </row>
    <row r="999" ht="14.25" customHeight="1" spans="4:7">
      <c r="D999" s="93"/>
      <c r="E999" s="94"/>
      <c r="F999" s="95"/>
      <c r="G999" s="96"/>
    </row>
    <row r="1000" ht="14.25" customHeight="1" spans="4:7">
      <c r="D1000" s="93"/>
      <c r="E1000" s="94"/>
      <c r="F1000" s="95"/>
      <c r="G1000" s="96"/>
    </row>
    <row r="1001" ht="14.25" customHeight="1" spans="4:7">
      <c r="D1001" s="93"/>
      <c r="E1001" s="94"/>
      <c r="F1001" s="95"/>
      <c r="G1001" s="96"/>
    </row>
    <row r="1002" ht="14.25" customHeight="1" spans="4:7">
      <c r="D1002" s="93"/>
      <c r="E1002" s="94"/>
      <c r="F1002" s="95"/>
      <c r="G1002" s="96"/>
    </row>
    <row r="1003" ht="14.25" customHeight="1" spans="4:7">
      <c r="D1003" s="93"/>
      <c r="E1003" s="94"/>
      <c r="F1003" s="95"/>
      <c r="G1003" s="96"/>
    </row>
    <row r="1004" ht="14.25" customHeight="1" spans="4:7">
      <c r="D1004" s="93"/>
      <c r="E1004" s="94"/>
      <c r="F1004" s="95"/>
      <c r="G1004" s="96"/>
    </row>
    <row r="1005" ht="14.25" customHeight="1" spans="4:7">
      <c r="D1005" s="93"/>
      <c r="E1005" s="94"/>
      <c r="F1005" s="95"/>
      <c r="G1005" s="96"/>
    </row>
    <row r="1006" ht="14.25" customHeight="1" spans="4:7">
      <c r="D1006" s="93"/>
      <c r="E1006" s="94"/>
      <c r="F1006" s="95"/>
      <c r="G1006" s="96"/>
    </row>
    <row r="1007" ht="14.25" customHeight="1" spans="4:7">
      <c r="D1007" s="93"/>
      <c r="E1007" s="94"/>
      <c r="F1007" s="95"/>
      <c r="G1007" s="96"/>
    </row>
    <row r="1008" ht="14.25" customHeight="1" spans="4:7">
      <c r="D1008" s="93"/>
      <c r="E1008" s="94"/>
      <c r="F1008" s="95"/>
      <c r="G1008" s="96"/>
    </row>
    <row r="1009" ht="14.25" customHeight="1"/>
    <row r="1010" ht="14.25" customHeight="1"/>
  </sheetData>
  <mergeCells count="13">
    <mergeCell ref="D1:G1"/>
    <mergeCell ref="H1:K1"/>
    <mergeCell ref="L1:O1"/>
    <mergeCell ref="D4:O4"/>
    <mergeCell ref="A13:O13"/>
    <mergeCell ref="A22:O22"/>
    <mergeCell ref="D42:G42"/>
    <mergeCell ref="H42:K42"/>
    <mergeCell ref="L42:O42"/>
    <mergeCell ref="A5:A12"/>
    <mergeCell ref="A14:A21"/>
    <mergeCell ref="A23:A31"/>
    <mergeCell ref="A1:B3"/>
  </mergeCells>
  <pageMargins left="0.7" right="0.7" top="0.75" bottom="0.75" header="0" footer="0"/>
  <pageSetup paperSize="1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010"/>
  <sheetViews>
    <sheetView tabSelected="1" topLeftCell="A26" workbookViewId="0">
      <selection activeCell="C4" sqref="C4"/>
    </sheetView>
  </sheetViews>
  <sheetFormatPr defaultColWidth="14.4285714285714" defaultRowHeight="15" customHeight="1"/>
  <cols>
    <col min="1" max="2" width="10.7142857142857" customWidth="1"/>
    <col min="3" max="3" width="55.2857142857143" customWidth="1"/>
    <col min="4" max="30" width="9.42857142857143" customWidth="1"/>
  </cols>
  <sheetData>
    <row r="1" ht="14.25" customHeight="1" spans="1:30">
      <c r="A1" s="17"/>
      <c r="B1" s="18"/>
      <c r="C1" s="19" t="s">
        <v>0</v>
      </c>
      <c r="D1" s="20">
        <v>2022</v>
      </c>
      <c r="E1" s="3"/>
      <c r="F1" s="3"/>
      <c r="G1" s="4"/>
      <c r="H1" s="20">
        <v>2023</v>
      </c>
      <c r="I1" s="3"/>
      <c r="J1" s="3"/>
      <c r="K1" s="4"/>
      <c r="L1" s="20">
        <v>2024</v>
      </c>
      <c r="M1" s="3"/>
      <c r="N1" s="3"/>
      <c r="O1" s="4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</row>
    <row r="2" ht="14.25" customHeight="1" spans="1:30">
      <c r="A2" s="21"/>
      <c r="B2" s="22"/>
      <c r="C2" s="19" t="s">
        <v>1</v>
      </c>
      <c r="D2" s="23" t="s">
        <v>2</v>
      </c>
      <c r="E2" s="24" t="s">
        <v>3</v>
      </c>
      <c r="F2" s="25" t="s">
        <v>4</v>
      </c>
      <c r="G2" s="26" t="s">
        <v>5</v>
      </c>
      <c r="H2" s="23" t="s">
        <v>2</v>
      </c>
      <c r="I2" s="24" t="s">
        <v>3</v>
      </c>
      <c r="J2" s="25" t="s">
        <v>4</v>
      </c>
      <c r="K2" s="26" t="s">
        <v>5</v>
      </c>
      <c r="L2" s="23" t="s">
        <v>2</v>
      </c>
      <c r="M2" s="24" t="s">
        <v>3</v>
      </c>
      <c r="N2" s="25" t="s">
        <v>4</v>
      </c>
      <c r="O2" s="26" t="s">
        <v>5</v>
      </c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</row>
    <row r="3" ht="14.25" customHeight="1" spans="1:30">
      <c r="A3" s="27"/>
      <c r="B3" s="28"/>
      <c r="C3" s="29" t="s">
        <v>6</v>
      </c>
      <c r="D3" s="30" t="s">
        <v>59</v>
      </c>
      <c r="E3" s="31" t="s">
        <v>59</v>
      </c>
      <c r="F3" s="32">
        <v>44859</v>
      </c>
      <c r="G3" s="33">
        <v>45019</v>
      </c>
      <c r="H3" s="34">
        <v>45088</v>
      </c>
      <c r="I3" s="82">
        <v>45170</v>
      </c>
      <c r="J3" s="83">
        <v>45253</v>
      </c>
      <c r="K3" s="33">
        <v>45329</v>
      </c>
      <c r="L3" s="30"/>
      <c r="M3" s="31"/>
      <c r="N3" s="84"/>
      <c r="O3" s="85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</row>
    <row r="4" ht="14.25" customHeight="1" spans="1:30">
      <c r="A4" s="35" t="s">
        <v>7</v>
      </c>
      <c r="B4" s="35" t="s">
        <v>8</v>
      </c>
      <c r="C4" s="35" t="s">
        <v>9</v>
      </c>
      <c r="D4" s="36"/>
      <c r="E4" s="3"/>
      <c r="F4" s="3"/>
      <c r="G4" s="3"/>
      <c r="H4" s="3"/>
      <c r="I4" s="3"/>
      <c r="J4" s="3"/>
      <c r="K4" s="3"/>
      <c r="L4" s="3"/>
      <c r="M4" s="3"/>
      <c r="N4" s="3"/>
      <c r="O4" s="4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</row>
    <row r="5" ht="23.25" customHeight="1" spans="1:30">
      <c r="A5" s="37" t="s">
        <v>10</v>
      </c>
      <c r="B5" s="38" t="s">
        <v>11</v>
      </c>
      <c r="C5" s="38" t="s">
        <v>12</v>
      </c>
      <c r="D5" s="39" t="s">
        <v>59</v>
      </c>
      <c r="E5" s="40" t="s">
        <v>59</v>
      </c>
      <c r="F5" s="41">
        <v>0</v>
      </c>
      <c r="G5" s="42">
        <v>0</v>
      </c>
      <c r="H5" s="39">
        <v>3</v>
      </c>
      <c r="I5" s="40">
        <v>0</v>
      </c>
      <c r="J5" s="41">
        <v>0</v>
      </c>
      <c r="K5" s="42">
        <v>0</v>
      </c>
      <c r="L5" s="39"/>
      <c r="M5" s="40"/>
      <c r="N5" s="41"/>
      <c r="O5" s="42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</row>
    <row r="6" ht="22.5" customHeight="1" spans="1:30">
      <c r="A6" s="43"/>
      <c r="B6" s="44" t="s">
        <v>13</v>
      </c>
      <c r="C6" s="44" t="s">
        <v>14</v>
      </c>
      <c r="D6" s="6" t="s">
        <v>59</v>
      </c>
      <c r="E6" s="7" t="s">
        <v>59</v>
      </c>
      <c r="F6" s="25">
        <v>0</v>
      </c>
      <c r="G6" s="26">
        <v>0</v>
      </c>
      <c r="H6" s="6">
        <v>0</v>
      </c>
      <c r="I6" s="7">
        <v>0</v>
      </c>
      <c r="J6" s="25">
        <v>0</v>
      </c>
      <c r="K6" s="26">
        <v>0</v>
      </c>
      <c r="L6" s="6"/>
      <c r="M6" s="7"/>
      <c r="N6" s="25"/>
      <c r="O6" s="26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</row>
    <row r="7" ht="22.5" customHeight="1" spans="1:30">
      <c r="A7" s="43"/>
      <c r="B7" s="38" t="s">
        <v>15</v>
      </c>
      <c r="C7" s="38" t="s">
        <v>16</v>
      </c>
      <c r="D7" s="39" t="s">
        <v>59</v>
      </c>
      <c r="E7" s="40" t="s">
        <v>59</v>
      </c>
      <c r="F7" s="41">
        <v>1</v>
      </c>
      <c r="G7" s="42">
        <v>1</v>
      </c>
      <c r="H7" s="39">
        <v>2</v>
      </c>
      <c r="I7" s="40">
        <v>0</v>
      </c>
      <c r="J7" s="41">
        <v>0</v>
      </c>
      <c r="K7" s="42">
        <v>0</v>
      </c>
      <c r="L7" s="39"/>
      <c r="M7" s="40"/>
      <c r="N7" s="41"/>
      <c r="O7" s="42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</row>
    <row r="8" ht="22.5" customHeight="1" spans="1:30">
      <c r="A8" s="43"/>
      <c r="B8" s="44" t="s">
        <v>17</v>
      </c>
      <c r="C8" s="44" t="s">
        <v>18</v>
      </c>
      <c r="D8" s="6" t="s">
        <v>59</v>
      </c>
      <c r="E8" s="7" t="s">
        <v>59</v>
      </c>
      <c r="F8" s="25">
        <v>2</v>
      </c>
      <c r="G8" s="26">
        <v>1</v>
      </c>
      <c r="H8" s="6">
        <v>0</v>
      </c>
      <c r="I8" s="7">
        <v>1</v>
      </c>
      <c r="J8" s="25">
        <v>0</v>
      </c>
      <c r="K8" s="26">
        <v>0</v>
      </c>
      <c r="L8" s="6"/>
      <c r="M8" s="7"/>
      <c r="N8" s="25"/>
      <c r="O8" s="26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</row>
    <row r="9" ht="22.5" customHeight="1" spans="1:30">
      <c r="A9" s="43"/>
      <c r="B9" s="38" t="s">
        <v>19</v>
      </c>
      <c r="C9" s="38" t="s">
        <v>20</v>
      </c>
      <c r="D9" s="39" t="s">
        <v>59</v>
      </c>
      <c r="E9" s="40" t="s">
        <v>59</v>
      </c>
      <c r="F9" s="41">
        <v>1</v>
      </c>
      <c r="G9" s="42">
        <v>7</v>
      </c>
      <c r="H9" s="39">
        <v>3</v>
      </c>
      <c r="I9" s="40">
        <v>2</v>
      </c>
      <c r="J9" s="41">
        <v>4</v>
      </c>
      <c r="K9" s="42">
        <v>1</v>
      </c>
      <c r="L9" s="39"/>
      <c r="M9" s="40"/>
      <c r="N9" s="41"/>
      <c r="O9" s="42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</row>
    <row r="10" ht="23.25" customHeight="1" spans="1:30">
      <c r="A10" s="43"/>
      <c r="B10" s="44" t="s">
        <v>21</v>
      </c>
      <c r="C10" s="44" t="s">
        <v>22</v>
      </c>
      <c r="D10" s="6" t="s">
        <v>59</v>
      </c>
      <c r="E10" s="7" t="s">
        <v>59</v>
      </c>
      <c r="F10" s="25">
        <v>1</v>
      </c>
      <c r="G10" s="26">
        <v>10</v>
      </c>
      <c r="H10" s="6">
        <v>4</v>
      </c>
      <c r="I10" s="7">
        <v>5</v>
      </c>
      <c r="J10" s="25">
        <v>7</v>
      </c>
      <c r="K10" s="26">
        <v>4</v>
      </c>
      <c r="L10" s="6"/>
      <c r="M10" s="7"/>
      <c r="N10" s="25"/>
      <c r="O10" s="26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</row>
    <row r="11" ht="24" customHeight="1" spans="1:30">
      <c r="A11" s="43"/>
      <c r="B11" s="38" t="s">
        <v>23</v>
      </c>
      <c r="C11" s="38" t="s">
        <v>24</v>
      </c>
      <c r="D11" s="39" t="s">
        <v>59</v>
      </c>
      <c r="E11" s="40" t="s">
        <v>59</v>
      </c>
      <c r="F11" s="41">
        <v>0</v>
      </c>
      <c r="G11" s="42">
        <v>1</v>
      </c>
      <c r="H11" s="39">
        <v>0</v>
      </c>
      <c r="I11" s="40">
        <v>0</v>
      </c>
      <c r="J11" s="41">
        <v>0</v>
      </c>
      <c r="K11" s="42">
        <v>0</v>
      </c>
      <c r="L11" s="39"/>
      <c r="M11" s="40"/>
      <c r="N11" s="41"/>
      <c r="O11" s="42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</row>
    <row r="12" ht="24.75" customHeight="1" spans="1:30">
      <c r="A12" s="5"/>
      <c r="B12" s="44" t="s">
        <v>25</v>
      </c>
      <c r="C12" s="44" t="s">
        <v>26</v>
      </c>
      <c r="D12" s="6" t="s">
        <v>59</v>
      </c>
      <c r="E12" s="7" t="s">
        <v>59</v>
      </c>
      <c r="F12" s="25">
        <v>0</v>
      </c>
      <c r="G12" s="26">
        <v>0</v>
      </c>
      <c r="H12" s="6">
        <v>0</v>
      </c>
      <c r="I12" s="7">
        <v>1</v>
      </c>
      <c r="J12" s="25">
        <v>1</v>
      </c>
      <c r="K12" s="26">
        <v>0</v>
      </c>
      <c r="L12" s="6"/>
      <c r="M12" s="7"/>
      <c r="N12" s="25"/>
      <c r="O12" s="26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</row>
    <row r="13" ht="6" customHeight="1" spans="1:30">
      <c r="A13" s="45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4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</row>
    <row r="14" ht="24.75" customHeight="1" spans="1:30">
      <c r="A14" s="46" t="s">
        <v>27</v>
      </c>
      <c r="B14" s="38" t="s">
        <v>11</v>
      </c>
      <c r="C14" s="38" t="s">
        <v>12</v>
      </c>
      <c r="D14" s="39" t="s">
        <v>59</v>
      </c>
      <c r="E14" s="40" t="s">
        <v>59</v>
      </c>
      <c r="F14" s="47">
        <v>0</v>
      </c>
      <c r="G14" s="48">
        <v>0</v>
      </c>
      <c r="H14" s="39">
        <v>0</v>
      </c>
      <c r="I14" s="40">
        <v>0</v>
      </c>
      <c r="J14" s="47">
        <v>0</v>
      </c>
      <c r="K14" s="48">
        <v>0</v>
      </c>
      <c r="L14" s="39"/>
      <c r="M14" s="40"/>
      <c r="N14" s="47"/>
      <c r="O14" s="48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</row>
    <row r="15" ht="25.5" customHeight="1" spans="1:30">
      <c r="A15" s="43"/>
      <c r="B15" s="44" t="s">
        <v>28</v>
      </c>
      <c r="C15" s="44" t="s">
        <v>29</v>
      </c>
      <c r="D15" s="6" t="s">
        <v>59</v>
      </c>
      <c r="E15" s="7" t="s">
        <v>59</v>
      </c>
      <c r="F15" s="8">
        <v>1</v>
      </c>
      <c r="G15" s="9">
        <v>10</v>
      </c>
      <c r="H15" s="6">
        <v>11</v>
      </c>
      <c r="I15" s="7">
        <v>3</v>
      </c>
      <c r="J15" s="8">
        <v>9</v>
      </c>
      <c r="K15" s="9">
        <v>0</v>
      </c>
      <c r="L15" s="6"/>
      <c r="M15" s="7"/>
      <c r="N15" s="8"/>
      <c r="O15" s="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</row>
    <row r="16" ht="23.25" customHeight="1" spans="1:30">
      <c r="A16" s="43"/>
      <c r="B16" s="38" t="s">
        <v>15</v>
      </c>
      <c r="C16" s="38" t="s">
        <v>16</v>
      </c>
      <c r="D16" s="39" t="s">
        <v>59</v>
      </c>
      <c r="E16" s="49" t="s">
        <v>59</v>
      </c>
      <c r="F16" s="47">
        <v>2</v>
      </c>
      <c r="G16" s="48">
        <v>1</v>
      </c>
      <c r="H16" s="39">
        <v>3</v>
      </c>
      <c r="I16" s="40">
        <v>1</v>
      </c>
      <c r="J16" s="47">
        <v>0</v>
      </c>
      <c r="K16" s="48">
        <v>0</v>
      </c>
      <c r="L16" s="39"/>
      <c r="M16" s="40"/>
      <c r="N16" s="47"/>
      <c r="O16" s="48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</row>
    <row r="17" ht="25.5" customHeight="1" spans="1:30">
      <c r="A17" s="43"/>
      <c r="B17" s="44" t="s">
        <v>17</v>
      </c>
      <c r="C17" s="44" t="s">
        <v>18</v>
      </c>
      <c r="D17" s="6" t="s">
        <v>59</v>
      </c>
      <c r="E17" s="7" t="s">
        <v>59</v>
      </c>
      <c r="F17" s="8">
        <v>1</v>
      </c>
      <c r="G17" s="9">
        <v>2</v>
      </c>
      <c r="H17" s="6">
        <v>1</v>
      </c>
      <c r="I17" s="7">
        <v>2</v>
      </c>
      <c r="J17" s="8">
        <v>0</v>
      </c>
      <c r="K17" s="9">
        <v>0</v>
      </c>
      <c r="L17" s="6"/>
      <c r="M17" s="7"/>
      <c r="N17" s="8"/>
      <c r="O17" s="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</row>
    <row r="18" ht="22.5" customHeight="1" spans="1:30">
      <c r="A18" s="43"/>
      <c r="B18" s="38" t="s">
        <v>19</v>
      </c>
      <c r="C18" s="38" t="s">
        <v>20</v>
      </c>
      <c r="D18" s="39" t="s">
        <v>59</v>
      </c>
      <c r="E18" s="49" t="s">
        <v>59</v>
      </c>
      <c r="F18" s="47">
        <v>4</v>
      </c>
      <c r="G18" s="48">
        <v>0</v>
      </c>
      <c r="H18" s="39">
        <v>0</v>
      </c>
      <c r="I18" s="40">
        <v>5</v>
      </c>
      <c r="J18" s="47">
        <v>2</v>
      </c>
      <c r="K18" s="48">
        <v>0</v>
      </c>
      <c r="L18" s="39"/>
      <c r="M18" s="40"/>
      <c r="N18" s="47"/>
      <c r="O18" s="48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</row>
    <row r="19" ht="24" customHeight="1" spans="1:30">
      <c r="A19" s="43"/>
      <c r="B19" s="44" t="s">
        <v>21</v>
      </c>
      <c r="C19" s="44" t="s">
        <v>22</v>
      </c>
      <c r="D19" s="6" t="s">
        <v>59</v>
      </c>
      <c r="E19" s="50" t="s">
        <v>59</v>
      </c>
      <c r="F19" s="8">
        <v>6</v>
      </c>
      <c r="G19" s="9">
        <v>12</v>
      </c>
      <c r="H19" s="6">
        <v>9</v>
      </c>
      <c r="I19" s="7">
        <v>10</v>
      </c>
      <c r="J19" s="8">
        <v>9</v>
      </c>
      <c r="K19" s="9">
        <v>3</v>
      </c>
      <c r="L19" s="6"/>
      <c r="M19" s="7"/>
      <c r="N19" s="8"/>
      <c r="O19" s="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</row>
    <row r="20" ht="25.5" customHeight="1" spans="1:30">
      <c r="A20" s="43"/>
      <c r="B20" s="38" t="s">
        <v>23</v>
      </c>
      <c r="C20" s="38" t="s">
        <v>24</v>
      </c>
      <c r="D20" s="39" t="s">
        <v>59</v>
      </c>
      <c r="E20" s="40" t="s">
        <v>59</v>
      </c>
      <c r="F20" s="47">
        <v>0</v>
      </c>
      <c r="G20" s="48">
        <v>0</v>
      </c>
      <c r="H20" s="39">
        <v>0</v>
      </c>
      <c r="I20" s="40">
        <v>0</v>
      </c>
      <c r="J20" s="47">
        <v>0</v>
      </c>
      <c r="K20" s="48">
        <v>1</v>
      </c>
      <c r="L20" s="39"/>
      <c r="M20" s="40"/>
      <c r="N20" s="47"/>
      <c r="O20" s="48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</row>
    <row r="21" ht="25.5" customHeight="1" spans="1:30">
      <c r="A21" s="5"/>
      <c r="B21" s="44" t="s">
        <v>25</v>
      </c>
      <c r="C21" s="44" t="s">
        <v>26</v>
      </c>
      <c r="D21" s="6" t="s">
        <v>59</v>
      </c>
      <c r="E21" s="7" t="s">
        <v>59</v>
      </c>
      <c r="F21" s="8">
        <v>0</v>
      </c>
      <c r="G21" s="9">
        <v>0</v>
      </c>
      <c r="H21" s="6"/>
      <c r="I21" s="7">
        <v>0</v>
      </c>
      <c r="J21" s="8">
        <v>3</v>
      </c>
      <c r="K21" s="9">
        <v>0</v>
      </c>
      <c r="L21" s="6"/>
      <c r="M21" s="7"/>
      <c r="N21" s="8"/>
      <c r="O21" s="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</row>
    <row r="22" ht="6" customHeight="1" spans="1:30">
      <c r="A22" s="45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4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</row>
    <row r="23" ht="22.5" customHeight="1" spans="1:30">
      <c r="A23" s="51" t="s">
        <v>30</v>
      </c>
      <c r="B23" s="52" t="s">
        <v>11</v>
      </c>
      <c r="C23" s="52" t="s">
        <v>12</v>
      </c>
      <c r="D23" s="39" t="s">
        <v>59</v>
      </c>
      <c r="E23" s="40" t="s">
        <v>59</v>
      </c>
      <c r="F23" s="47">
        <f t="shared" ref="F23:O23" si="0">SUM(F5+F14)</f>
        <v>0</v>
      </c>
      <c r="G23" s="48">
        <f t="shared" si="0"/>
        <v>0</v>
      </c>
      <c r="H23" s="39">
        <f t="shared" si="0"/>
        <v>3</v>
      </c>
      <c r="I23" s="40">
        <f t="shared" si="0"/>
        <v>0</v>
      </c>
      <c r="J23" s="47">
        <f t="shared" si="0"/>
        <v>0</v>
      </c>
      <c r="K23" s="48">
        <f t="shared" si="0"/>
        <v>0</v>
      </c>
      <c r="L23" s="39">
        <f t="shared" si="0"/>
        <v>0</v>
      </c>
      <c r="M23" s="40">
        <f t="shared" si="0"/>
        <v>0</v>
      </c>
      <c r="N23" s="47">
        <f t="shared" si="0"/>
        <v>0</v>
      </c>
      <c r="O23" s="48">
        <f t="shared" si="0"/>
        <v>0</v>
      </c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</row>
    <row r="24" ht="22.5" customHeight="1" spans="1:30">
      <c r="A24" s="43"/>
      <c r="B24" s="44" t="s">
        <v>13</v>
      </c>
      <c r="C24" s="44" t="s">
        <v>14</v>
      </c>
      <c r="D24" s="6" t="s">
        <v>59</v>
      </c>
      <c r="E24" s="7" t="s">
        <v>59</v>
      </c>
      <c r="F24" s="8">
        <f>SUM(F6)</f>
        <v>0</v>
      </c>
      <c r="G24" s="9">
        <f t="shared" ref="G24:O24" si="1">SUM(G5+G14)</f>
        <v>0</v>
      </c>
      <c r="H24" s="6">
        <f t="shared" si="1"/>
        <v>3</v>
      </c>
      <c r="I24" s="7">
        <f t="shared" si="1"/>
        <v>0</v>
      </c>
      <c r="J24" s="8">
        <f t="shared" si="1"/>
        <v>0</v>
      </c>
      <c r="K24" s="9">
        <f t="shared" si="1"/>
        <v>0</v>
      </c>
      <c r="L24" s="6">
        <f t="shared" si="1"/>
        <v>0</v>
      </c>
      <c r="M24" s="7">
        <f t="shared" si="1"/>
        <v>0</v>
      </c>
      <c r="N24" s="8">
        <f t="shared" si="1"/>
        <v>0</v>
      </c>
      <c r="O24" s="9">
        <f t="shared" si="1"/>
        <v>0</v>
      </c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</row>
    <row r="25" ht="25.5" customHeight="1" spans="1:30">
      <c r="A25" s="43"/>
      <c r="B25" s="52" t="s">
        <v>28</v>
      </c>
      <c r="C25" s="52" t="s">
        <v>29</v>
      </c>
      <c r="D25" s="39" t="s">
        <v>59</v>
      </c>
      <c r="E25" s="40" t="s">
        <v>59</v>
      </c>
      <c r="F25" s="47">
        <f t="shared" ref="F25:H25" si="2">SUM(F7+F16)</f>
        <v>3</v>
      </c>
      <c r="G25" s="48">
        <f t="shared" si="2"/>
        <v>2</v>
      </c>
      <c r="H25" s="39">
        <f t="shared" si="2"/>
        <v>5</v>
      </c>
      <c r="I25" s="40">
        <f>SUM(I6+I15)</f>
        <v>3</v>
      </c>
      <c r="J25" s="47">
        <f t="shared" ref="J25:L25" si="3">SUM(J7+J16)</f>
        <v>0</v>
      </c>
      <c r="K25" s="48">
        <f t="shared" si="3"/>
        <v>0</v>
      </c>
      <c r="L25" s="39">
        <f t="shared" si="3"/>
        <v>0</v>
      </c>
      <c r="M25" s="40">
        <f>SUM(M6+M15)</f>
        <v>0</v>
      </c>
      <c r="N25" s="47">
        <v>0</v>
      </c>
      <c r="O25" s="48">
        <f>SUM(O7+O16)</f>
        <v>0</v>
      </c>
      <c r="P25" s="89">
        <f>SUM(D25:J25)</f>
        <v>13</v>
      </c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</row>
    <row r="26" ht="24.75" customHeight="1" spans="1:30">
      <c r="A26" s="43"/>
      <c r="B26" s="44" t="s">
        <v>15</v>
      </c>
      <c r="C26" s="44" t="s">
        <v>16</v>
      </c>
      <c r="D26" s="6" t="s">
        <v>59</v>
      </c>
      <c r="E26" s="7" t="s">
        <v>59</v>
      </c>
      <c r="F26" s="8">
        <f t="shared" ref="F26:O26" si="4">SUM(F7+F16)</f>
        <v>3</v>
      </c>
      <c r="G26" s="9">
        <f t="shared" si="4"/>
        <v>2</v>
      </c>
      <c r="H26" s="6">
        <f t="shared" si="4"/>
        <v>5</v>
      </c>
      <c r="I26" s="7">
        <f t="shared" si="4"/>
        <v>1</v>
      </c>
      <c r="J26" s="8">
        <f t="shared" si="4"/>
        <v>0</v>
      </c>
      <c r="K26" s="9">
        <f t="shared" si="4"/>
        <v>0</v>
      </c>
      <c r="L26" s="6">
        <f t="shared" si="4"/>
        <v>0</v>
      </c>
      <c r="M26" s="7">
        <f t="shared" si="4"/>
        <v>0</v>
      </c>
      <c r="N26" s="8">
        <f t="shared" si="4"/>
        <v>0</v>
      </c>
      <c r="O26" s="9">
        <f t="shared" si="4"/>
        <v>0</v>
      </c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</row>
    <row r="27" ht="23.25" customHeight="1" spans="1:30">
      <c r="A27" s="43"/>
      <c r="B27" s="52" t="s">
        <v>17</v>
      </c>
      <c r="C27" s="52" t="s">
        <v>18</v>
      </c>
      <c r="D27" s="39" t="s">
        <v>59</v>
      </c>
      <c r="E27" s="40" t="s">
        <v>59</v>
      </c>
      <c r="F27" s="47">
        <f t="shared" ref="F27:O27" si="5">SUM(F8+F17)</f>
        <v>3</v>
      </c>
      <c r="G27" s="48">
        <f t="shared" si="5"/>
        <v>3</v>
      </c>
      <c r="H27" s="39">
        <f t="shared" si="5"/>
        <v>1</v>
      </c>
      <c r="I27" s="40">
        <f t="shared" si="5"/>
        <v>3</v>
      </c>
      <c r="J27" s="47">
        <f t="shared" si="5"/>
        <v>0</v>
      </c>
      <c r="K27" s="48">
        <f t="shared" si="5"/>
        <v>0</v>
      </c>
      <c r="L27" s="39">
        <f t="shared" si="5"/>
        <v>0</v>
      </c>
      <c r="M27" s="40">
        <f t="shared" si="5"/>
        <v>0</v>
      </c>
      <c r="N27" s="47">
        <f t="shared" si="5"/>
        <v>0</v>
      </c>
      <c r="O27" s="48">
        <f t="shared" si="5"/>
        <v>0</v>
      </c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</row>
    <row r="28" ht="22.5" customHeight="1" spans="1:30">
      <c r="A28" s="43"/>
      <c r="B28" s="44" t="s">
        <v>19</v>
      </c>
      <c r="C28" s="44" t="s">
        <v>20</v>
      </c>
      <c r="D28" s="6" t="s">
        <v>59</v>
      </c>
      <c r="E28" s="7" t="s">
        <v>59</v>
      </c>
      <c r="F28" s="8">
        <f t="shared" ref="F28:O28" si="6">SUM(F9+F18)</f>
        <v>5</v>
      </c>
      <c r="G28" s="9">
        <f t="shared" si="6"/>
        <v>7</v>
      </c>
      <c r="H28" s="6">
        <f t="shared" si="6"/>
        <v>3</v>
      </c>
      <c r="I28" s="7">
        <f t="shared" si="6"/>
        <v>7</v>
      </c>
      <c r="J28" s="8">
        <f t="shared" si="6"/>
        <v>6</v>
      </c>
      <c r="K28" s="9">
        <f t="shared" si="6"/>
        <v>1</v>
      </c>
      <c r="L28" s="6">
        <f t="shared" si="6"/>
        <v>0</v>
      </c>
      <c r="M28" s="7">
        <f t="shared" si="6"/>
        <v>0</v>
      </c>
      <c r="N28" s="8">
        <f t="shared" si="6"/>
        <v>0</v>
      </c>
      <c r="O28" s="9">
        <f t="shared" si="6"/>
        <v>0</v>
      </c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</row>
    <row r="29" ht="24.75" customHeight="1" spans="1:30">
      <c r="A29" s="43"/>
      <c r="B29" s="52" t="s">
        <v>21</v>
      </c>
      <c r="C29" s="52" t="s">
        <v>22</v>
      </c>
      <c r="D29" s="39" t="s">
        <v>59</v>
      </c>
      <c r="E29" s="40" t="s">
        <v>59</v>
      </c>
      <c r="F29" s="47">
        <f t="shared" ref="F29:O29" si="7">SUM(F10+F19)</f>
        <v>7</v>
      </c>
      <c r="G29" s="48">
        <f t="shared" si="7"/>
        <v>22</v>
      </c>
      <c r="H29" s="39">
        <f t="shared" si="7"/>
        <v>13</v>
      </c>
      <c r="I29" s="40">
        <f t="shared" si="7"/>
        <v>15</v>
      </c>
      <c r="J29" s="47">
        <f t="shared" si="7"/>
        <v>16</v>
      </c>
      <c r="K29" s="48">
        <f t="shared" si="7"/>
        <v>7</v>
      </c>
      <c r="L29" s="39">
        <f t="shared" si="7"/>
        <v>0</v>
      </c>
      <c r="M29" s="40">
        <f t="shared" si="7"/>
        <v>0</v>
      </c>
      <c r="N29" s="47">
        <f t="shared" si="7"/>
        <v>0</v>
      </c>
      <c r="O29" s="48">
        <f t="shared" si="7"/>
        <v>0</v>
      </c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</row>
    <row r="30" ht="24.75" customHeight="1" spans="1:30">
      <c r="A30" s="43"/>
      <c r="B30" s="44" t="s">
        <v>23</v>
      </c>
      <c r="C30" s="44" t="s">
        <v>24</v>
      </c>
      <c r="D30" s="6" t="s">
        <v>59</v>
      </c>
      <c r="E30" s="7" t="s">
        <v>59</v>
      </c>
      <c r="F30" s="8">
        <f t="shared" ref="F30:O30" si="8">SUM(F11+F20)</f>
        <v>0</v>
      </c>
      <c r="G30" s="9">
        <f t="shared" si="8"/>
        <v>1</v>
      </c>
      <c r="H30" s="6">
        <f t="shared" si="8"/>
        <v>0</v>
      </c>
      <c r="I30" s="7">
        <f t="shared" si="8"/>
        <v>0</v>
      </c>
      <c r="J30" s="8">
        <f t="shared" si="8"/>
        <v>0</v>
      </c>
      <c r="K30" s="9">
        <f t="shared" si="8"/>
        <v>1</v>
      </c>
      <c r="L30" s="6">
        <f t="shared" si="8"/>
        <v>0</v>
      </c>
      <c r="M30" s="7">
        <f t="shared" si="8"/>
        <v>0</v>
      </c>
      <c r="N30" s="8">
        <f t="shared" si="8"/>
        <v>0</v>
      </c>
      <c r="O30" s="9">
        <f t="shared" si="8"/>
        <v>0</v>
      </c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</row>
    <row r="31" ht="25.5" customHeight="1" spans="1:30">
      <c r="A31" s="5"/>
      <c r="B31" s="52" t="s">
        <v>25</v>
      </c>
      <c r="C31" s="52" t="s">
        <v>26</v>
      </c>
      <c r="D31" s="39" t="s">
        <v>59</v>
      </c>
      <c r="E31" s="40" t="s">
        <v>59</v>
      </c>
      <c r="F31" s="47">
        <f t="shared" ref="F31:O31" si="9">SUM(F12+F21)</f>
        <v>0</v>
      </c>
      <c r="G31" s="48">
        <f t="shared" si="9"/>
        <v>0</v>
      </c>
      <c r="H31" s="39">
        <f t="shared" si="9"/>
        <v>0</v>
      </c>
      <c r="I31" s="40">
        <f t="shared" si="9"/>
        <v>1</v>
      </c>
      <c r="J31" s="47">
        <f t="shared" si="9"/>
        <v>4</v>
      </c>
      <c r="K31" s="48">
        <f t="shared" si="9"/>
        <v>0</v>
      </c>
      <c r="L31" s="39">
        <f t="shared" si="9"/>
        <v>0</v>
      </c>
      <c r="M31" s="40">
        <f t="shared" si="9"/>
        <v>0</v>
      </c>
      <c r="N31" s="47">
        <f t="shared" si="9"/>
        <v>0</v>
      </c>
      <c r="O31" s="48">
        <f t="shared" si="9"/>
        <v>0</v>
      </c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</row>
    <row r="32" ht="21.75" customHeight="1" spans="1:30">
      <c r="A32" s="53"/>
      <c r="B32" s="53"/>
      <c r="C32" s="54" t="s">
        <v>30</v>
      </c>
      <c r="D32" s="55" t="s">
        <v>59</v>
      </c>
      <c r="E32" s="56" t="s">
        <v>59</v>
      </c>
      <c r="F32" s="90">
        <f t="shared" ref="F32:O32" si="10">SUM(F23:F31)</f>
        <v>21</v>
      </c>
      <c r="G32" s="57">
        <f t="shared" si="10"/>
        <v>37</v>
      </c>
      <c r="H32" s="55">
        <f t="shared" si="10"/>
        <v>33</v>
      </c>
      <c r="I32" s="56">
        <f t="shared" si="10"/>
        <v>30</v>
      </c>
      <c r="J32" s="90">
        <f t="shared" si="10"/>
        <v>26</v>
      </c>
      <c r="K32" s="57">
        <f t="shared" si="10"/>
        <v>9</v>
      </c>
      <c r="L32" s="55">
        <f t="shared" si="10"/>
        <v>0</v>
      </c>
      <c r="M32" s="56">
        <f t="shared" si="10"/>
        <v>0</v>
      </c>
      <c r="N32" s="90">
        <f t="shared" si="10"/>
        <v>0</v>
      </c>
      <c r="O32" s="57">
        <f t="shared" si="10"/>
        <v>0</v>
      </c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</row>
    <row r="33" ht="24.75" customHeight="1" spans="1:30">
      <c r="A33" s="58"/>
      <c r="B33" s="58"/>
      <c r="C33" s="54" t="s">
        <v>31</v>
      </c>
      <c r="D33" s="59" t="s">
        <v>59</v>
      </c>
      <c r="E33" s="60" t="s">
        <v>59</v>
      </c>
      <c r="F33" s="61">
        <f t="shared" ref="F33:O33" si="11">F32*40</f>
        <v>840</v>
      </c>
      <c r="G33" s="62">
        <f t="shared" si="11"/>
        <v>1480</v>
      </c>
      <c r="H33" s="59">
        <f t="shared" si="11"/>
        <v>1320</v>
      </c>
      <c r="I33" s="60">
        <f t="shared" si="11"/>
        <v>1200</v>
      </c>
      <c r="J33" s="61">
        <f t="shared" si="11"/>
        <v>1040</v>
      </c>
      <c r="K33" s="62">
        <f t="shared" si="11"/>
        <v>360</v>
      </c>
      <c r="L33" s="59">
        <f t="shared" si="11"/>
        <v>0</v>
      </c>
      <c r="M33" s="60">
        <f t="shared" si="11"/>
        <v>0</v>
      </c>
      <c r="N33" s="61">
        <f t="shared" si="11"/>
        <v>0</v>
      </c>
      <c r="O33" s="62">
        <f t="shared" si="11"/>
        <v>0</v>
      </c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</row>
    <row r="34" ht="28.5" customHeight="1" spans="1:30">
      <c r="A34" s="58"/>
      <c r="C34" s="63" t="s">
        <v>37</v>
      </c>
      <c r="D34" s="64"/>
      <c r="E34" s="64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</row>
    <row r="35" customHeight="1" spans="4:30">
      <c r="D35" s="67"/>
      <c r="E35" s="67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</row>
    <row r="36" customHeight="1" spans="2:30">
      <c r="B36" s="69" t="s">
        <v>32</v>
      </c>
      <c r="C36" s="70"/>
      <c r="D36" s="67"/>
      <c r="E36" s="67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</row>
    <row r="37" ht="18.75" customHeight="1" spans="2:30">
      <c r="B37" s="71" t="s">
        <v>33</v>
      </c>
      <c r="C37" s="72" t="s">
        <v>70</v>
      </c>
      <c r="D37" s="67"/>
      <c r="E37" s="67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</row>
    <row r="38" ht="17.25" customHeight="1" spans="2:30">
      <c r="B38" s="71" t="s">
        <v>34</v>
      </c>
      <c r="C38" s="72" t="s">
        <v>71</v>
      </c>
      <c r="D38" s="67"/>
      <c r="E38" s="67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</row>
    <row r="39" customHeight="1" spans="1:30">
      <c r="A39" s="58"/>
      <c r="B39" s="71" t="s">
        <v>35</v>
      </c>
      <c r="C39" s="72" t="s">
        <v>72</v>
      </c>
      <c r="D39" s="67"/>
      <c r="E39" s="67"/>
      <c r="F39" s="68"/>
      <c r="G39" s="68"/>
      <c r="H39" s="68"/>
      <c r="I39" s="68"/>
      <c r="J39" s="68"/>
      <c r="K39" s="68"/>
      <c r="L39" s="68"/>
      <c r="M39" s="68"/>
      <c r="N39" s="68"/>
      <c r="O39" s="67"/>
      <c r="P39" s="67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</row>
    <row r="40" customHeight="1" spans="1:30">
      <c r="A40" s="58"/>
      <c r="B40" s="71" t="s">
        <v>36</v>
      </c>
      <c r="C40" s="72" t="s">
        <v>73</v>
      </c>
      <c r="D40" s="67"/>
      <c r="E40" s="67"/>
      <c r="F40" s="68"/>
      <c r="G40" s="68"/>
      <c r="H40" s="68"/>
      <c r="I40" s="68"/>
      <c r="J40" s="68"/>
      <c r="K40" s="68"/>
      <c r="L40" s="68"/>
      <c r="M40" s="68"/>
      <c r="N40" s="68"/>
      <c r="O40" s="67"/>
      <c r="P40" s="67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</row>
    <row r="41" customHeight="1" spans="1:30">
      <c r="A41" s="58"/>
      <c r="B41" s="58"/>
      <c r="C41" s="58"/>
      <c r="D41" s="67"/>
      <c r="E41" s="67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</row>
    <row r="42" customHeight="1" spans="1:30">
      <c r="A42" s="58"/>
      <c r="B42" s="58"/>
      <c r="C42" s="58"/>
      <c r="D42" s="73">
        <v>2022</v>
      </c>
      <c r="E42" s="3"/>
      <c r="F42" s="3"/>
      <c r="G42" s="4"/>
      <c r="H42" s="74">
        <v>2023</v>
      </c>
      <c r="I42" s="3"/>
      <c r="J42" s="3"/>
      <c r="K42" s="4"/>
      <c r="L42" s="74">
        <v>2024</v>
      </c>
      <c r="M42" s="3"/>
      <c r="N42" s="3"/>
      <c r="O42" s="4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91"/>
    </row>
    <row r="43" ht="23.25" customHeight="1" spans="3:30">
      <c r="C43" s="58"/>
      <c r="D43" s="75" t="s">
        <v>42</v>
      </c>
      <c r="E43" s="76" t="s">
        <v>43</v>
      </c>
      <c r="F43" s="77" t="s">
        <v>44</v>
      </c>
      <c r="G43" s="78" t="s">
        <v>45</v>
      </c>
      <c r="H43" s="79" t="s">
        <v>46</v>
      </c>
      <c r="I43" s="76" t="s">
        <v>47</v>
      </c>
      <c r="J43" s="77" t="s">
        <v>48</v>
      </c>
      <c r="K43" s="78" t="s">
        <v>49</v>
      </c>
      <c r="L43" s="79" t="s">
        <v>50</v>
      </c>
      <c r="M43" s="76" t="s">
        <v>51</v>
      </c>
      <c r="N43" s="77" t="s">
        <v>52</v>
      </c>
      <c r="O43" s="78" t="s">
        <v>53</v>
      </c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</row>
    <row r="44" ht="14.25" customHeight="1" spans="3:30">
      <c r="C44" s="52" t="s">
        <v>11</v>
      </c>
      <c r="D44" s="11"/>
      <c r="E44" s="11"/>
      <c r="F44" s="11">
        <f t="shared" ref="F44:O44" si="12">F24/5*100</f>
        <v>0</v>
      </c>
      <c r="G44" s="11">
        <f t="shared" si="12"/>
        <v>0</v>
      </c>
      <c r="H44" s="11">
        <f t="shared" si="12"/>
        <v>60</v>
      </c>
      <c r="I44" s="11">
        <f t="shared" si="12"/>
        <v>0</v>
      </c>
      <c r="J44" s="11">
        <f t="shared" si="12"/>
        <v>0</v>
      </c>
      <c r="K44" s="11">
        <f t="shared" si="12"/>
        <v>0</v>
      </c>
      <c r="L44" s="11">
        <f t="shared" si="12"/>
        <v>0</v>
      </c>
      <c r="M44" s="11">
        <f t="shared" si="12"/>
        <v>0</v>
      </c>
      <c r="N44" s="11">
        <f t="shared" si="12"/>
        <v>0</v>
      </c>
      <c r="O44" s="11">
        <f t="shared" si="12"/>
        <v>0</v>
      </c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</row>
    <row r="45" ht="14.25" customHeight="1" spans="3:30">
      <c r="C45" s="44" t="s">
        <v>13</v>
      </c>
      <c r="D45" s="11"/>
      <c r="E45" s="11"/>
      <c r="F45" s="11">
        <f t="shared" ref="F45:O45" si="13">F25/5*100</f>
        <v>60</v>
      </c>
      <c r="G45" s="11">
        <f t="shared" si="13"/>
        <v>40</v>
      </c>
      <c r="H45" s="11">
        <f t="shared" si="13"/>
        <v>100</v>
      </c>
      <c r="I45" s="11">
        <f t="shared" si="13"/>
        <v>60</v>
      </c>
      <c r="J45" s="11">
        <f t="shared" si="13"/>
        <v>0</v>
      </c>
      <c r="K45" s="11">
        <f t="shared" si="13"/>
        <v>0</v>
      </c>
      <c r="L45" s="11">
        <f t="shared" si="13"/>
        <v>0</v>
      </c>
      <c r="M45" s="11">
        <f t="shared" si="13"/>
        <v>0</v>
      </c>
      <c r="N45" s="11">
        <f t="shared" si="13"/>
        <v>0</v>
      </c>
      <c r="O45" s="11">
        <f t="shared" si="13"/>
        <v>0</v>
      </c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</row>
    <row r="46" ht="14.25" customHeight="1" spans="3:30">
      <c r="C46" s="52" t="s">
        <v>28</v>
      </c>
      <c r="D46" s="11"/>
      <c r="E46" s="11"/>
      <c r="F46" s="11">
        <f t="shared" ref="F46:O46" si="14">F26/5*100</f>
        <v>60</v>
      </c>
      <c r="G46" s="11">
        <f t="shared" si="14"/>
        <v>40</v>
      </c>
      <c r="H46" s="11">
        <f t="shared" si="14"/>
        <v>100</v>
      </c>
      <c r="I46" s="11">
        <f t="shared" si="14"/>
        <v>20</v>
      </c>
      <c r="J46" s="11">
        <f t="shared" si="14"/>
        <v>0</v>
      </c>
      <c r="K46" s="11">
        <f t="shared" si="14"/>
        <v>0</v>
      </c>
      <c r="L46" s="11">
        <f t="shared" si="14"/>
        <v>0</v>
      </c>
      <c r="M46" s="11">
        <f t="shared" si="14"/>
        <v>0</v>
      </c>
      <c r="N46" s="11">
        <f t="shared" si="14"/>
        <v>0</v>
      </c>
      <c r="O46" s="11">
        <f t="shared" si="14"/>
        <v>0</v>
      </c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</row>
    <row r="47" ht="14.25" customHeight="1" spans="3:30">
      <c r="C47" s="44" t="s">
        <v>15</v>
      </c>
      <c r="D47" s="11"/>
      <c r="E47" s="11"/>
      <c r="F47" s="11">
        <f t="shared" ref="F47:O47" si="15">F27/5*100</f>
        <v>60</v>
      </c>
      <c r="G47" s="11">
        <f t="shared" si="15"/>
        <v>60</v>
      </c>
      <c r="H47" s="11">
        <f t="shared" si="15"/>
        <v>20</v>
      </c>
      <c r="I47" s="11">
        <f t="shared" si="15"/>
        <v>60</v>
      </c>
      <c r="J47" s="11">
        <f t="shared" si="15"/>
        <v>0</v>
      </c>
      <c r="K47" s="11">
        <f t="shared" si="15"/>
        <v>0</v>
      </c>
      <c r="L47" s="11">
        <f t="shared" si="15"/>
        <v>0</v>
      </c>
      <c r="M47" s="11">
        <f t="shared" si="15"/>
        <v>0</v>
      </c>
      <c r="N47" s="11">
        <f t="shared" si="15"/>
        <v>0</v>
      </c>
      <c r="O47" s="11">
        <f t="shared" si="15"/>
        <v>0</v>
      </c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</row>
    <row r="48" ht="14.25" customHeight="1" spans="3:30">
      <c r="C48" s="52" t="s">
        <v>17</v>
      </c>
      <c r="D48" s="11"/>
      <c r="E48" s="11"/>
      <c r="F48" s="11">
        <f t="shared" ref="F48:O48" si="16">F28/5*100</f>
        <v>100</v>
      </c>
      <c r="G48" s="11">
        <f t="shared" si="16"/>
        <v>140</v>
      </c>
      <c r="H48" s="11">
        <f t="shared" si="16"/>
        <v>60</v>
      </c>
      <c r="I48" s="11">
        <f t="shared" si="16"/>
        <v>140</v>
      </c>
      <c r="J48" s="11">
        <f t="shared" si="16"/>
        <v>120</v>
      </c>
      <c r="K48" s="11">
        <f t="shared" si="16"/>
        <v>20</v>
      </c>
      <c r="L48" s="11">
        <f t="shared" si="16"/>
        <v>0</v>
      </c>
      <c r="M48" s="11">
        <f t="shared" si="16"/>
        <v>0</v>
      </c>
      <c r="N48" s="11">
        <f t="shared" si="16"/>
        <v>0</v>
      </c>
      <c r="O48" s="11">
        <f t="shared" si="16"/>
        <v>0</v>
      </c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</row>
    <row r="49" ht="14.25" customHeight="1" spans="3:30">
      <c r="C49" s="44" t="s">
        <v>19</v>
      </c>
      <c r="D49" s="11"/>
      <c r="E49" s="11"/>
      <c r="F49" s="11">
        <f t="shared" ref="F49:O49" si="17">F29/5*100</f>
        <v>140</v>
      </c>
      <c r="G49" s="11">
        <f t="shared" si="17"/>
        <v>440</v>
      </c>
      <c r="H49" s="11">
        <f t="shared" si="17"/>
        <v>260</v>
      </c>
      <c r="I49" s="11">
        <f t="shared" si="17"/>
        <v>300</v>
      </c>
      <c r="J49" s="11">
        <f t="shared" si="17"/>
        <v>320</v>
      </c>
      <c r="K49" s="11">
        <f t="shared" si="17"/>
        <v>140</v>
      </c>
      <c r="L49" s="11">
        <f t="shared" si="17"/>
        <v>0</v>
      </c>
      <c r="M49" s="11">
        <f t="shared" si="17"/>
        <v>0</v>
      </c>
      <c r="N49" s="11">
        <f t="shared" si="17"/>
        <v>0</v>
      </c>
      <c r="O49" s="11">
        <f t="shared" si="17"/>
        <v>0</v>
      </c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</row>
    <row r="50" ht="14.25" customHeight="1" spans="3:30">
      <c r="C50" s="52" t="s">
        <v>21</v>
      </c>
      <c r="D50" s="11"/>
      <c r="E50" s="11"/>
      <c r="F50" s="11">
        <f t="shared" ref="F50:O50" si="18">F30/5*100</f>
        <v>0</v>
      </c>
      <c r="G50" s="11">
        <f t="shared" si="18"/>
        <v>20</v>
      </c>
      <c r="H50" s="11">
        <f t="shared" si="18"/>
        <v>0</v>
      </c>
      <c r="I50" s="11">
        <f t="shared" si="18"/>
        <v>0</v>
      </c>
      <c r="J50" s="11">
        <f t="shared" si="18"/>
        <v>0</v>
      </c>
      <c r="K50" s="11">
        <f t="shared" si="18"/>
        <v>20</v>
      </c>
      <c r="L50" s="11">
        <f t="shared" si="18"/>
        <v>0</v>
      </c>
      <c r="M50" s="11">
        <f t="shared" si="18"/>
        <v>0</v>
      </c>
      <c r="N50" s="11">
        <f t="shared" si="18"/>
        <v>0</v>
      </c>
      <c r="O50" s="11">
        <f t="shared" si="18"/>
        <v>0</v>
      </c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</row>
    <row r="51" ht="14.25" customHeight="1" spans="3:30">
      <c r="C51" s="44" t="s">
        <v>23</v>
      </c>
      <c r="D51" s="11"/>
      <c r="E51" s="11"/>
      <c r="F51" s="11">
        <f t="shared" ref="F51:O51" si="19">F31/5*100</f>
        <v>0</v>
      </c>
      <c r="G51" s="11">
        <f t="shared" si="19"/>
        <v>0</v>
      </c>
      <c r="H51" s="11">
        <f t="shared" si="19"/>
        <v>0</v>
      </c>
      <c r="I51" s="11">
        <f t="shared" si="19"/>
        <v>20</v>
      </c>
      <c r="J51" s="11">
        <f t="shared" si="19"/>
        <v>80</v>
      </c>
      <c r="K51" s="11">
        <f t="shared" si="19"/>
        <v>0</v>
      </c>
      <c r="L51" s="11">
        <f t="shared" si="19"/>
        <v>0</v>
      </c>
      <c r="M51" s="11">
        <f t="shared" si="19"/>
        <v>0</v>
      </c>
      <c r="N51" s="11">
        <f t="shared" si="19"/>
        <v>0</v>
      </c>
      <c r="O51" s="11">
        <f t="shared" si="19"/>
        <v>0</v>
      </c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</row>
    <row r="52" ht="14.25" customHeight="1" spans="3:30">
      <c r="C52" s="52" t="s">
        <v>25</v>
      </c>
      <c r="D52" s="11"/>
      <c r="E52" s="11"/>
      <c r="F52" s="11">
        <f t="shared" ref="F52:O52" si="20">F32/5*100</f>
        <v>420</v>
      </c>
      <c r="G52" s="11">
        <f t="shared" si="20"/>
        <v>740</v>
      </c>
      <c r="H52" s="11">
        <f t="shared" si="20"/>
        <v>660</v>
      </c>
      <c r="I52" s="11">
        <f t="shared" si="20"/>
        <v>600</v>
      </c>
      <c r="J52" s="11">
        <f t="shared" si="20"/>
        <v>520</v>
      </c>
      <c r="K52" s="11">
        <f t="shared" si="20"/>
        <v>180</v>
      </c>
      <c r="L52" s="11">
        <f t="shared" si="20"/>
        <v>0</v>
      </c>
      <c r="M52" s="11">
        <f t="shared" si="20"/>
        <v>0</v>
      </c>
      <c r="N52" s="11">
        <f t="shared" si="20"/>
        <v>0</v>
      </c>
      <c r="O52" s="11">
        <f t="shared" si="20"/>
        <v>0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</row>
    <row r="53" ht="14.25" customHeight="1" spans="16:30"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</row>
    <row r="54" ht="14.25" customHeight="1" spans="4:30"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</row>
    <row r="55" ht="14.25" customHeight="1" spans="4:30"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</row>
    <row r="56" ht="14.25" customHeight="1" spans="4:30"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68"/>
    </row>
    <row r="57" ht="14.25" customHeight="1" spans="4:30"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  <c r="AC57" s="68"/>
      <c r="AD57" s="68"/>
    </row>
    <row r="58" ht="14.25" customHeight="1" spans="4:30"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</row>
    <row r="59" ht="14.25" customHeight="1" spans="4:30"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  <c r="AB59" s="68"/>
      <c r="AC59" s="68"/>
      <c r="AD59" s="68"/>
    </row>
    <row r="60" ht="14.25" customHeight="1" spans="4:30"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  <c r="AB60" s="68"/>
      <c r="AC60" s="68"/>
      <c r="AD60" s="68"/>
    </row>
    <row r="61" ht="14.25" customHeight="1" spans="4:30"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  <c r="AB61" s="68"/>
      <c r="AC61" s="68"/>
      <c r="AD61" s="68"/>
    </row>
    <row r="62" ht="14.25" customHeight="1" spans="4:30"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  <c r="AB62" s="68"/>
      <c r="AC62" s="68"/>
      <c r="AD62" s="68"/>
    </row>
    <row r="63" ht="14.25" customHeight="1" spans="4:30"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</row>
    <row r="64" ht="14.25" customHeight="1" spans="4:30"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  <c r="AB64" s="68"/>
      <c r="AC64" s="68"/>
      <c r="AD64" s="68"/>
    </row>
    <row r="65" ht="14.25" customHeight="1" spans="4:30"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</row>
    <row r="66" ht="14.25" customHeight="1" spans="4:30"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</row>
    <row r="67" ht="14.25" customHeight="1" spans="4:30"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  <c r="AB67" s="68"/>
      <c r="AC67" s="68"/>
      <c r="AD67" s="68"/>
    </row>
    <row r="68" ht="14.25" customHeight="1" spans="4:30"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</row>
    <row r="69" ht="14.25" customHeight="1" spans="4:30"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</row>
    <row r="70" ht="14.25" customHeight="1" spans="4:30"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  <c r="AB70" s="68"/>
      <c r="AC70" s="68"/>
      <c r="AD70" s="68"/>
    </row>
    <row r="71" ht="14.25" customHeight="1" spans="4:30"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  <c r="AB71" s="68"/>
      <c r="AC71" s="68"/>
      <c r="AD71" s="68"/>
    </row>
    <row r="72" ht="14.25" customHeight="1" spans="4:30"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  <c r="AB72" s="68"/>
      <c r="AC72" s="68"/>
      <c r="AD72" s="68"/>
    </row>
    <row r="73" ht="14.25" customHeight="1" spans="4:30"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</row>
    <row r="74" ht="14.25" customHeight="1" spans="4:30"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  <c r="AB74" s="68"/>
      <c r="AC74" s="68"/>
      <c r="AD74" s="68"/>
    </row>
    <row r="75" ht="14.25" customHeight="1" spans="4:30"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68"/>
      <c r="AC75" s="68"/>
      <c r="AD75" s="68"/>
    </row>
    <row r="76" ht="14.25" customHeight="1" spans="4:30"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</row>
    <row r="77" ht="14.25" customHeight="1" spans="4:30"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</row>
    <row r="78" ht="14.25" customHeight="1" spans="4:30"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  <c r="AC78" s="68"/>
      <c r="AD78" s="68"/>
    </row>
    <row r="79" ht="14.25" customHeight="1" spans="4:30"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</row>
    <row r="80" ht="14.25" customHeight="1" spans="4:30"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</row>
    <row r="81" ht="14.25" customHeight="1" spans="4:30"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  <c r="AB81" s="68"/>
      <c r="AC81" s="68"/>
      <c r="AD81" s="68"/>
    </row>
    <row r="82" ht="14.25" customHeight="1" spans="4:30"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</row>
    <row r="83" ht="14.25" customHeight="1" spans="4:30"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</row>
    <row r="84" ht="14.25" customHeight="1" spans="4:30"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</row>
    <row r="85" ht="14.25" customHeight="1" spans="4:30"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</row>
    <row r="86" ht="14.25" customHeight="1" spans="4:30"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</row>
    <row r="87" ht="14.25" customHeight="1" spans="4:30"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</row>
    <row r="88" ht="14.25" customHeight="1" spans="4:30"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</row>
    <row r="89" ht="14.25" customHeight="1" spans="4:30"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</row>
    <row r="90" ht="14.25" customHeight="1" spans="4:30"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</row>
    <row r="91" ht="14.25" customHeight="1" spans="4:30"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</row>
    <row r="92" ht="14.25" customHeight="1" spans="4:30"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</row>
    <row r="93" ht="14.25" customHeight="1" spans="4:30"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</row>
    <row r="94" ht="14.25" customHeight="1" spans="4:30"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</row>
    <row r="95" ht="14.25" customHeight="1" spans="4:30"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</row>
    <row r="96" ht="14.25" customHeight="1" spans="4:30"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</row>
    <row r="97" ht="14.25" customHeight="1" spans="4:30"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</row>
    <row r="98" ht="14.25" customHeight="1" spans="4:30"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</row>
    <row r="99" ht="14.25" customHeight="1" spans="4:30"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</row>
    <row r="100" ht="14.25" customHeight="1" spans="4:30"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</row>
    <row r="101" ht="14.25" customHeight="1" spans="4:30"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</row>
    <row r="102" ht="14.25" customHeight="1" spans="4:30"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</row>
    <row r="103" ht="14.25" customHeight="1" spans="4:30"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</row>
    <row r="104" ht="14.25" customHeight="1" spans="4:30"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</row>
    <row r="105" ht="14.25" customHeight="1" spans="4:30"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</row>
    <row r="106" ht="14.25" customHeight="1" spans="4:30"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</row>
    <row r="107" ht="14.25" customHeight="1" spans="4:30"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</row>
    <row r="108" ht="14.25" customHeight="1" spans="4:30"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</row>
    <row r="109" ht="14.25" customHeight="1" spans="4:30"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</row>
    <row r="110" ht="14.25" customHeight="1" spans="4:30"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8"/>
      <c r="AB110" s="68"/>
      <c r="AC110" s="68"/>
      <c r="AD110" s="68"/>
    </row>
    <row r="111" ht="14.25" customHeight="1" spans="4:30"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</row>
    <row r="112" ht="14.25" customHeight="1" spans="4:30"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68"/>
      <c r="AB112" s="68"/>
      <c r="AC112" s="68"/>
      <c r="AD112" s="68"/>
    </row>
    <row r="113" ht="14.25" customHeight="1" spans="4:30">
      <c r="D113" s="93"/>
      <c r="E113" s="94"/>
      <c r="F113" s="95"/>
      <c r="G113" s="96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  <c r="AA113" s="68"/>
      <c r="AB113" s="68"/>
      <c r="AC113" s="68"/>
      <c r="AD113" s="68"/>
    </row>
    <row r="114" ht="14.25" customHeight="1" spans="4:30">
      <c r="D114" s="93"/>
      <c r="E114" s="94"/>
      <c r="F114" s="95"/>
      <c r="G114" s="96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  <c r="AA114" s="68"/>
      <c r="AB114" s="68"/>
      <c r="AC114" s="68"/>
      <c r="AD114" s="68"/>
    </row>
    <row r="115" ht="14.25" customHeight="1" spans="4:30">
      <c r="D115" s="93"/>
      <c r="E115" s="94"/>
      <c r="F115" s="95"/>
      <c r="G115" s="96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  <c r="AA115" s="68"/>
      <c r="AB115" s="68"/>
      <c r="AC115" s="68"/>
      <c r="AD115" s="68"/>
    </row>
    <row r="116" ht="14.25" customHeight="1" spans="4:30">
      <c r="D116" s="93"/>
      <c r="E116" s="94"/>
      <c r="F116" s="95"/>
      <c r="G116" s="96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  <c r="AA116" s="68"/>
      <c r="AB116" s="68"/>
      <c r="AC116" s="68"/>
      <c r="AD116" s="68"/>
    </row>
    <row r="117" ht="14.25" customHeight="1" spans="4:30">
      <c r="D117" s="93"/>
      <c r="E117" s="94"/>
      <c r="F117" s="95"/>
      <c r="G117" s="96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  <c r="AB117" s="68"/>
      <c r="AC117" s="68"/>
      <c r="AD117" s="68"/>
    </row>
    <row r="118" ht="14.25" customHeight="1" spans="4:30">
      <c r="D118" s="93"/>
      <c r="E118" s="94"/>
      <c r="F118" s="95"/>
      <c r="G118" s="96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68"/>
      <c r="AB118" s="68"/>
      <c r="AC118" s="68"/>
      <c r="AD118" s="68"/>
    </row>
    <row r="119" ht="14.25" customHeight="1" spans="4:30">
      <c r="D119" s="93"/>
      <c r="E119" s="94"/>
      <c r="F119" s="95"/>
      <c r="G119" s="96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68"/>
      <c r="AB119" s="68"/>
      <c r="AC119" s="68"/>
      <c r="AD119" s="68"/>
    </row>
    <row r="120" ht="14.25" customHeight="1" spans="4:30">
      <c r="D120" s="93"/>
      <c r="E120" s="94"/>
      <c r="F120" s="95"/>
      <c r="G120" s="96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  <c r="AA120" s="68"/>
      <c r="AB120" s="68"/>
      <c r="AC120" s="68"/>
      <c r="AD120" s="68"/>
    </row>
    <row r="121" ht="14.25" customHeight="1" spans="4:30">
      <c r="D121" s="93"/>
      <c r="E121" s="94"/>
      <c r="F121" s="95"/>
      <c r="G121" s="96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68"/>
      <c r="AB121" s="68"/>
      <c r="AC121" s="68"/>
      <c r="AD121" s="68"/>
    </row>
    <row r="122" ht="14.25" customHeight="1" spans="4:30">
      <c r="D122" s="93"/>
      <c r="E122" s="94"/>
      <c r="F122" s="95"/>
      <c r="G122" s="96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</row>
    <row r="123" ht="14.25" customHeight="1" spans="4:30">
      <c r="D123" s="93"/>
      <c r="E123" s="94"/>
      <c r="F123" s="95"/>
      <c r="G123" s="96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  <c r="AB123" s="68"/>
      <c r="AC123" s="68"/>
      <c r="AD123" s="68"/>
    </row>
    <row r="124" ht="14.25" customHeight="1" spans="4:30">
      <c r="D124" s="93"/>
      <c r="E124" s="94"/>
      <c r="F124" s="95"/>
      <c r="G124" s="96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68"/>
      <c r="AB124" s="68"/>
      <c r="AC124" s="68"/>
      <c r="AD124" s="68"/>
    </row>
    <row r="125" ht="14.25" customHeight="1" spans="4:30">
      <c r="D125" s="93"/>
      <c r="E125" s="94"/>
      <c r="F125" s="95"/>
      <c r="G125" s="96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  <c r="AA125" s="68"/>
      <c r="AB125" s="68"/>
      <c r="AC125" s="68"/>
      <c r="AD125" s="68"/>
    </row>
    <row r="126" ht="14.25" customHeight="1" spans="4:30">
      <c r="D126" s="93"/>
      <c r="E126" s="94"/>
      <c r="F126" s="95"/>
      <c r="G126" s="96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  <c r="AA126" s="68"/>
      <c r="AB126" s="68"/>
      <c r="AC126" s="68"/>
      <c r="AD126" s="68"/>
    </row>
    <row r="127" ht="14.25" customHeight="1" spans="4:30">
      <c r="D127" s="93"/>
      <c r="E127" s="94"/>
      <c r="F127" s="95"/>
      <c r="G127" s="96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  <c r="AA127" s="68"/>
      <c r="AB127" s="68"/>
      <c r="AC127" s="68"/>
      <c r="AD127" s="68"/>
    </row>
    <row r="128" ht="14.25" customHeight="1" spans="4:30">
      <c r="D128" s="93"/>
      <c r="E128" s="94"/>
      <c r="F128" s="95"/>
      <c r="G128" s="96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  <c r="AA128" s="68"/>
      <c r="AB128" s="68"/>
      <c r="AC128" s="68"/>
      <c r="AD128" s="68"/>
    </row>
    <row r="129" ht="14.25" customHeight="1" spans="4:30">
      <c r="D129" s="93"/>
      <c r="E129" s="94"/>
      <c r="F129" s="95"/>
      <c r="G129" s="96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  <c r="AA129" s="68"/>
      <c r="AB129" s="68"/>
      <c r="AC129" s="68"/>
      <c r="AD129" s="68"/>
    </row>
    <row r="130" ht="14.25" customHeight="1" spans="4:30">
      <c r="D130" s="93"/>
      <c r="E130" s="94"/>
      <c r="F130" s="95"/>
      <c r="G130" s="96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  <c r="AA130" s="68"/>
      <c r="AB130" s="68"/>
      <c r="AC130" s="68"/>
      <c r="AD130" s="68"/>
    </row>
    <row r="131" ht="14.25" customHeight="1" spans="4:30">
      <c r="D131" s="93"/>
      <c r="E131" s="94"/>
      <c r="F131" s="95"/>
      <c r="G131" s="96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  <c r="AA131" s="68"/>
      <c r="AB131" s="68"/>
      <c r="AC131" s="68"/>
      <c r="AD131" s="68"/>
    </row>
    <row r="132" ht="14.25" customHeight="1" spans="4:30">
      <c r="D132" s="93"/>
      <c r="E132" s="94"/>
      <c r="F132" s="95"/>
      <c r="G132" s="96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  <c r="AA132" s="68"/>
      <c r="AB132" s="68"/>
      <c r="AC132" s="68"/>
      <c r="AD132" s="68"/>
    </row>
    <row r="133" ht="14.25" customHeight="1" spans="4:30">
      <c r="D133" s="93"/>
      <c r="E133" s="94"/>
      <c r="F133" s="95"/>
      <c r="G133" s="96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  <c r="AA133" s="68"/>
      <c r="AB133" s="68"/>
      <c r="AC133" s="68"/>
      <c r="AD133" s="68"/>
    </row>
    <row r="134" ht="14.25" customHeight="1" spans="4:30">
      <c r="D134" s="93"/>
      <c r="E134" s="94"/>
      <c r="F134" s="95"/>
      <c r="G134" s="96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</row>
    <row r="135" ht="14.25" customHeight="1" spans="4:30">
      <c r="D135" s="93"/>
      <c r="E135" s="94"/>
      <c r="F135" s="95"/>
      <c r="G135" s="96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</row>
    <row r="136" ht="14.25" customHeight="1" spans="4:30">
      <c r="D136" s="93"/>
      <c r="E136" s="94"/>
      <c r="F136" s="95"/>
      <c r="G136" s="96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</row>
    <row r="137" ht="14.25" customHeight="1" spans="4:30">
      <c r="D137" s="93"/>
      <c r="E137" s="94"/>
      <c r="F137" s="95"/>
      <c r="G137" s="96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  <c r="AA137" s="68"/>
      <c r="AB137" s="68"/>
      <c r="AC137" s="68"/>
      <c r="AD137" s="68"/>
    </row>
    <row r="138" ht="14.25" customHeight="1" spans="4:30">
      <c r="D138" s="93"/>
      <c r="E138" s="94"/>
      <c r="F138" s="95"/>
      <c r="G138" s="96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  <c r="AA138" s="68"/>
      <c r="AB138" s="68"/>
      <c r="AC138" s="68"/>
      <c r="AD138" s="68"/>
    </row>
    <row r="139" ht="14.25" customHeight="1" spans="4:30">
      <c r="D139" s="93"/>
      <c r="E139" s="94"/>
      <c r="F139" s="95"/>
      <c r="G139" s="96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68"/>
      <c r="AB139" s="68"/>
      <c r="AC139" s="68"/>
      <c r="AD139" s="68"/>
    </row>
    <row r="140" ht="14.25" customHeight="1" spans="4:30">
      <c r="D140" s="93"/>
      <c r="E140" s="94"/>
      <c r="F140" s="95"/>
      <c r="G140" s="96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  <c r="AA140" s="68"/>
      <c r="AB140" s="68"/>
      <c r="AC140" s="68"/>
      <c r="AD140" s="68"/>
    </row>
    <row r="141" ht="14.25" customHeight="1" spans="4:30">
      <c r="D141" s="93"/>
      <c r="E141" s="94"/>
      <c r="F141" s="95"/>
      <c r="G141" s="96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  <c r="AA141" s="68"/>
      <c r="AB141" s="68"/>
      <c r="AC141" s="68"/>
      <c r="AD141" s="68"/>
    </row>
    <row r="142" ht="14.25" customHeight="1" spans="4:30">
      <c r="D142" s="93"/>
      <c r="E142" s="94"/>
      <c r="F142" s="95"/>
      <c r="G142" s="96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  <c r="AA142" s="68"/>
      <c r="AB142" s="68"/>
      <c r="AC142" s="68"/>
      <c r="AD142" s="68"/>
    </row>
    <row r="143" ht="14.25" customHeight="1" spans="4:30">
      <c r="D143" s="93"/>
      <c r="E143" s="94"/>
      <c r="F143" s="95"/>
      <c r="G143" s="96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68"/>
      <c r="AB143" s="68"/>
      <c r="AC143" s="68"/>
      <c r="AD143" s="68"/>
    </row>
    <row r="144" ht="14.25" customHeight="1" spans="4:30">
      <c r="D144" s="93"/>
      <c r="E144" s="94"/>
      <c r="F144" s="95"/>
      <c r="G144" s="96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  <c r="AA144" s="68"/>
      <c r="AB144" s="68"/>
      <c r="AC144" s="68"/>
      <c r="AD144" s="68"/>
    </row>
    <row r="145" ht="14.25" customHeight="1" spans="4:30">
      <c r="D145" s="93"/>
      <c r="E145" s="94"/>
      <c r="F145" s="95"/>
      <c r="G145" s="96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  <c r="AA145" s="68"/>
      <c r="AB145" s="68"/>
      <c r="AC145" s="68"/>
      <c r="AD145" s="68"/>
    </row>
    <row r="146" ht="14.25" customHeight="1" spans="4:30">
      <c r="D146" s="93"/>
      <c r="E146" s="94"/>
      <c r="F146" s="95"/>
      <c r="G146" s="96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  <c r="AA146" s="68"/>
      <c r="AB146" s="68"/>
      <c r="AC146" s="68"/>
      <c r="AD146" s="68"/>
    </row>
    <row r="147" ht="14.25" customHeight="1" spans="4:30">
      <c r="D147" s="93"/>
      <c r="E147" s="94"/>
      <c r="F147" s="95"/>
      <c r="G147" s="96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</row>
    <row r="148" ht="14.25" customHeight="1" spans="4:30">
      <c r="D148" s="93"/>
      <c r="E148" s="94"/>
      <c r="F148" s="95"/>
      <c r="G148" s="96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  <c r="AA148" s="68"/>
      <c r="AB148" s="68"/>
      <c r="AC148" s="68"/>
      <c r="AD148" s="68"/>
    </row>
    <row r="149" ht="14.25" customHeight="1" spans="4:30">
      <c r="D149" s="93"/>
      <c r="E149" s="94"/>
      <c r="F149" s="95"/>
      <c r="G149" s="96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  <c r="AA149" s="68"/>
      <c r="AB149" s="68"/>
      <c r="AC149" s="68"/>
      <c r="AD149" s="68"/>
    </row>
    <row r="150" ht="14.25" customHeight="1" spans="4:30">
      <c r="D150" s="93"/>
      <c r="E150" s="94"/>
      <c r="F150" s="95"/>
      <c r="G150" s="96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  <c r="AA150" s="68"/>
      <c r="AB150" s="68"/>
      <c r="AC150" s="68"/>
      <c r="AD150" s="68"/>
    </row>
    <row r="151" ht="14.25" customHeight="1" spans="4:30">
      <c r="D151" s="93"/>
      <c r="E151" s="94"/>
      <c r="F151" s="95"/>
      <c r="G151" s="96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  <c r="AA151" s="68"/>
      <c r="AB151" s="68"/>
      <c r="AC151" s="68"/>
      <c r="AD151" s="68"/>
    </row>
    <row r="152" ht="14.25" customHeight="1" spans="4:30">
      <c r="D152" s="93"/>
      <c r="E152" s="94"/>
      <c r="F152" s="95"/>
      <c r="G152" s="96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  <c r="AA152" s="68"/>
      <c r="AB152" s="68"/>
      <c r="AC152" s="68"/>
      <c r="AD152" s="68"/>
    </row>
    <row r="153" ht="14.25" customHeight="1" spans="4:30">
      <c r="D153" s="93"/>
      <c r="E153" s="94"/>
      <c r="F153" s="95"/>
      <c r="G153" s="96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  <c r="AA153" s="68"/>
      <c r="AB153" s="68"/>
      <c r="AC153" s="68"/>
      <c r="AD153" s="68"/>
    </row>
    <row r="154" ht="14.25" customHeight="1" spans="4:30">
      <c r="D154" s="93"/>
      <c r="E154" s="94"/>
      <c r="F154" s="95"/>
      <c r="G154" s="96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  <c r="AA154" s="68"/>
      <c r="AB154" s="68"/>
      <c r="AC154" s="68"/>
      <c r="AD154" s="68"/>
    </row>
    <row r="155" ht="14.25" customHeight="1" spans="4:30">
      <c r="D155" s="93"/>
      <c r="E155" s="94"/>
      <c r="F155" s="95"/>
      <c r="G155" s="96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  <c r="AB155" s="68"/>
      <c r="AC155" s="68"/>
      <c r="AD155" s="68"/>
    </row>
    <row r="156" ht="14.25" customHeight="1" spans="4:30">
      <c r="D156" s="93"/>
      <c r="E156" s="94"/>
      <c r="F156" s="95"/>
      <c r="G156" s="96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  <c r="AA156" s="68"/>
      <c r="AB156" s="68"/>
      <c r="AC156" s="68"/>
      <c r="AD156" s="68"/>
    </row>
    <row r="157" ht="14.25" customHeight="1" spans="4:30">
      <c r="D157" s="93"/>
      <c r="E157" s="94"/>
      <c r="F157" s="95"/>
      <c r="G157" s="96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  <c r="AA157" s="68"/>
      <c r="AB157" s="68"/>
      <c r="AC157" s="68"/>
      <c r="AD157" s="68"/>
    </row>
    <row r="158" ht="14.25" customHeight="1" spans="4:30">
      <c r="D158" s="93"/>
      <c r="E158" s="94"/>
      <c r="F158" s="95"/>
      <c r="G158" s="96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</row>
    <row r="159" ht="14.25" customHeight="1" spans="4:30">
      <c r="D159" s="93"/>
      <c r="E159" s="94"/>
      <c r="F159" s="95"/>
      <c r="G159" s="96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  <c r="AA159" s="68"/>
      <c r="AB159" s="68"/>
      <c r="AC159" s="68"/>
      <c r="AD159" s="68"/>
    </row>
    <row r="160" ht="14.25" customHeight="1" spans="4:30">
      <c r="D160" s="93"/>
      <c r="E160" s="94"/>
      <c r="F160" s="95"/>
      <c r="G160" s="96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  <c r="AA160" s="68"/>
      <c r="AB160" s="68"/>
      <c r="AC160" s="68"/>
      <c r="AD160" s="68"/>
    </row>
    <row r="161" ht="14.25" customHeight="1" spans="4:30">
      <c r="D161" s="93"/>
      <c r="E161" s="94"/>
      <c r="F161" s="95"/>
      <c r="G161" s="96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  <c r="AA161" s="68"/>
      <c r="AB161" s="68"/>
      <c r="AC161" s="68"/>
      <c r="AD161" s="68"/>
    </row>
    <row r="162" ht="14.25" customHeight="1" spans="4:30">
      <c r="D162" s="93"/>
      <c r="E162" s="94"/>
      <c r="F162" s="95"/>
      <c r="G162" s="96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  <c r="AA162" s="68"/>
      <c r="AB162" s="68"/>
      <c r="AC162" s="68"/>
      <c r="AD162" s="68"/>
    </row>
    <row r="163" ht="14.25" customHeight="1" spans="4:30">
      <c r="D163" s="93"/>
      <c r="E163" s="94"/>
      <c r="F163" s="95"/>
      <c r="G163" s="96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  <c r="AA163" s="68"/>
      <c r="AB163" s="68"/>
      <c r="AC163" s="68"/>
      <c r="AD163" s="68"/>
    </row>
    <row r="164" ht="14.25" customHeight="1" spans="4:30">
      <c r="D164" s="93"/>
      <c r="E164" s="94"/>
      <c r="F164" s="95"/>
      <c r="G164" s="96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  <c r="AA164" s="68"/>
      <c r="AB164" s="68"/>
      <c r="AC164" s="68"/>
      <c r="AD164" s="68"/>
    </row>
    <row r="165" ht="14.25" customHeight="1" spans="4:30">
      <c r="D165" s="93"/>
      <c r="E165" s="94"/>
      <c r="F165" s="95"/>
      <c r="G165" s="96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  <c r="AA165" s="68"/>
      <c r="AB165" s="68"/>
      <c r="AC165" s="68"/>
      <c r="AD165" s="68"/>
    </row>
    <row r="166" ht="14.25" customHeight="1" spans="4:30">
      <c r="D166" s="93"/>
      <c r="E166" s="94"/>
      <c r="F166" s="95"/>
      <c r="G166" s="96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  <c r="AA166" s="68"/>
      <c r="AB166" s="68"/>
      <c r="AC166" s="68"/>
      <c r="AD166" s="68"/>
    </row>
    <row r="167" ht="14.25" customHeight="1" spans="4:30">
      <c r="D167" s="93"/>
      <c r="E167" s="94"/>
      <c r="F167" s="95"/>
      <c r="G167" s="96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  <c r="AA167" s="68"/>
      <c r="AB167" s="68"/>
      <c r="AC167" s="68"/>
      <c r="AD167" s="68"/>
    </row>
    <row r="168" ht="14.25" customHeight="1" spans="4:30">
      <c r="D168" s="93"/>
      <c r="E168" s="94"/>
      <c r="F168" s="95"/>
      <c r="G168" s="96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  <c r="AA168" s="68"/>
      <c r="AB168" s="68"/>
      <c r="AC168" s="68"/>
      <c r="AD168" s="68"/>
    </row>
    <row r="169" ht="14.25" customHeight="1" spans="4:30">
      <c r="D169" s="93"/>
      <c r="E169" s="94"/>
      <c r="F169" s="95"/>
      <c r="G169" s="96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  <c r="AA169" s="68"/>
      <c r="AB169" s="68"/>
      <c r="AC169" s="68"/>
      <c r="AD169" s="68"/>
    </row>
    <row r="170" ht="14.25" customHeight="1" spans="4:30">
      <c r="D170" s="93"/>
      <c r="E170" s="94"/>
      <c r="F170" s="95"/>
      <c r="G170" s="96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</row>
    <row r="171" ht="14.25" customHeight="1" spans="4:30">
      <c r="D171" s="93"/>
      <c r="E171" s="94"/>
      <c r="F171" s="95"/>
      <c r="G171" s="96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</row>
    <row r="172" ht="14.25" customHeight="1" spans="4:30">
      <c r="D172" s="93"/>
      <c r="E172" s="94"/>
      <c r="F172" s="95"/>
      <c r="G172" s="96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</row>
    <row r="173" ht="14.25" customHeight="1" spans="4:30">
      <c r="D173" s="93"/>
      <c r="E173" s="94"/>
      <c r="F173" s="95"/>
      <c r="G173" s="96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</row>
    <row r="174" ht="14.25" customHeight="1" spans="4:30">
      <c r="D174" s="93"/>
      <c r="E174" s="94"/>
      <c r="F174" s="95"/>
      <c r="G174" s="96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</row>
    <row r="175" ht="14.25" customHeight="1" spans="4:30">
      <c r="D175" s="93"/>
      <c r="E175" s="94"/>
      <c r="F175" s="95"/>
      <c r="G175" s="96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  <c r="AA175" s="68"/>
      <c r="AB175" s="68"/>
      <c r="AC175" s="68"/>
      <c r="AD175" s="68"/>
    </row>
    <row r="176" ht="14.25" customHeight="1" spans="4:30">
      <c r="D176" s="93"/>
      <c r="E176" s="94"/>
      <c r="F176" s="95"/>
      <c r="G176" s="96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  <c r="AA176" s="68"/>
      <c r="AB176" s="68"/>
      <c r="AC176" s="68"/>
      <c r="AD176" s="68"/>
    </row>
    <row r="177" ht="14.25" customHeight="1" spans="4:30">
      <c r="D177" s="93"/>
      <c r="E177" s="94"/>
      <c r="F177" s="95"/>
      <c r="G177" s="96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  <c r="AA177" s="68"/>
      <c r="AB177" s="68"/>
      <c r="AC177" s="68"/>
      <c r="AD177" s="68"/>
    </row>
    <row r="178" ht="14.25" customHeight="1" spans="4:30">
      <c r="D178" s="93"/>
      <c r="E178" s="94"/>
      <c r="F178" s="95"/>
      <c r="G178" s="96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  <c r="AA178" s="68"/>
      <c r="AB178" s="68"/>
      <c r="AC178" s="68"/>
      <c r="AD178" s="68"/>
    </row>
    <row r="179" ht="14.25" customHeight="1" spans="4:30">
      <c r="D179" s="93"/>
      <c r="E179" s="94"/>
      <c r="F179" s="95"/>
      <c r="G179" s="96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  <c r="AA179" s="68"/>
      <c r="AB179" s="68"/>
      <c r="AC179" s="68"/>
      <c r="AD179" s="68"/>
    </row>
    <row r="180" ht="14.25" customHeight="1" spans="4:30">
      <c r="D180" s="93"/>
      <c r="E180" s="94"/>
      <c r="F180" s="95"/>
      <c r="G180" s="96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  <c r="AA180" s="68"/>
      <c r="AB180" s="68"/>
      <c r="AC180" s="68"/>
      <c r="AD180" s="68"/>
    </row>
    <row r="181" ht="14.25" customHeight="1" spans="4:30">
      <c r="D181" s="93"/>
      <c r="E181" s="94"/>
      <c r="F181" s="95"/>
      <c r="G181" s="96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  <c r="AA181" s="68"/>
      <c r="AB181" s="68"/>
      <c r="AC181" s="68"/>
      <c r="AD181" s="68"/>
    </row>
    <row r="182" ht="14.25" customHeight="1" spans="4:30">
      <c r="D182" s="93"/>
      <c r="E182" s="94"/>
      <c r="F182" s="95"/>
      <c r="G182" s="96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  <c r="AA182" s="68"/>
      <c r="AB182" s="68"/>
      <c r="AC182" s="68"/>
      <c r="AD182" s="68"/>
    </row>
    <row r="183" ht="14.25" customHeight="1" spans="4:30">
      <c r="D183" s="93"/>
      <c r="E183" s="94"/>
      <c r="F183" s="95"/>
      <c r="G183" s="96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  <c r="AA183" s="68"/>
      <c r="AB183" s="68"/>
      <c r="AC183" s="68"/>
      <c r="AD183" s="68"/>
    </row>
    <row r="184" ht="14.25" customHeight="1" spans="4:30">
      <c r="D184" s="93"/>
      <c r="E184" s="94"/>
      <c r="F184" s="95"/>
      <c r="G184" s="96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  <c r="AA184" s="68"/>
      <c r="AB184" s="68"/>
      <c r="AC184" s="68"/>
      <c r="AD184" s="68"/>
    </row>
    <row r="185" ht="14.25" customHeight="1" spans="4:30">
      <c r="D185" s="93"/>
      <c r="E185" s="94"/>
      <c r="F185" s="95"/>
      <c r="G185" s="96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</row>
    <row r="186" ht="14.25" customHeight="1" spans="4:30">
      <c r="D186" s="93"/>
      <c r="E186" s="94"/>
      <c r="F186" s="95"/>
      <c r="G186" s="96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  <c r="AA186" s="68"/>
      <c r="AB186" s="68"/>
      <c r="AC186" s="68"/>
      <c r="AD186" s="68"/>
    </row>
    <row r="187" ht="14.25" customHeight="1" spans="4:30">
      <c r="D187" s="93"/>
      <c r="E187" s="94"/>
      <c r="F187" s="95"/>
      <c r="G187" s="96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  <c r="AA187" s="68"/>
      <c r="AB187" s="68"/>
      <c r="AC187" s="68"/>
      <c r="AD187" s="68"/>
    </row>
    <row r="188" ht="14.25" customHeight="1" spans="4:30">
      <c r="D188" s="93"/>
      <c r="E188" s="94"/>
      <c r="F188" s="95"/>
      <c r="G188" s="96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  <c r="AA188" s="68"/>
      <c r="AB188" s="68"/>
      <c r="AC188" s="68"/>
      <c r="AD188" s="68"/>
    </row>
    <row r="189" ht="14.25" customHeight="1" spans="4:30">
      <c r="D189" s="93"/>
      <c r="E189" s="94"/>
      <c r="F189" s="95"/>
      <c r="G189" s="96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  <c r="AA189" s="68"/>
      <c r="AB189" s="68"/>
      <c r="AC189" s="68"/>
      <c r="AD189" s="68"/>
    </row>
    <row r="190" ht="14.25" customHeight="1" spans="4:30">
      <c r="D190" s="93"/>
      <c r="E190" s="94"/>
      <c r="F190" s="95"/>
      <c r="G190" s="96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  <c r="AA190" s="68"/>
      <c r="AB190" s="68"/>
      <c r="AC190" s="68"/>
      <c r="AD190" s="68"/>
    </row>
    <row r="191" ht="14.25" customHeight="1" spans="4:30">
      <c r="D191" s="93"/>
      <c r="E191" s="94"/>
      <c r="F191" s="95"/>
      <c r="G191" s="96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  <c r="AA191" s="68"/>
      <c r="AB191" s="68"/>
      <c r="AC191" s="68"/>
      <c r="AD191" s="68"/>
    </row>
    <row r="192" ht="14.25" customHeight="1" spans="4:30">
      <c r="D192" s="93"/>
      <c r="E192" s="94"/>
      <c r="F192" s="95"/>
      <c r="G192" s="96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  <c r="AA192" s="68"/>
      <c r="AB192" s="68"/>
      <c r="AC192" s="68"/>
      <c r="AD192" s="68"/>
    </row>
    <row r="193" ht="14.25" customHeight="1" spans="4:30">
      <c r="D193" s="93"/>
      <c r="E193" s="94"/>
      <c r="F193" s="95"/>
      <c r="G193" s="96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  <c r="AB193" s="68"/>
      <c r="AC193" s="68"/>
      <c r="AD193" s="68"/>
    </row>
    <row r="194" ht="14.25" customHeight="1" spans="4:30">
      <c r="D194" s="93"/>
      <c r="E194" s="94"/>
      <c r="F194" s="95"/>
      <c r="G194" s="96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68"/>
      <c r="AB194" s="68"/>
      <c r="AC194" s="68"/>
      <c r="AD194" s="68"/>
    </row>
    <row r="195" ht="14.25" customHeight="1" spans="4:30">
      <c r="D195" s="93"/>
      <c r="E195" s="94"/>
      <c r="F195" s="95"/>
      <c r="G195" s="96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  <c r="AA195" s="68"/>
      <c r="AB195" s="68"/>
      <c r="AC195" s="68"/>
      <c r="AD195" s="68"/>
    </row>
    <row r="196" ht="14.25" customHeight="1" spans="4:30">
      <c r="D196" s="93"/>
      <c r="E196" s="94"/>
      <c r="F196" s="95"/>
      <c r="G196" s="96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</row>
    <row r="197" ht="14.25" customHeight="1" spans="4:30">
      <c r="D197" s="93"/>
      <c r="E197" s="94"/>
      <c r="F197" s="95"/>
      <c r="G197" s="96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  <c r="AA197" s="68"/>
      <c r="AB197" s="68"/>
      <c r="AC197" s="68"/>
      <c r="AD197" s="68"/>
    </row>
    <row r="198" ht="14.25" customHeight="1" spans="4:30">
      <c r="D198" s="93"/>
      <c r="E198" s="94"/>
      <c r="F198" s="95"/>
      <c r="G198" s="96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  <c r="AA198" s="68"/>
      <c r="AB198" s="68"/>
      <c r="AC198" s="68"/>
      <c r="AD198" s="68"/>
    </row>
    <row r="199" ht="14.25" customHeight="1" spans="4:30">
      <c r="D199" s="93"/>
      <c r="E199" s="94"/>
      <c r="F199" s="95"/>
      <c r="G199" s="96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68"/>
      <c r="AB199" s="68"/>
      <c r="AC199" s="68"/>
      <c r="AD199" s="68"/>
    </row>
    <row r="200" ht="14.25" customHeight="1" spans="4:30">
      <c r="D200" s="93"/>
      <c r="E200" s="94"/>
      <c r="F200" s="95"/>
      <c r="G200" s="96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  <c r="AA200" s="68"/>
      <c r="AB200" s="68"/>
      <c r="AC200" s="68"/>
      <c r="AD200" s="68"/>
    </row>
    <row r="201" ht="14.25" customHeight="1" spans="4:30">
      <c r="D201" s="93"/>
      <c r="E201" s="94"/>
      <c r="F201" s="95"/>
      <c r="G201" s="96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68"/>
      <c r="AB201" s="68"/>
      <c r="AC201" s="68"/>
      <c r="AD201" s="68"/>
    </row>
    <row r="202" ht="14.25" customHeight="1" spans="4:30">
      <c r="D202" s="93"/>
      <c r="E202" s="94"/>
      <c r="F202" s="95"/>
      <c r="G202" s="96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68"/>
      <c r="AB202" s="68"/>
      <c r="AC202" s="68"/>
      <c r="AD202" s="68"/>
    </row>
    <row r="203" ht="14.25" customHeight="1" spans="4:30">
      <c r="D203" s="93"/>
      <c r="E203" s="94"/>
      <c r="F203" s="95"/>
      <c r="G203" s="96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68"/>
      <c r="AB203" s="68"/>
      <c r="AC203" s="68"/>
      <c r="AD203" s="68"/>
    </row>
    <row r="204" ht="14.25" customHeight="1" spans="4:30">
      <c r="D204" s="93"/>
      <c r="E204" s="94"/>
      <c r="F204" s="95"/>
      <c r="G204" s="96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68"/>
      <c r="AB204" s="68"/>
      <c r="AC204" s="68"/>
      <c r="AD204" s="68"/>
    </row>
    <row r="205" ht="14.25" customHeight="1" spans="4:30">
      <c r="D205" s="93"/>
      <c r="E205" s="94"/>
      <c r="F205" s="95"/>
      <c r="G205" s="96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  <c r="AA205" s="68"/>
      <c r="AB205" s="68"/>
      <c r="AC205" s="68"/>
      <c r="AD205" s="68"/>
    </row>
    <row r="206" ht="14.25" customHeight="1" spans="4:30">
      <c r="D206" s="93"/>
      <c r="E206" s="94"/>
      <c r="F206" s="95"/>
      <c r="G206" s="96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  <c r="AA206" s="68"/>
      <c r="AB206" s="68"/>
      <c r="AC206" s="68"/>
      <c r="AD206" s="68"/>
    </row>
    <row r="207" ht="14.25" customHeight="1" spans="4:30">
      <c r="D207" s="93"/>
      <c r="E207" s="94"/>
      <c r="F207" s="95"/>
      <c r="G207" s="96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  <c r="AA207" s="68"/>
      <c r="AB207" s="68"/>
      <c r="AC207" s="68"/>
      <c r="AD207" s="68"/>
    </row>
    <row r="208" ht="14.25" customHeight="1" spans="4:30">
      <c r="D208" s="93"/>
      <c r="E208" s="94"/>
      <c r="F208" s="95"/>
      <c r="G208" s="96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</row>
    <row r="209" ht="14.25" customHeight="1" spans="4:30">
      <c r="D209" s="93"/>
      <c r="E209" s="94"/>
      <c r="F209" s="95"/>
      <c r="G209" s="96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</row>
    <row r="210" ht="14.25" customHeight="1" spans="4:30">
      <c r="D210" s="93"/>
      <c r="E210" s="94"/>
      <c r="F210" s="95"/>
      <c r="G210" s="96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</row>
    <row r="211" ht="14.25" customHeight="1" spans="4:30">
      <c r="D211" s="93"/>
      <c r="E211" s="94"/>
      <c r="F211" s="95"/>
      <c r="G211" s="96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  <c r="AA211" s="68"/>
      <c r="AB211" s="68"/>
      <c r="AC211" s="68"/>
      <c r="AD211" s="68"/>
    </row>
    <row r="212" ht="14.25" customHeight="1" spans="4:30">
      <c r="D212" s="93"/>
      <c r="E212" s="94"/>
      <c r="F212" s="95"/>
      <c r="G212" s="96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  <c r="AA212" s="68"/>
      <c r="AB212" s="68"/>
      <c r="AC212" s="68"/>
      <c r="AD212" s="68"/>
    </row>
    <row r="213" ht="14.25" customHeight="1" spans="4:30">
      <c r="D213" s="93"/>
      <c r="E213" s="94"/>
      <c r="F213" s="95"/>
      <c r="G213" s="96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  <c r="AA213" s="68"/>
      <c r="AB213" s="68"/>
      <c r="AC213" s="68"/>
      <c r="AD213" s="68"/>
    </row>
    <row r="214" ht="14.25" customHeight="1" spans="4:30">
      <c r="D214" s="93"/>
      <c r="E214" s="94"/>
      <c r="F214" s="95"/>
      <c r="G214" s="96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  <c r="AA214" s="68"/>
      <c r="AB214" s="68"/>
      <c r="AC214" s="68"/>
      <c r="AD214" s="68"/>
    </row>
    <row r="215" ht="14.25" customHeight="1" spans="4:30">
      <c r="D215" s="93"/>
      <c r="E215" s="94"/>
      <c r="F215" s="95"/>
      <c r="G215" s="96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  <c r="AA215" s="68"/>
      <c r="AB215" s="68"/>
      <c r="AC215" s="68"/>
      <c r="AD215" s="68"/>
    </row>
    <row r="216" ht="14.25" customHeight="1" spans="4:30">
      <c r="D216" s="93"/>
      <c r="E216" s="94"/>
      <c r="F216" s="95"/>
      <c r="G216" s="96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  <c r="AA216" s="68"/>
      <c r="AB216" s="68"/>
      <c r="AC216" s="68"/>
      <c r="AD216" s="68"/>
    </row>
    <row r="217" ht="14.25" customHeight="1" spans="4:30">
      <c r="D217" s="93"/>
      <c r="E217" s="94"/>
      <c r="F217" s="95"/>
      <c r="G217" s="96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  <c r="AA217" s="68"/>
      <c r="AB217" s="68"/>
      <c r="AC217" s="68"/>
      <c r="AD217" s="68"/>
    </row>
    <row r="218" ht="14.25" customHeight="1" spans="4:30">
      <c r="D218" s="93"/>
      <c r="E218" s="94"/>
      <c r="F218" s="95"/>
      <c r="G218" s="96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  <c r="AA218" s="68"/>
      <c r="AB218" s="68"/>
      <c r="AC218" s="68"/>
      <c r="AD218" s="68"/>
    </row>
    <row r="219" ht="14.25" customHeight="1" spans="4:30">
      <c r="D219" s="93"/>
      <c r="E219" s="94"/>
      <c r="F219" s="95"/>
      <c r="G219" s="96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  <c r="AA219" s="68"/>
      <c r="AB219" s="68"/>
      <c r="AC219" s="68"/>
      <c r="AD219" s="68"/>
    </row>
    <row r="220" ht="14.25" customHeight="1" spans="4:30">
      <c r="D220" s="93"/>
      <c r="E220" s="94"/>
      <c r="F220" s="95"/>
      <c r="G220" s="96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  <c r="AA220" s="68"/>
      <c r="AB220" s="68"/>
      <c r="AC220" s="68"/>
      <c r="AD220" s="68"/>
    </row>
    <row r="221" ht="14.25" customHeight="1" spans="4:30">
      <c r="D221" s="93"/>
      <c r="E221" s="94"/>
      <c r="F221" s="95"/>
      <c r="G221" s="96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</row>
    <row r="222" ht="14.25" customHeight="1" spans="4:30">
      <c r="D222" s="93"/>
      <c r="E222" s="94"/>
      <c r="F222" s="95"/>
      <c r="G222" s="96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  <c r="AA222" s="68"/>
      <c r="AB222" s="68"/>
      <c r="AC222" s="68"/>
      <c r="AD222" s="68"/>
    </row>
    <row r="223" ht="14.25" customHeight="1" spans="4:30">
      <c r="D223" s="93"/>
      <c r="E223" s="94"/>
      <c r="F223" s="95"/>
      <c r="G223" s="96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  <c r="AA223" s="68"/>
      <c r="AB223" s="68"/>
      <c r="AC223" s="68"/>
      <c r="AD223" s="68"/>
    </row>
    <row r="224" ht="14.25" customHeight="1" spans="4:30">
      <c r="D224" s="93"/>
      <c r="E224" s="94"/>
      <c r="F224" s="95"/>
      <c r="G224" s="96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  <c r="AA224" s="68"/>
      <c r="AB224" s="68"/>
      <c r="AC224" s="68"/>
      <c r="AD224" s="68"/>
    </row>
    <row r="225" ht="14.25" customHeight="1" spans="4:30">
      <c r="D225" s="93"/>
      <c r="E225" s="94"/>
      <c r="F225" s="95"/>
      <c r="G225" s="96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  <c r="AA225" s="68"/>
      <c r="AB225" s="68"/>
      <c r="AC225" s="68"/>
      <c r="AD225" s="68"/>
    </row>
    <row r="226" ht="14.25" customHeight="1" spans="4:30">
      <c r="D226" s="93"/>
      <c r="E226" s="94"/>
      <c r="F226" s="95"/>
      <c r="G226" s="96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  <c r="AA226" s="68"/>
      <c r="AB226" s="68"/>
      <c r="AC226" s="68"/>
      <c r="AD226" s="68"/>
    </row>
    <row r="227" ht="14.25" customHeight="1" spans="4:30">
      <c r="D227" s="93"/>
      <c r="E227" s="94"/>
      <c r="F227" s="95"/>
      <c r="G227" s="96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  <c r="AA227" s="68"/>
      <c r="AB227" s="68"/>
      <c r="AC227" s="68"/>
      <c r="AD227" s="68"/>
    </row>
    <row r="228" ht="14.25" customHeight="1" spans="4:30">
      <c r="D228" s="93"/>
      <c r="E228" s="94"/>
      <c r="F228" s="95"/>
      <c r="G228" s="96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  <c r="AA228" s="68"/>
      <c r="AB228" s="68"/>
      <c r="AC228" s="68"/>
      <c r="AD228" s="68"/>
    </row>
    <row r="229" ht="14.25" customHeight="1" spans="4:30">
      <c r="D229" s="93"/>
      <c r="E229" s="94"/>
      <c r="F229" s="95"/>
      <c r="G229" s="96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  <c r="AA229" s="68"/>
      <c r="AB229" s="68"/>
      <c r="AC229" s="68"/>
      <c r="AD229" s="68"/>
    </row>
    <row r="230" ht="14.25" customHeight="1" spans="4:30">
      <c r="D230" s="93"/>
      <c r="E230" s="94"/>
      <c r="F230" s="95"/>
      <c r="G230" s="96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  <c r="AA230" s="68"/>
      <c r="AB230" s="68"/>
      <c r="AC230" s="68"/>
      <c r="AD230" s="68"/>
    </row>
    <row r="231" ht="14.25" customHeight="1" spans="4:30">
      <c r="D231" s="93"/>
      <c r="E231" s="94"/>
      <c r="F231" s="95"/>
      <c r="G231" s="96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68"/>
      <c r="AB231" s="68"/>
      <c r="AC231" s="68"/>
      <c r="AD231" s="68"/>
    </row>
    <row r="232" ht="14.25" customHeight="1" spans="4:30">
      <c r="D232" s="93"/>
      <c r="E232" s="94"/>
      <c r="F232" s="95"/>
      <c r="G232" s="96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</row>
    <row r="233" ht="14.25" customHeight="1" spans="4:30">
      <c r="D233" s="93"/>
      <c r="E233" s="94"/>
      <c r="F233" s="95"/>
      <c r="G233" s="96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  <c r="AA233" s="68"/>
      <c r="AB233" s="68"/>
      <c r="AC233" s="68"/>
      <c r="AD233" s="68"/>
    </row>
    <row r="234" ht="14.25" customHeight="1" spans="4:30">
      <c r="D234" s="93"/>
      <c r="E234" s="94"/>
      <c r="F234" s="95"/>
      <c r="G234" s="96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  <c r="AA234" s="68"/>
      <c r="AB234" s="68"/>
      <c r="AC234" s="68"/>
      <c r="AD234" s="68"/>
    </row>
    <row r="235" ht="14.25" customHeight="1" spans="4:30">
      <c r="D235" s="93"/>
      <c r="E235" s="94"/>
      <c r="F235" s="95"/>
      <c r="G235" s="96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  <c r="AA235" s="68"/>
      <c r="AB235" s="68"/>
      <c r="AC235" s="68"/>
      <c r="AD235" s="68"/>
    </row>
    <row r="236" ht="14.25" customHeight="1" spans="4:30">
      <c r="D236" s="93"/>
      <c r="E236" s="94"/>
      <c r="F236" s="95"/>
      <c r="G236" s="96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  <c r="AA236" s="68"/>
      <c r="AB236" s="68"/>
      <c r="AC236" s="68"/>
      <c r="AD236" s="68"/>
    </row>
    <row r="237" ht="14.25" customHeight="1" spans="4:30">
      <c r="D237" s="93"/>
      <c r="E237" s="94"/>
      <c r="F237" s="95"/>
      <c r="G237" s="96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  <c r="AA237" s="68"/>
      <c r="AB237" s="68"/>
      <c r="AC237" s="68"/>
      <c r="AD237" s="68"/>
    </row>
    <row r="238" ht="14.25" customHeight="1" spans="4:30">
      <c r="D238" s="93"/>
      <c r="E238" s="94"/>
      <c r="F238" s="95"/>
      <c r="G238" s="96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  <c r="AA238" s="68"/>
      <c r="AB238" s="68"/>
      <c r="AC238" s="68"/>
      <c r="AD238" s="68"/>
    </row>
    <row r="239" ht="14.25" customHeight="1" spans="4:30">
      <c r="D239" s="93"/>
      <c r="E239" s="94"/>
      <c r="F239" s="95"/>
      <c r="G239" s="96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  <c r="AA239" s="68"/>
      <c r="AB239" s="68"/>
      <c r="AC239" s="68"/>
      <c r="AD239" s="68"/>
    </row>
    <row r="240" ht="14.25" customHeight="1" spans="4:30">
      <c r="D240" s="93"/>
      <c r="E240" s="94"/>
      <c r="F240" s="95"/>
      <c r="G240" s="96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  <c r="AA240" s="68"/>
      <c r="AB240" s="68"/>
      <c r="AC240" s="68"/>
      <c r="AD240" s="68"/>
    </row>
    <row r="241" ht="14.25" customHeight="1" spans="4:30">
      <c r="D241" s="93"/>
      <c r="E241" s="94"/>
      <c r="F241" s="95"/>
      <c r="G241" s="96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  <c r="AA241" s="68"/>
      <c r="AB241" s="68"/>
      <c r="AC241" s="68"/>
      <c r="AD241" s="68"/>
    </row>
    <row r="242" ht="14.25" customHeight="1" spans="4:30">
      <c r="D242" s="93"/>
      <c r="E242" s="94"/>
      <c r="F242" s="95"/>
      <c r="G242" s="96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  <c r="AA242" s="68"/>
      <c r="AB242" s="68"/>
      <c r="AC242" s="68"/>
      <c r="AD242" s="68"/>
    </row>
    <row r="243" ht="14.25" customHeight="1" spans="4:30">
      <c r="D243" s="93"/>
      <c r="E243" s="94"/>
      <c r="F243" s="95"/>
      <c r="G243" s="96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  <c r="AA243" s="68"/>
      <c r="AB243" s="68"/>
      <c r="AC243" s="68"/>
      <c r="AD243" s="68"/>
    </row>
    <row r="244" ht="14.25" customHeight="1" spans="4:30">
      <c r="D244" s="93"/>
      <c r="E244" s="94"/>
      <c r="F244" s="95"/>
      <c r="G244" s="96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</row>
    <row r="245" ht="14.25" customHeight="1" spans="4:30">
      <c r="D245" s="93"/>
      <c r="E245" s="94"/>
      <c r="F245" s="95"/>
      <c r="G245" s="96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</row>
    <row r="246" ht="14.25" customHeight="1" spans="4:30">
      <c r="D246" s="93"/>
      <c r="E246" s="94"/>
      <c r="F246" s="95"/>
      <c r="G246" s="96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</row>
    <row r="247" ht="14.25" customHeight="1" spans="4:30">
      <c r="D247" s="93"/>
      <c r="E247" s="94"/>
      <c r="F247" s="95"/>
      <c r="G247" s="96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</row>
    <row r="248" ht="14.25" customHeight="1" spans="4:30">
      <c r="D248" s="93"/>
      <c r="E248" s="94"/>
      <c r="F248" s="95"/>
      <c r="G248" s="96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  <c r="AA248" s="68"/>
      <c r="AB248" s="68"/>
      <c r="AC248" s="68"/>
      <c r="AD248" s="68"/>
    </row>
    <row r="249" ht="14.25" customHeight="1" spans="4:30">
      <c r="D249" s="93"/>
      <c r="E249" s="94"/>
      <c r="F249" s="95"/>
      <c r="G249" s="96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  <c r="AA249" s="68"/>
      <c r="AB249" s="68"/>
      <c r="AC249" s="68"/>
      <c r="AD249" s="68"/>
    </row>
    <row r="250" ht="14.25" customHeight="1" spans="4:30">
      <c r="D250" s="93"/>
      <c r="E250" s="94"/>
      <c r="F250" s="95"/>
      <c r="G250" s="96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</row>
    <row r="251" ht="14.25" customHeight="1" spans="4:30">
      <c r="D251" s="93"/>
      <c r="E251" s="94"/>
      <c r="F251" s="95"/>
      <c r="G251" s="96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  <c r="AA251" s="68"/>
      <c r="AB251" s="68"/>
      <c r="AC251" s="68"/>
      <c r="AD251" s="68"/>
    </row>
    <row r="252" ht="14.25" customHeight="1" spans="4:30">
      <c r="D252" s="93"/>
      <c r="E252" s="94"/>
      <c r="F252" s="95"/>
      <c r="G252" s="96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  <c r="AA252" s="68"/>
      <c r="AB252" s="68"/>
      <c r="AC252" s="68"/>
      <c r="AD252" s="68"/>
    </row>
    <row r="253" ht="14.25" customHeight="1" spans="4:30">
      <c r="D253" s="93"/>
      <c r="E253" s="94"/>
      <c r="F253" s="95"/>
      <c r="G253" s="96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  <c r="AA253" s="68"/>
      <c r="AB253" s="68"/>
      <c r="AC253" s="68"/>
      <c r="AD253" s="68"/>
    </row>
    <row r="254" ht="14.25" customHeight="1" spans="4:30">
      <c r="D254" s="93"/>
      <c r="E254" s="94"/>
      <c r="F254" s="95"/>
      <c r="G254" s="96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  <c r="AA254" s="68"/>
      <c r="AB254" s="68"/>
      <c r="AC254" s="68"/>
      <c r="AD254" s="68"/>
    </row>
    <row r="255" ht="14.25" customHeight="1" spans="4:30">
      <c r="D255" s="93"/>
      <c r="E255" s="94"/>
      <c r="F255" s="95"/>
      <c r="G255" s="96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</row>
    <row r="256" ht="14.25" customHeight="1" spans="4:30">
      <c r="D256" s="93"/>
      <c r="E256" s="94"/>
      <c r="F256" s="95"/>
      <c r="G256" s="96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</row>
    <row r="257" ht="14.25" customHeight="1" spans="4:30">
      <c r="D257" s="93"/>
      <c r="E257" s="94"/>
      <c r="F257" s="95"/>
      <c r="G257" s="96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  <c r="AA257" s="68"/>
      <c r="AB257" s="68"/>
      <c r="AC257" s="68"/>
      <c r="AD257" s="68"/>
    </row>
    <row r="258" ht="14.25" customHeight="1" spans="4:30">
      <c r="D258" s="93"/>
      <c r="E258" s="94"/>
      <c r="F258" s="95"/>
      <c r="G258" s="96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  <c r="AA258" s="68"/>
      <c r="AB258" s="68"/>
      <c r="AC258" s="68"/>
      <c r="AD258" s="68"/>
    </row>
    <row r="259" ht="14.25" customHeight="1" spans="4:30">
      <c r="D259" s="93"/>
      <c r="E259" s="94"/>
      <c r="F259" s="95"/>
      <c r="G259" s="96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  <c r="AA259" s="68"/>
      <c r="AB259" s="68"/>
      <c r="AC259" s="68"/>
      <c r="AD259" s="68"/>
    </row>
    <row r="260" ht="14.25" customHeight="1" spans="4:30">
      <c r="D260" s="93"/>
      <c r="E260" s="94"/>
      <c r="F260" s="95"/>
      <c r="G260" s="96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  <c r="AA260" s="68"/>
      <c r="AB260" s="68"/>
      <c r="AC260" s="68"/>
      <c r="AD260" s="68"/>
    </row>
    <row r="261" ht="14.25" customHeight="1" spans="4:30">
      <c r="D261" s="93"/>
      <c r="E261" s="94"/>
      <c r="F261" s="95"/>
      <c r="G261" s="96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  <c r="AA261" s="68"/>
      <c r="AB261" s="68"/>
      <c r="AC261" s="68"/>
      <c r="AD261" s="68"/>
    </row>
    <row r="262" ht="14.25" customHeight="1" spans="4:30">
      <c r="D262" s="93"/>
      <c r="E262" s="94"/>
      <c r="F262" s="95"/>
      <c r="G262" s="96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  <c r="AA262" s="68"/>
      <c r="AB262" s="68"/>
      <c r="AC262" s="68"/>
      <c r="AD262" s="68"/>
    </row>
    <row r="263" ht="14.25" customHeight="1" spans="4:30">
      <c r="D263" s="93"/>
      <c r="E263" s="94"/>
      <c r="F263" s="95"/>
      <c r="G263" s="96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  <c r="AA263" s="68"/>
      <c r="AB263" s="68"/>
      <c r="AC263" s="68"/>
      <c r="AD263" s="68"/>
    </row>
    <row r="264" ht="14.25" customHeight="1" spans="4:30">
      <c r="D264" s="93"/>
      <c r="E264" s="94"/>
      <c r="F264" s="95"/>
      <c r="G264" s="96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</row>
    <row r="265" ht="14.25" customHeight="1" spans="4:30">
      <c r="D265" s="93"/>
      <c r="E265" s="94"/>
      <c r="F265" s="95"/>
      <c r="G265" s="96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</row>
    <row r="266" ht="14.25" customHeight="1" spans="4:30">
      <c r="D266" s="93"/>
      <c r="E266" s="94"/>
      <c r="F266" s="95"/>
      <c r="G266" s="96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  <c r="AA266" s="68"/>
      <c r="AB266" s="68"/>
      <c r="AC266" s="68"/>
      <c r="AD266" s="68"/>
    </row>
    <row r="267" ht="14.25" customHeight="1" spans="4:30">
      <c r="D267" s="93"/>
      <c r="E267" s="94"/>
      <c r="F267" s="95"/>
      <c r="G267" s="96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  <c r="AA267" s="68"/>
      <c r="AB267" s="68"/>
      <c r="AC267" s="68"/>
      <c r="AD267" s="68"/>
    </row>
    <row r="268" ht="14.25" customHeight="1" spans="4:30">
      <c r="D268" s="93"/>
      <c r="E268" s="94"/>
      <c r="F268" s="95"/>
      <c r="G268" s="96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  <c r="AA268" s="68"/>
      <c r="AB268" s="68"/>
      <c r="AC268" s="68"/>
      <c r="AD268" s="68"/>
    </row>
    <row r="269" ht="14.25" customHeight="1" spans="4:30">
      <c r="D269" s="93"/>
      <c r="E269" s="94"/>
      <c r="F269" s="95"/>
      <c r="G269" s="96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</row>
    <row r="270" ht="14.25" customHeight="1" spans="4:30">
      <c r="D270" s="93"/>
      <c r="E270" s="94"/>
      <c r="F270" s="95"/>
      <c r="G270" s="96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  <c r="AA270" s="68"/>
      <c r="AB270" s="68"/>
      <c r="AC270" s="68"/>
      <c r="AD270" s="68"/>
    </row>
    <row r="271" ht="14.25" customHeight="1" spans="4:30">
      <c r="D271" s="93"/>
      <c r="E271" s="94"/>
      <c r="F271" s="95"/>
      <c r="G271" s="96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  <c r="AA271" s="68"/>
      <c r="AB271" s="68"/>
      <c r="AC271" s="68"/>
      <c r="AD271" s="68"/>
    </row>
    <row r="272" ht="14.25" customHeight="1" spans="4:30">
      <c r="D272" s="93"/>
      <c r="E272" s="94"/>
      <c r="F272" s="95"/>
      <c r="G272" s="96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  <c r="AA272" s="68"/>
      <c r="AB272" s="68"/>
      <c r="AC272" s="68"/>
      <c r="AD272" s="68"/>
    </row>
    <row r="273" ht="14.25" customHeight="1" spans="4:30">
      <c r="D273" s="93"/>
      <c r="E273" s="94"/>
      <c r="F273" s="95"/>
      <c r="G273" s="96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  <c r="AA273" s="68"/>
      <c r="AB273" s="68"/>
      <c r="AC273" s="68"/>
      <c r="AD273" s="68"/>
    </row>
    <row r="274" ht="14.25" customHeight="1" spans="4:30">
      <c r="D274" s="93"/>
      <c r="E274" s="94"/>
      <c r="F274" s="95"/>
      <c r="G274" s="96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</row>
    <row r="275" ht="14.25" customHeight="1" spans="4:30">
      <c r="D275" s="93"/>
      <c r="E275" s="94"/>
      <c r="F275" s="95"/>
      <c r="G275" s="96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  <c r="AA275" s="68"/>
      <c r="AB275" s="68"/>
      <c r="AC275" s="68"/>
      <c r="AD275" s="68"/>
    </row>
    <row r="276" ht="14.25" customHeight="1" spans="4:30">
      <c r="D276" s="93"/>
      <c r="E276" s="94"/>
      <c r="F276" s="95"/>
      <c r="G276" s="96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</row>
    <row r="277" ht="14.25" customHeight="1" spans="4:30">
      <c r="D277" s="93"/>
      <c r="E277" s="94"/>
      <c r="F277" s="95"/>
      <c r="G277" s="96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</row>
    <row r="278" ht="14.25" customHeight="1" spans="4:30">
      <c r="D278" s="93"/>
      <c r="E278" s="94"/>
      <c r="F278" s="95"/>
      <c r="G278" s="96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</row>
    <row r="279" ht="14.25" customHeight="1" spans="4:30">
      <c r="D279" s="93"/>
      <c r="E279" s="94"/>
      <c r="F279" s="95"/>
      <c r="G279" s="96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</row>
    <row r="280" ht="14.25" customHeight="1" spans="4:30">
      <c r="D280" s="93"/>
      <c r="E280" s="94"/>
      <c r="F280" s="95"/>
      <c r="G280" s="96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</row>
    <row r="281" ht="14.25" customHeight="1" spans="4:30">
      <c r="D281" s="93"/>
      <c r="E281" s="94"/>
      <c r="F281" s="95"/>
      <c r="G281" s="96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</row>
    <row r="282" ht="14.25" customHeight="1" spans="4:30">
      <c r="D282" s="93"/>
      <c r="E282" s="94"/>
      <c r="F282" s="95"/>
      <c r="G282" s="96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</row>
    <row r="283" ht="14.25" customHeight="1" spans="4:30">
      <c r="D283" s="93"/>
      <c r="E283" s="94"/>
      <c r="F283" s="95"/>
      <c r="G283" s="96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</row>
    <row r="284" ht="14.25" customHeight="1" spans="4:30">
      <c r="D284" s="93"/>
      <c r="E284" s="94"/>
      <c r="F284" s="95"/>
      <c r="G284" s="96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</row>
    <row r="285" ht="14.25" customHeight="1" spans="4:30">
      <c r="D285" s="93"/>
      <c r="E285" s="94"/>
      <c r="F285" s="95"/>
      <c r="G285" s="96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</row>
    <row r="286" ht="14.25" customHeight="1" spans="4:30">
      <c r="D286" s="93"/>
      <c r="E286" s="94"/>
      <c r="F286" s="95"/>
      <c r="G286" s="96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</row>
    <row r="287" ht="14.25" customHeight="1" spans="4:30">
      <c r="D287" s="93"/>
      <c r="E287" s="94"/>
      <c r="F287" s="95"/>
      <c r="G287" s="96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</row>
    <row r="288" ht="14.25" customHeight="1" spans="4:30">
      <c r="D288" s="93"/>
      <c r="E288" s="94"/>
      <c r="F288" s="95"/>
      <c r="G288" s="96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</row>
    <row r="289" ht="14.25" customHeight="1" spans="4:30">
      <c r="D289" s="93"/>
      <c r="E289" s="94"/>
      <c r="F289" s="95"/>
      <c r="G289" s="96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</row>
    <row r="290" ht="14.25" customHeight="1" spans="4:30">
      <c r="D290" s="93"/>
      <c r="E290" s="94"/>
      <c r="F290" s="95"/>
      <c r="G290" s="96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</row>
    <row r="291" ht="14.25" customHeight="1" spans="4:30">
      <c r="D291" s="93"/>
      <c r="E291" s="94"/>
      <c r="F291" s="95"/>
      <c r="G291" s="96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</row>
    <row r="292" ht="14.25" customHeight="1" spans="4:30">
      <c r="D292" s="93"/>
      <c r="E292" s="94"/>
      <c r="F292" s="95"/>
      <c r="G292" s="96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</row>
    <row r="293" ht="14.25" customHeight="1" spans="4:30">
      <c r="D293" s="93"/>
      <c r="E293" s="94"/>
      <c r="F293" s="95"/>
      <c r="G293" s="96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</row>
    <row r="294" ht="14.25" customHeight="1" spans="4:30">
      <c r="D294" s="93"/>
      <c r="E294" s="94"/>
      <c r="F294" s="95"/>
      <c r="G294" s="96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</row>
    <row r="295" ht="14.25" customHeight="1" spans="4:30">
      <c r="D295" s="93"/>
      <c r="E295" s="94"/>
      <c r="F295" s="95"/>
      <c r="G295" s="96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</row>
    <row r="296" ht="14.25" customHeight="1" spans="4:30">
      <c r="D296" s="93"/>
      <c r="E296" s="94"/>
      <c r="F296" s="95"/>
      <c r="G296" s="96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</row>
    <row r="297" ht="14.25" customHeight="1" spans="4:30">
      <c r="D297" s="93"/>
      <c r="E297" s="94"/>
      <c r="F297" s="95"/>
      <c r="G297" s="96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</row>
    <row r="298" ht="14.25" customHeight="1" spans="4:30">
      <c r="D298" s="93"/>
      <c r="E298" s="94"/>
      <c r="F298" s="95"/>
      <c r="G298" s="96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</row>
    <row r="299" ht="14.25" customHeight="1" spans="4:30">
      <c r="D299" s="93"/>
      <c r="E299" s="94"/>
      <c r="F299" s="95"/>
      <c r="G299" s="96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</row>
    <row r="300" ht="14.25" customHeight="1" spans="4:30">
      <c r="D300" s="93"/>
      <c r="E300" s="94"/>
      <c r="F300" s="95"/>
      <c r="G300" s="96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</row>
    <row r="301" ht="14.25" customHeight="1" spans="4:30">
      <c r="D301" s="93"/>
      <c r="E301" s="94"/>
      <c r="F301" s="95"/>
      <c r="G301" s="96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</row>
    <row r="302" ht="14.25" customHeight="1" spans="4:30">
      <c r="D302" s="93"/>
      <c r="E302" s="94"/>
      <c r="F302" s="95"/>
      <c r="G302" s="96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</row>
    <row r="303" ht="14.25" customHeight="1" spans="4:30">
      <c r="D303" s="93"/>
      <c r="E303" s="94"/>
      <c r="F303" s="95"/>
      <c r="G303" s="96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</row>
    <row r="304" ht="14.25" customHeight="1" spans="4:30">
      <c r="D304" s="93"/>
      <c r="E304" s="94"/>
      <c r="F304" s="95"/>
      <c r="G304" s="96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</row>
    <row r="305" ht="14.25" customHeight="1" spans="4:30">
      <c r="D305" s="93"/>
      <c r="E305" s="94"/>
      <c r="F305" s="95"/>
      <c r="G305" s="96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</row>
    <row r="306" ht="14.25" customHeight="1" spans="4:30">
      <c r="D306" s="93"/>
      <c r="E306" s="94"/>
      <c r="F306" s="95"/>
      <c r="G306" s="96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</row>
    <row r="307" ht="14.25" customHeight="1" spans="4:30">
      <c r="D307" s="93"/>
      <c r="E307" s="94"/>
      <c r="F307" s="95"/>
      <c r="G307" s="96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</row>
    <row r="308" ht="14.25" customHeight="1" spans="4:30">
      <c r="D308" s="93"/>
      <c r="E308" s="94"/>
      <c r="F308" s="95"/>
      <c r="G308" s="96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</row>
    <row r="309" ht="14.25" customHeight="1" spans="4:30">
      <c r="D309" s="93"/>
      <c r="E309" s="94"/>
      <c r="F309" s="95"/>
      <c r="G309" s="96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</row>
    <row r="310" ht="14.25" customHeight="1" spans="4:30">
      <c r="D310" s="93"/>
      <c r="E310" s="94"/>
      <c r="F310" s="95"/>
      <c r="G310" s="96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</row>
    <row r="311" ht="14.25" customHeight="1" spans="4:30">
      <c r="D311" s="93"/>
      <c r="E311" s="94"/>
      <c r="F311" s="95"/>
      <c r="G311" s="96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</row>
    <row r="312" ht="14.25" customHeight="1" spans="4:30">
      <c r="D312" s="93"/>
      <c r="E312" s="94"/>
      <c r="F312" s="95"/>
      <c r="G312" s="96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</row>
    <row r="313" ht="14.25" customHeight="1" spans="4:30">
      <c r="D313" s="93"/>
      <c r="E313" s="94"/>
      <c r="F313" s="95"/>
      <c r="G313" s="96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</row>
    <row r="314" ht="14.25" customHeight="1" spans="4:30">
      <c r="D314" s="93"/>
      <c r="E314" s="94"/>
      <c r="F314" s="95"/>
      <c r="G314" s="96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</row>
    <row r="315" ht="14.25" customHeight="1" spans="4:30">
      <c r="D315" s="93"/>
      <c r="E315" s="94"/>
      <c r="F315" s="95"/>
      <c r="G315" s="96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</row>
    <row r="316" ht="14.25" customHeight="1" spans="4:30">
      <c r="D316" s="93"/>
      <c r="E316" s="94"/>
      <c r="F316" s="95"/>
      <c r="G316" s="96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</row>
    <row r="317" ht="14.25" customHeight="1" spans="4:30">
      <c r="D317" s="93"/>
      <c r="E317" s="94"/>
      <c r="F317" s="95"/>
      <c r="G317" s="96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</row>
    <row r="318" ht="14.25" customHeight="1" spans="4:30">
      <c r="D318" s="93"/>
      <c r="E318" s="94"/>
      <c r="F318" s="95"/>
      <c r="G318" s="96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</row>
    <row r="319" ht="14.25" customHeight="1" spans="4:30">
      <c r="D319" s="93"/>
      <c r="E319" s="94"/>
      <c r="F319" s="95"/>
      <c r="G319" s="96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</row>
    <row r="320" ht="14.25" customHeight="1" spans="4:30">
      <c r="D320" s="93"/>
      <c r="E320" s="94"/>
      <c r="F320" s="95"/>
      <c r="G320" s="96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</row>
    <row r="321" ht="14.25" customHeight="1" spans="4:30">
      <c r="D321" s="93"/>
      <c r="E321" s="94"/>
      <c r="F321" s="95"/>
      <c r="G321" s="96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</row>
    <row r="322" ht="14.25" customHeight="1" spans="4:30">
      <c r="D322" s="93"/>
      <c r="E322" s="94"/>
      <c r="F322" s="95"/>
      <c r="G322" s="96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</row>
    <row r="323" ht="14.25" customHeight="1" spans="4:30">
      <c r="D323" s="93"/>
      <c r="E323" s="94"/>
      <c r="F323" s="95"/>
      <c r="G323" s="96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</row>
    <row r="324" ht="14.25" customHeight="1" spans="4:30">
      <c r="D324" s="93"/>
      <c r="E324" s="94"/>
      <c r="F324" s="95"/>
      <c r="G324" s="96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</row>
    <row r="325" ht="14.25" customHeight="1" spans="4:30">
      <c r="D325" s="93"/>
      <c r="E325" s="94"/>
      <c r="F325" s="95"/>
      <c r="G325" s="96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</row>
    <row r="326" ht="14.25" customHeight="1" spans="4:30">
      <c r="D326" s="93"/>
      <c r="E326" s="94"/>
      <c r="F326" s="95"/>
      <c r="G326" s="96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</row>
    <row r="327" ht="14.25" customHeight="1" spans="4:30">
      <c r="D327" s="93"/>
      <c r="E327" s="94"/>
      <c r="F327" s="95"/>
      <c r="G327" s="96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</row>
    <row r="328" ht="14.25" customHeight="1" spans="4:30">
      <c r="D328" s="93"/>
      <c r="E328" s="94"/>
      <c r="F328" s="95"/>
      <c r="G328" s="96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</row>
    <row r="329" ht="14.25" customHeight="1" spans="4:30">
      <c r="D329" s="93"/>
      <c r="E329" s="94"/>
      <c r="F329" s="95"/>
      <c r="G329" s="96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</row>
    <row r="330" ht="14.25" customHeight="1" spans="4:30">
      <c r="D330" s="93"/>
      <c r="E330" s="94"/>
      <c r="F330" s="95"/>
      <c r="G330" s="96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</row>
    <row r="331" ht="14.25" customHeight="1" spans="4:30">
      <c r="D331" s="93"/>
      <c r="E331" s="94"/>
      <c r="F331" s="95"/>
      <c r="G331" s="96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</row>
    <row r="332" ht="14.25" customHeight="1" spans="4:30">
      <c r="D332" s="93"/>
      <c r="E332" s="94"/>
      <c r="F332" s="95"/>
      <c r="G332" s="96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</row>
    <row r="333" ht="14.25" customHeight="1" spans="4:30">
      <c r="D333" s="93"/>
      <c r="E333" s="94"/>
      <c r="F333" s="95"/>
      <c r="G333" s="96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</row>
    <row r="334" ht="14.25" customHeight="1" spans="4:30">
      <c r="D334" s="93"/>
      <c r="E334" s="94"/>
      <c r="F334" s="95"/>
      <c r="G334" s="96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</row>
    <row r="335" ht="14.25" customHeight="1" spans="4:30">
      <c r="D335" s="93"/>
      <c r="E335" s="94"/>
      <c r="F335" s="95"/>
      <c r="G335" s="96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  <c r="AA335" s="68"/>
      <c r="AB335" s="68"/>
      <c r="AC335" s="68"/>
      <c r="AD335" s="68"/>
    </row>
    <row r="336" ht="14.25" customHeight="1" spans="4:30">
      <c r="D336" s="93"/>
      <c r="E336" s="94"/>
      <c r="F336" s="95"/>
      <c r="G336" s="96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  <c r="AA336" s="68"/>
      <c r="AB336" s="68"/>
      <c r="AC336" s="68"/>
      <c r="AD336" s="68"/>
    </row>
    <row r="337" ht="14.25" customHeight="1" spans="4:30">
      <c r="D337" s="93"/>
      <c r="E337" s="94"/>
      <c r="F337" s="95"/>
      <c r="G337" s="96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  <c r="AA337" s="68"/>
      <c r="AB337" s="68"/>
      <c r="AC337" s="68"/>
      <c r="AD337" s="68"/>
    </row>
    <row r="338" ht="14.25" customHeight="1" spans="4:30">
      <c r="D338" s="93"/>
      <c r="E338" s="94"/>
      <c r="F338" s="95"/>
      <c r="G338" s="96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  <c r="AA338" s="68"/>
      <c r="AB338" s="68"/>
      <c r="AC338" s="68"/>
      <c r="AD338" s="68"/>
    </row>
    <row r="339" ht="14.25" customHeight="1" spans="4:30">
      <c r="D339" s="93"/>
      <c r="E339" s="94"/>
      <c r="F339" s="95"/>
      <c r="G339" s="96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  <c r="AA339" s="68"/>
      <c r="AB339" s="68"/>
      <c r="AC339" s="68"/>
      <c r="AD339" s="68"/>
    </row>
    <row r="340" ht="14.25" customHeight="1" spans="4:30">
      <c r="D340" s="93"/>
      <c r="E340" s="94"/>
      <c r="F340" s="95"/>
      <c r="G340" s="96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  <c r="AA340" s="68"/>
      <c r="AB340" s="68"/>
      <c r="AC340" s="68"/>
      <c r="AD340" s="68"/>
    </row>
    <row r="341" ht="14.25" customHeight="1" spans="4:30">
      <c r="D341" s="93"/>
      <c r="E341" s="94"/>
      <c r="F341" s="95"/>
      <c r="G341" s="96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  <c r="AA341" s="68"/>
      <c r="AB341" s="68"/>
      <c r="AC341" s="68"/>
      <c r="AD341" s="68"/>
    </row>
    <row r="342" ht="14.25" customHeight="1" spans="4:30">
      <c r="D342" s="93"/>
      <c r="E342" s="94"/>
      <c r="F342" s="95"/>
      <c r="G342" s="96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  <c r="AA342" s="68"/>
      <c r="AB342" s="68"/>
      <c r="AC342" s="68"/>
      <c r="AD342" s="68"/>
    </row>
    <row r="343" ht="14.25" customHeight="1" spans="4:30">
      <c r="D343" s="93"/>
      <c r="E343" s="94"/>
      <c r="F343" s="95"/>
      <c r="G343" s="96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  <c r="AA343" s="68"/>
      <c r="AB343" s="68"/>
      <c r="AC343" s="68"/>
      <c r="AD343" s="68"/>
    </row>
    <row r="344" ht="14.25" customHeight="1" spans="4:30">
      <c r="D344" s="93"/>
      <c r="E344" s="94"/>
      <c r="F344" s="95"/>
      <c r="G344" s="96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  <c r="AA344" s="68"/>
      <c r="AB344" s="68"/>
      <c r="AC344" s="68"/>
      <c r="AD344" s="68"/>
    </row>
    <row r="345" ht="14.25" customHeight="1" spans="4:30">
      <c r="D345" s="93"/>
      <c r="E345" s="94"/>
      <c r="F345" s="95"/>
      <c r="G345" s="96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  <c r="AA345" s="68"/>
      <c r="AB345" s="68"/>
      <c r="AC345" s="68"/>
      <c r="AD345" s="68"/>
    </row>
    <row r="346" ht="14.25" customHeight="1" spans="4:30">
      <c r="D346" s="93"/>
      <c r="E346" s="94"/>
      <c r="F346" s="95"/>
      <c r="G346" s="96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  <c r="AA346" s="68"/>
      <c r="AB346" s="68"/>
      <c r="AC346" s="68"/>
      <c r="AD346" s="68"/>
    </row>
    <row r="347" ht="14.25" customHeight="1" spans="4:30">
      <c r="D347" s="93"/>
      <c r="E347" s="94"/>
      <c r="F347" s="95"/>
      <c r="G347" s="96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  <c r="AA347" s="68"/>
      <c r="AB347" s="68"/>
      <c r="AC347" s="68"/>
      <c r="AD347" s="68"/>
    </row>
    <row r="348" ht="14.25" customHeight="1" spans="4:30">
      <c r="D348" s="93"/>
      <c r="E348" s="94"/>
      <c r="F348" s="95"/>
      <c r="G348" s="96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  <c r="AA348" s="68"/>
      <c r="AB348" s="68"/>
      <c r="AC348" s="68"/>
      <c r="AD348" s="68"/>
    </row>
    <row r="349" ht="14.25" customHeight="1" spans="4:30">
      <c r="D349" s="93"/>
      <c r="E349" s="94"/>
      <c r="F349" s="95"/>
      <c r="G349" s="96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  <c r="AA349" s="68"/>
      <c r="AB349" s="68"/>
      <c r="AC349" s="68"/>
      <c r="AD349" s="68"/>
    </row>
    <row r="350" ht="14.25" customHeight="1" spans="4:30">
      <c r="D350" s="93"/>
      <c r="E350" s="94"/>
      <c r="F350" s="95"/>
      <c r="G350" s="96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  <c r="AA350" s="68"/>
      <c r="AB350" s="68"/>
      <c r="AC350" s="68"/>
      <c r="AD350" s="68"/>
    </row>
    <row r="351" ht="14.25" customHeight="1" spans="4:30">
      <c r="D351" s="93"/>
      <c r="E351" s="94"/>
      <c r="F351" s="95"/>
      <c r="G351" s="96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  <c r="AA351" s="68"/>
      <c r="AB351" s="68"/>
      <c r="AC351" s="68"/>
      <c r="AD351" s="68"/>
    </row>
    <row r="352" ht="14.25" customHeight="1" spans="4:30">
      <c r="D352" s="93"/>
      <c r="E352" s="94"/>
      <c r="F352" s="95"/>
      <c r="G352" s="96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  <c r="AA352" s="68"/>
      <c r="AB352" s="68"/>
      <c r="AC352" s="68"/>
      <c r="AD352" s="68"/>
    </row>
    <row r="353" ht="14.25" customHeight="1" spans="4:30">
      <c r="D353" s="93"/>
      <c r="E353" s="94"/>
      <c r="F353" s="95"/>
      <c r="G353" s="96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  <c r="AA353" s="68"/>
      <c r="AB353" s="68"/>
      <c r="AC353" s="68"/>
      <c r="AD353" s="68"/>
    </row>
    <row r="354" ht="14.25" customHeight="1" spans="4:30">
      <c r="D354" s="93"/>
      <c r="E354" s="94"/>
      <c r="F354" s="95"/>
      <c r="G354" s="96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  <c r="AA354" s="68"/>
      <c r="AB354" s="68"/>
      <c r="AC354" s="68"/>
      <c r="AD354" s="68"/>
    </row>
    <row r="355" ht="14.25" customHeight="1" spans="4:30">
      <c r="D355" s="93"/>
      <c r="E355" s="94"/>
      <c r="F355" s="95"/>
      <c r="G355" s="96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  <c r="AA355" s="68"/>
      <c r="AB355" s="68"/>
      <c r="AC355" s="68"/>
      <c r="AD355" s="68"/>
    </row>
    <row r="356" ht="14.25" customHeight="1" spans="4:30">
      <c r="D356" s="93"/>
      <c r="E356" s="94"/>
      <c r="F356" s="95"/>
      <c r="G356" s="96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  <c r="AA356" s="68"/>
      <c r="AB356" s="68"/>
      <c r="AC356" s="68"/>
      <c r="AD356" s="68"/>
    </row>
    <row r="357" ht="14.25" customHeight="1" spans="4:30">
      <c r="D357" s="93"/>
      <c r="E357" s="94"/>
      <c r="F357" s="95"/>
      <c r="G357" s="96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  <c r="AA357" s="68"/>
      <c r="AB357" s="68"/>
      <c r="AC357" s="68"/>
      <c r="AD357" s="68"/>
    </row>
    <row r="358" ht="14.25" customHeight="1" spans="4:30">
      <c r="D358" s="93"/>
      <c r="E358" s="94"/>
      <c r="F358" s="95"/>
      <c r="G358" s="96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  <c r="AA358" s="68"/>
      <c r="AB358" s="68"/>
      <c r="AC358" s="68"/>
      <c r="AD358" s="68"/>
    </row>
    <row r="359" ht="14.25" customHeight="1" spans="4:30">
      <c r="D359" s="93"/>
      <c r="E359" s="94"/>
      <c r="F359" s="95"/>
      <c r="G359" s="96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  <c r="AA359" s="68"/>
      <c r="AB359" s="68"/>
      <c r="AC359" s="68"/>
      <c r="AD359" s="68"/>
    </row>
    <row r="360" ht="14.25" customHeight="1" spans="4:30">
      <c r="D360" s="93"/>
      <c r="E360" s="94"/>
      <c r="F360" s="95"/>
      <c r="G360" s="96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  <c r="AA360" s="68"/>
      <c r="AB360" s="68"/>
      <c r="AC360" s="68"/>
      <c r="AD360" s="68"/>
    </row>
    <row r="361" ht="14.25" customHeight="1" spans="4:30">
      <c r="D361" s="93"/>
      <c r="E361" s="94"/>
      <c r="F361" s="95"/>
      <c r="G361" s="96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  <c r="AA361" s="68"/>
      <c r="AB361" s="68"/>
      <c r="AC361" s="68"/>
      <c r="AD361" s="68"/>
    </row>
    <row r="362" ht="14.25" customHeight="1" spans="4:30">
      <c r="D362" s="93"/>
      <c r="E362" s="94"/>
      <c r="F362" s="95"/>
      <c r="G362" s="96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  <c r="AA362" s="68"/>
      <c r="AB362" s="68"/>
      <c r="AC362" s="68"/>
      <c r="AD362" s="68"/>
    </row>
    <row r="363" ht="14.25" customHeight="1" spans="4:30">
      <c r="D363" s="93"/>
      <c r="E363" s="94"/>
      <c r="F363" s="95"/>
      <c r="G363" s="96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  <c r="AA363" s="68"/>
      <c r="AB363" s="68"/>
      <c r="AC363" s="68"/>
      <c r="AD363" s="68"/>
    </row>
    <row r="364" ht="14.25" customHeight="1" spans="4:30">
      <c r="D364" s="93"/>
      <c r="E364" s="94"/>
      <c r="F364" s="95"/>
      <c r="G364" s="96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  <c r="AA364" s="68"/>
      <c r="AB364" s="68"/>
      <c r="AC364" s="68"/>
      <c r="AD364" s="68"/>
    </row>
    <row r="365" ht="14.25" customHeight="1" spans="4:30">
      <c r="D365" s="93"/>
      <c r="E365" s="94"/>
      <c r="F365" s="95"/>
      <c r="G365" s="96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  <c r="AA365" s="68"/>
      <c r="AB365" s="68"/>
      <c r="AC365" s="68"/>
      <c r="AD365" s="68"/>
    </row>
    <row r="366" ht="14.25" customHeight="1" spans="4:30">
      <c r="D366" s="93"/>
      <c r="E366" s="94"/>
      <c r="F366" s="95"/>
      <c r="G366" s="96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  <c r="AA366" s="68"/>
      <c r="AB366" s="68"/>
      <c r="AC366" s="68"/>
      <c r="AD366" s="68"/>
    </row>
    <row r="367" ht="14.25" customHeight="1" spans="4:30">
      <c r="D367" s="93"/>
      <c r="E367" s="94"/>
      <c r="F367" s="95"/>
      <c r="G367" s="96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  <c r="AA367" s="68"/>
      <c r="AB367" s="68"/>
      <c r="AC367" s="68"/>
      <c r="AD367" s="68"/>
    </row>
    <row r="368" ht="14.25" customHeight="1" spans="4:30">
      <c r="D368" s="93"/>
      <c r="E368" s="94"/>
      <c r="F368" s="95"/>
      <c r="G368" s="96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  <c r="AA368" s="68"/>
      <c r="AB368" s="68"/>
      <c r="AC368" s="68"/>
      <c r="AD368" s="68"/>
    </row>
    <row r="369" ht="14.25" customHeight="1" spans="4:30">
      <c r="D369" s="93"/>
      <c r="E369" s="94"/>
      <c r="F369" s="95"/>
      <c r="G369" s="96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  <c r="AA369" s="68"/>
      <c r="AB369" s="68"/>
      <c r="AC369" s="68"/>
      <c r="AD369" s="68"/>
    </row>
    <row r="370" ht="14.25" customHeight="1" spans="4:30">
      <c r="D370" s="93"/>
      <c r="E370" s="94"/>
      <c r="F370" s="95"/>
      <c r="G370" s="96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  <c r="AA370" s="68"/>
      <c r="AB370" s="68"/>
      <c r="AC370" s="68"/>
      <c r="AD370" s="68"/>
    </row>
    <row r="371" ht="14.25" customHeight="1" spans="4:30">
      <c r="D371" s="93"/>
      <c r="E371" s="94"/>
      <c r="F371" s="95"/>
      <c r="G371" s="96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  <c r="AA371" s="68"/>
      <c r="AB371" s="68"/>
      <c r="AC371" s="68"/>
      <c r="AD371" s="68"/>
    </row>
    <row r="372" ht="14.25" customHeight="1" spans="4:30">
      <c r="D372" s="93"/>
      <c r="E372" s="94"/>
      <c r="F372" s="95"/>
      <c r="G372" s="96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  <c r="AA372" s="68"/>
      <c r="AB372" s="68"/>
      <c r="AC372" s="68"/>
      <c r="AD372" s="68"/>
    </row>
    <row r="373" ht="14.25" customHeight="1" spans="4:30">
      <c r="D373" s="93"/>
      <c r="E373" s="94"/>
      <c r="F373" s="95"/>
      <c r="G373" s="96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  <c r="AA373" s="68"/>
      <c r="AB373" s="68"/>
      <c r="AC373" s="68"/>
      <c r="AD373" s="68"/>
    </row>
    <row r="374" ht="14.25" customHeight="1" spans="4:30">
      <c r="D374" s="93"/>
      <c r="E374" s="94"/>
      <c r="F374" s="95"/>
      <c r="G374" s="96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  <c r="AA374" s="68"/>
      <c r="AB374" s="68"/>
      <c r="AC374" s="68"/>
      <c r="AD374" s="68"/>
    </row>
    <row r="375" ht="14.25" customHeight="1" spans="4:30">
      <c r="D375" s="93"/>
      <c r="E375" s="94"/>
      <c r="F375" s="95"/>
      <c r="G375" s="96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  <c r="AA375" s="68"/>
      <c r="AB375" s="68"/>
      <c r="AC375" s="68"/>
      <c r="AD375" s="68"/>
    </row>
    <row r="376" ht="14.25" customHeight="1" spans="4:30">
      <c r="D376" s="93"/>
      <c r="E376" s="94"/>
      <c r="F376" s="95"/>
      <c r="G376" s="96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  <c r="AA376" s="68"/>
      <c r="AB376" s="68"/>
      <c r="AC376" s="68"/>
      <c r="AD376" s="68"/>
    </row>
    <row r="377" ht="14.25" customHeight="1" spans="4:30">
      <c r="D377" s="93"/>
      <c r="E377" s="94"/>
      <c r="F377" s="95"/>
      <c r="G377" s="96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  <c r="AA377" s="68"/>
      <c r="AB377" s="68"/>
      <c r="AC377" s="68"/>
      <c r="AD377" s="68"/>
    </row>
    <row r="378" ht="14.25" customHeight="1" spans="4:30">
      <c r="D378" s="93"/>
      <c r="E378" s="94"/>
      <c r="F378" s="95"/>
      <c r="G378" s="96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  <c r="AA378" s="68"/>
      <c r="AB378" s="68"/>
      <c r="AC378" s="68"/>
      <c r="AD378" s="68"/>
    </row>
    <row r="379" ht="14.25" customHeight="1" spans="4:30">
      <c r="D379" s="93"/>
      <c r="E379" s="94"/>
      <c r="F379" s="95"/>
      <c r="G379" s="96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  <c r="AA379" s="68"/>
      <c r="AB379" s="68"/>
      <c r="AC379" s="68"/>
      <c r="AD379" s="68"/>
    </row>
    <row r="380" ht="14.25" customHeight="1" spans="4:30">
      <c r="D380" s="93"/>
      <c r="E380" s="94"/>
      <c r="F380" s="95"/>
      <c r="G380" s="96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  <c r="AA380" s="68"/>
      <c r="AB380" s="68"/>
      <c r="AC380" s="68"/>
      <c r="AD380" s="68"/>
    </row>
    <row r="381" ht="14.25" customHeight="1" spans="4:30">
      <c r="D381" s="93"/>
      <c r="E381" s="94"/>
      <c r="F381" s="95"/>
      <c r="G381" s="96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  <c r="AA381" s="68"/>
      <c r="AB381" s="68"/>
      <c r="AC381" s="68"/>
      <c r="AD381" s="68"/>
    </row>
    <row r="382" ht="14.25" customHeight="1" spans="4:30">
      <c r="D382" s="93"/>
      <c r="E382" s="94"/>
      <c r="F382" s="95"/>
      <c r="G382" s="96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  <c r="AA382" s="68"/>
      <c r="AB382" s="68"/>
      <c r="AC382" s="68"/>
      <c r="AD382" s="68"/>
    </row>
    <row r="383" ht="14.25" customHeight="1" spans="4:30">
      <c r="D383" s="93"/>
      <c r="E383" s="94"/>
      <c r="F383" s="95"/>
      <c r="G383" s="96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  <c r="AA383" s="68"/>
      <c r="AB383" s="68"/>
      <c r="AC383" s="68"/>
      <c r="AD383" s="68"/>
    </row>
    <row r="384" ht="14.25" customHeight="1" spans="4:30">
      <c r="D384" s="93"/>
      <c r="E384" s="94"/>
      <c r="F384" s="95"/>
      <c r="G384" s="96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  <c r="AA384" s="68"/>
      <c r="AB384" s="68"/>
      <c r="AC384" s="68"/>
      <c r="AD384" s="68"/>
    </row>
    <row r="385" ht="14.25" customHeight="1" spans="4:30">
      <c r="D385" s="93"/>
      <c r="E385" s="94"/>
      <c r="F385" s="95"/>
      <c r="G385" s="96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  <c r="AA385" s="68"/>
      <c r="AB385" s="68"/>
      <c r="AC385" s="68"/>
      <c r="AD385" s="68"/>
    </row>
    <row r="386" ht="14.25" customHeight="1" spans="4:30">
      <c r="D386" s="93"/>
      <c r="E386" s="94"/>
      <c r="F386" s="95"/>
      <c r="G386" s="96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  <c r="AA386" s="68"/>
      <c r="AB386" s="68"/>
      <c r="AC386" s="68"/>
      <c r="AD386" s="68"/>
    </row>
    <row r="387" ht="14.25" customHeight="1" spans="4:30">
      <c r="D387" s="93"/>
      <c r="E387" s="94"/>
      <c r="F387" s="95"/>
      <c r="G387" s="96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  <c r="AA387" s="68"/>
      <c r="AB387" s="68"/>
      <c r="AC387" s="68"/>
      <c r="AD387" s="68"/>
    </row>
    <row r="388" ht="14.25" customHeight="1" spans="4:30">
      <c r="D388" s="93"/>
      <c r="E388" s="94"/>
      <c r="F388" s="95"/>
      <c r="G388" s="96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  <c r="AA388" s="68"/>
      <c r="AB388" s="68"/>
      <c r="AC388" s="68"/>
      <c r="AD388" s="68"/>
    </row>
    <row r="389" ht="14.25" customHeight="1" spans="4:30">
      <c r="D389" s="93"/>
      <c r="E389" s="94"/>
      <c r="F389" s="95"/>
      <c r="G389" s="96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  <c r="AA389" s="68"/>
      <c r="AB389" s="68"/>
      <c r="AC389" s="68"/>
      <c r="AD389" s="68"/>
    </row>
    <row r="390" ht="14.25" customHeight="1" spans="4:30">
      <c r="D390" s="93"/>
      <c r="E390" s="94"/>
      <c r="F390" s="95"/>
      <c r="G390" s="96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  <c r="AA390" s="68"/>
      <c r="AB390" s="68"/>
      <c r="AC390" s="68"/>
      <c r="AD390" s="68"/>
    </row>
    <row r="391" ht="14.25" customHeight="1" spans="4:30">
      <c r="D391" s="93"/>
      <c r="E391" s="94"/>
      <c r="F391" s="95"/>
      <c r="G391" s="96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  <c r="AA391" s="68"/>
      <c r="AB391" s="68"/>
      <c r="AC391" s="68"/>
      <c r="AD391" s="68"/>
    </row>
    <row r="392" ht="14.25" customHeight="1" spans="4:30">
      <c r="D392" s="93"/>
      <c r="E392" s="94"/>
      <c r="F392" s="95"/>
      <c r="G392" s="96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  <c r="AA392" s="68"/>
      <c r="AB392" s="68"/>
      <c r="AC392" s="68"/>
      <c r="AD392" s="68"/>
    </row>
    <row r="393" ht="14.25" customHeight="1" spans="4:30">
      <c r="D393" s="93"/>
      <c r="E393" s="94"/>
      <c r="F393" s="95"/>
      <c r="G393" s="96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  <c r="AA393" s="68"/>
      <c r="AB393" s="68"/>
      <c r="AC393" s="68"/>
      <c r="AD393" s="68"/>
    </row>
    <row r="394" ht="14.25" customHeight="1" spans="4:30">
      <c r="D394" s="93"/>
      <c r="E394" s="94"/>
      <c r="F394" s="95"/>
      <c r="G394" s="96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  <c r="AA394" s="68"/>
      <c r="AB394" s="68"/>
      <c r="AC394" s="68"/>
      <c r="AD394" s="68"/>
    </row>
    <row r="395" ht="14.25" customHeight="1" spans="4:30">
      <c r="D395" s="93"/>
      <c r="E395" s="94"/>
      <c r="F395" s="95"/>
      <c r="G395" s="96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  <c r="AA395" s="68"/>
      <c r="AB395" s="68"/>
      <c r="AC395" s="68"/>
      <c r="AD395" s="68"/>
    </row>
    <row r="396" ht="14.25" customHeight="1" spans="4:30">
      <c r="D396" s="93"/>
      <c r="E396" s="94"/>
      <c r="F396" s="95"/>
      <c r="G396" s="96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  <c r="AA396" s="68"/>
      <c r="AB396" s="68"/>
      <c r="AC396" s="68"/>
      <c r="AD396" s="68"/>
    </row>
    <row r="397" ht="14.25" customHeight="1" spans="4:30">
      <c r="D397" s="93"/>
      <c r="E397" s="94"/>
      <c r="F397" s="95"/>
      <c r="G397" s="96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  <c r="AA397" s="68"/>
      <c r="AB397" s="68"/>
      <c r="AC397" s="68"/>
      <c r="AD397" s="68"/>
    </row>
    <row r="398" ht="14.25" customHeight="1" spans="4:30">
      <c r="D398" s="93"/>
      <c r="E398" s="94"/>
      <c r="F398" s="95"/>
      <c r="G398" s="96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  <c r="AA398" s="68"/>
      <c r="AB398" s="68"/>
      <c r="AC398" s="68"/>
      <c r="AD398" s="68"/>
    </row>
    <row r="399" ht="14.25" customHeight="1" spans="4:30">
      <c r="D399" s="93"/>
      <c r="E399" s="94"/>
      <c r="F399" s="95"/>
      <c r="G399" s="96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  <c r="AA399" s="68"/>
      <c r="AB399" s="68"/>
      <c r="AC399" s="68"/>
      <c r="AD399" s="68"/>
    </row>
    <row r="400" ht="14.25" customHeight="1" spans="4:30">
      <c r="D400" s="93"/>
      <c r="E400" s="94"/>
      <c r="F400" s="95"/>
      <c r="G400" s="96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  <c r="AA400" s="68"/>
      <c r="AB400" s="68"/>
      <c r="AC400" s="68"/>
      <c r="AD400" s="68"/>
    </row>
    <row r="401" ht="14.25" customHeight="1" spans="4:30">
      <c r="D401" s="93"/>
      <c r="E401" s="94"/>
      <c r="F401" s="95"/>
      <c r="G401" s="96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  <c r="AA401" s="68"/>
      <c r="AB401" s="68"/>
      <c r="AC401" s="68"/>
      <c r="AD401" s="68"/>
    </row>
    <row r="402" ht="14.25" customHeight="1" spans="4:30">
      <c r="D402" s="93"/>
      <c r="E402" s="94"/>
      <c r="F402" s="95"/>
      <c r="G402" s="96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  <c r="AA402" s="68"/>
      <c r="AB402" s="68"/>
      <c r="AC402" s="68"/>
      <c r="AD402" s="68"/>
    </row>
    <row r="403" ht="14.25" customHeight="1" spans="4:30">
      <c r="D403" s="93"/>
      <c r="E403" s="94"/>
      <c r="F403" s="95"/>
      <c r="G403" s="96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  <c r="AA403" s="68"/>
      <c r="AB403" s="68"/>
      <c r="AC403" s="68"/>
      <c r="AD403" s="68"/>
    </row>
    <row r="404" ht="14.25" customHeight="1" spans="4:30">
      <c r="D404" s="93"/>
      <c r="E404" s="94"/>
      <c r="F404" s="95"/>
      <c r="G404" s="96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  <c r="AA404" s="68"/>
      <c r="AB404" s="68"/>
      <c r="AC404" s="68"/>
      <c r="AD404" s="68"/>
    </row>
    <row r="405" ht="14.25" customHeight="1" spans="4:30">
      <c r="D405" s="93"/>
      <c r="E405" s="94"/>
      <c r="F405" s="95"/>
      <c r="G405" s="96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  <c r="AA405" s="68"/>
      <c r="AB405" s="68"/>
      <c r="AC405" s="68"/>
      <c r="AD405" s="68"/>
    </row>
    <row r="406" ht="14.25" customHeight="1" spans="4:30">
      <c r="D406" s="93"/>
      <c r="E406" s="94"/>
      <c r="F406" s="95"/>
      <c r="G406" s="96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  <c r="AA406" s="68"/>
      <c r="AB406" s="68"/>
      <c r="AC406" s="68"/>
      <c r="AD406" s="68"/>
    </row>
    <row r="407" ht="14.25" customHeight="1" spans="4:30">
      <c r="D407" s="93"/>
      <c r="E407" s="94"/>
      <c r="F407" s="95"/>
      <c r="G407" s="96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  <c r="AA407" s="68"/>
      <c r="AB407" s="68"/>
      <c r="AC407" s="68"/>
      <c r="AD407" s="68"/>
    </row>
    <row r="408" ht="14.25" customHeight="1" spans="4:30">
      <c r="D408" s="93"/>
      <c r="E408" s="94"/>
      <c r="F408" s="95"/>
      <c r="G408" s="96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  <c r="AA408" s="68"/>
      <c r="AB408" s="68"/>
      <c r="AC408" s="68"/>
      <c r="AD408" s="68"/>
    </row>
    <row r="409" ht="14.25" customHeight="1" spans="4:30">
      <c r="D409" s="93"/>
      <c r="E409" s="94"/>
      <c r="F409" s="95"/>
      <c r="G409" s="96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  <c r="AA409" s="68"/>
      <c r="AB409" s="68"/>
      <c r="AC409" s="68"/>
      <c r="AD409" s="68"/>
    </row>
    <row r="410" ht="14.25" customHeight="1" spans="4:30">
      <c r="D410" s="93"/>
      <c r="E410" s="94"/>
      <c r="F410" s="95"/>
      <c r="G410" s="96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  <c r="AA410" s="68"/>
      <c r="AB410" s="68"/>
      <c r="AC410" s="68"/>
      <c r="AD410" s="68"/>
    </row>
    <row r="411" ht="14.25" customHeight="1" spans="4:30">
      <c r="D411" s="93"/>
      <c r="E411" s="94"/>
      <c r="F411" s="95"/>
      <c r="G411" s="96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  <c r="AA411" s="68"/>
      <c r="AB411" s="68"/>
      <c r="AC411" s="68"/>
      <c r="AD411" s="68"/>
    </row>
    <row r="412" ht="14.25" customHeight="1" spans="4:30">
      <c r="D412" s="93"/>
      <c r="E412" s="94"/>
      <c r="F412" s="95"/>
      <c r="G412" s="96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  <c r="AA412" s="68"/>
      <c r="AB412" s="68"/>
      <c r="AC412" s="68"/>
      <c r="AD412" s="68"/>
    </row>
    <row r="413" ht="14.25" customHeight="1" spans="4:30">
      <c r="D413" s="93"/>
      <c r="E413" s="94"/>
      <c r="F413" s="95"/>
      <c r="G413" s="96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  <c r="AA413" s="68"/>
      <c r="AB413" s="68"/>
      <c r="AC413" s="68"/>
      <c r="AD413" s="68"/>
    </row>
    <row r="414" ht="14.25" customHeight="1" spans="4:30">
      <c r="D414" s="93"/>
      <c r="E414" s="94"/>
      <c r="F414" s="95"/>
      <c r="G414" s="96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  <c r="AA414" s="68"/>
      <c r="AB414" s="68"/>
      <c r="AC414" s="68"/>
      <c r="AD414" s="68"/>
    </row>
    <row r="415" ht="14.25" customHeight="1" spans="4:30">
      <c r="D415" s="93"/>
      <c r="E415" s="94"/>
      <c r="F415" s="95"/>
      <c r="G415" s="96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  <c r="AA415" s="68"/>
      <c r="AB415" s="68"/>
      <c r="AC415" s="68"/>
      <c r="AD415" s="68"/>
    </row>
    <row r="416" ht="14.25" customHeight="1" spans="4:30">
      <c r="D416" s="93"/>
      <c r="E416" s="94"/>
      <c r="F416" s="95"/>
      <c r="G416" s="96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  <c r="AA416" s="68"/>
      <c r="AB416" s="68"/>
      <c r="AC416" s="68"/>
      <c r="AD416" s="68"/>
    </row>
    <row r="417" ht="14.25" customHeight="1" spans="4:30">
      <c r="D417" s="93"/>
      <c r="E417" s="94"/>
      <c r="F417" s="95"/>
      <c r="G417" s="96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  <c r="AA417" s="68"/>
      <c r="AB417" s="68"/>
      <c r="AC417" s="68"/>
      <c r="AD417" s="68"/>
    </row>
    <row r="418" ht="14.25" customHeight="1" spans="4:30">
      <c r="D418" s="93"/>
      <c r="E418" s="94"/>
      <c r="F418" s="95"/>
      <c r="G418" s="96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  <c r="AA418" s="68"/>
      <c r="AB418" s="68"/>
      <c r="AC418" s="68"/>
      <c r="AD418" s="68"/>
    </row>
    <row r="419" ht="14.25" customHeight="1" spans="4:30">
      <c r="D419" s="93"/>
      <c r="E419" s="94"/>
      <c r="F419" s="95"/>
      <c r="G419" s="96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  <c r="AA419" s="68"/>
      <c r="AB419" s="68"/>
      <c r="AC419" s="68"/>
      <c r="AD419" s="68"/>
    </row>
    <row r="420" ht="14.25" customHeight="1" spans="4:30">
      <c r="D420" s="93"/>
      <c r="E420" s="94"/>
      <c r="F420" s="95"/>
      <c r="G420" s="96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  <c r="AA420" s="68"/>
      <c r="AB420" s="68"/>
      <c r="AC420" s="68"/>
      <c r="AD420" s="68"/>
    </row>
    <row r="421" ht="14.25" customHeight="1" spans="4:30">
      <c r="D421" s="93"/>
      <c r="E421" s="94"/>
      <c r="F421" s="95"/>
      <c r="G421" s="96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  <c r="AA421" s="68"/>
      <c r="AB421" s="68"/>
      <c r="AC421" s="68"/>
      <c r="AD421" s="68"/>
    </row>
    <row r="422" ht="14.25" customHeight="1" spans="4:30">
      <c r="D422" s="93"/>
      <c r="E422" s="94"/>
      <c r="F422" s="95"/>
      <c r="G422" s="96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  <c r="AA422" s="68"/>
      <c r="AB422" s="68"/>
      <c r="AC422" s="68"/>
      <c r="AD422" s="68"/>
    </row>
    <row r="423" ht="14.25" customHeight="1" spans="4:30">
      <c r="D423" s="93"/>
      <c r="E423" s="94"/>
      <c r="F423" s="95"/>
      <c r="G423" s="96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  <c r="AA423" s="68"/>
      <c r="AB423" s="68"/>
      <c r="AC423" s="68"/>
      <c r="AD423" s="68"/>
    </row>
    <row r="424" ht="14.25" customHeight="1" spans="4:30">
      <c r="D424" s="93"/>
      <c r="E424" s="94"/>
      <c r="F424" s="95"/>
      <c r="G424" s="96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  <c r="AA424" s="68"/>
      <c r="AB424" s="68"/>
      <c r="AC424" s="68"/>
      <c r="AD424" s="68"/>
    </row>
    <row r="425" ht="14.25" customHeight="1" spans="4:30">
      <c r="D425" s="93"/>
      <c r="E425" s="94"/>
      <c r="F425" s="95"/>
      <c r="G425" s="96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  <c r="AA425" s="68"/>
      <c r="AB425" s="68"/>
      <c r="AC425" s="68"/>
      <c r="AD425" s="68"/>
    </row>
    <row r="426" ht="14.25" customHeight="1" spans="4:30">
      <c r="D426" s="93"/>
      <c r="E426" s="94"/>
      <c r="F426" s="95"/>
      <c r="G426" s="96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  <c r="AA426" s="68"/>
      <c r="AB426" s="68"/>
      <c r="AC426" s="68"/>
      <c r="AD426" s="68"/>
    </row>
    <row r="427" ht="14.25" customHeight="1" spans="4:30">
      <c r="D427" s="93"/>
      <c r="E427" s="94"/>
      <c r="F427" s="95"/>
      <c r="G427" s="96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  <c r="AA427" s="68"/>
      <c r="AB427" s="68"/>
      <c r="AC427" s="68"/>
      <c r="AD427" s="68"/>
    </row>
    <row r="428" ht="14.25" customHeight="1" spans="4:30">
      <c r="D428" s="93"/>
      <c r="E428" s="94"/>
      <c r="F428" s="95"/>
      <c r="G428" s="96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  <c r="AA428" s="68"/>
      <c r="AB428" s="68"/>
      <c r="AC428" s="68"/>
      <c r="AD428" s="68"/>
    </row>
    <row r="429" ht="14.25" customHeight="1" spans="4:30">
      <c r="D429" s="93"/>
      <c r="E429" s="94"/>
      <c r="F429" s="95"/>
      <c r="G429" s="96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  <c r="AA429" s="68"/>
      <c r="AB429" s="68"/>
      <c r="AC429" s="68"/>
      <c r="AD429" s="68"/>
    </row>
    <row r="430" ht="14.25" customHeight="1" spans="4:30">
      <c r="D430" s="93"/>
      <c r="E430" s="94"/>
      <c r="F430" s="95"/>
      <c r="G430" s="96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  <c r="AA430" s="68"/>
      <c r="AB430" s="68"/>
      <c r="AC430" s="68"/>
      <c r="AD430" s="68"/>
    </row>
    <row r="431" ht="14.25" customHeight="1" spans="4:30">
      <c r="D431" s="93"/>
      <c r="E431" s="94"/>
      <c r="F431" s="95"/>
      <c r="G431" s="96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  <c r="AA431" s="68"/>
      <c r="AB431" s="68"/>
      <c r="AC431" s="68"/>
      <c r="AD431" s="68"/>
    </row>
    <row r="432" ht="14.25" customHeight="1" spans="4:30">
      <c r="D432" s="93"/>
      <c r="E432" s="94"/>
      <c r="F432" s="95"/>
      <c r="G432" s="96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  <c r="AA432" s="68"/>
      <c r="AB432" s="68"/>
      <c r="AC432" s="68"/>
      <c r="AD432" s="68"/>
    </row>
    <row r="433" ht="14.25" customHeight="1" spans="4:30">
      <c r="D433" s="93"/>
      <c r="E433" s="94"/>
      <c r="F433" s="95"/>
      <c r="G433" s="96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  <c r="AA433" s="68"/>
      <c r="AB433" s="68"/>
      <c r="AC433" s="68"/>
      <c r="AD433" s="68"/>
    </row>
    <row r="434" ht="14.25" customHeight="1" spans="4:30">
      <c r="D434" s="93"/>
      <c r="E434" s="94"/>
      <c r="F434" s="95"/>
      <c r="G434" s="96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  <c r="AA434" s="68"/>
      <c r="AB434" s="68"/>
      <c r="AC434" s="68"/>
      <c r="AD434" s="68"/>
    </row>
    <row r="435" ht="14.25" customHeight="1" spans="4:30">
      <c r="D435" s="93"/>
      <c r="E435" s="94"/>
      <c r="F435" s="95"/>
      <c r="G435" s="96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  <c r="AA435" s="68"/>
      <c r="AB435" s="68"/>
      <c r="AC435" s="68"/>
      <c r="AD435" s="68"/>
    </row>
    <row r="436" ht="14.25" customHeight="1" spans="4:30">
      <c r="D436" s="93"/>
      <c r="E436" s="94"/>
      <c r="F436" s="95"/>
      <c r="G436" s="96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  <c r="AA436" s="68"/>
      <c r="AB436" s="68"/>
      <c r="AC436" s="68"/>
      <c r="AD436" s="68"/>
    </row>
    <row r="437" ht="14.25" customHeight="1" spans="4:30">
      <c r="D437" s="93"/>
      <c r="E437" s="94"/>
      <c r="F437" s="95"/>
      <c r="G437" s="96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  <c r="AA437" s="68"/>
      <c r="AB437" s="68"/>
      <c r="AC437" s="68"/>
      <c r="AD437" s="68"/>
    </row>
    <row r="438" ht="14.25" customHeight="1" spans="4:30">
      <c r="D438" s="93"/>
      <c r="E438" s="94"/>
      <c r="F438" s="95"/>
      <c r="G438" s="96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  <c r="AA438" s="68"/>
      <c r="AB438" s="68"/>
      <c r="AC438" s="68"/>
      <c r="AD438" s="68"/>
    </row>
    <row r="439" ht="14.25" customHeight="1" spans="4:30">
      <c r="D439" s="93"/>
      <c r="E439" s="94"/>
      <c r="F439" s="95"/>
      <c r="G439" s="96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  <c r="AA439" s="68"/>
      <c r="AB439" s="68"/>
      <c r="AC439" s="68"/>
      <c r="AD439" s="68"/>
    </row>
    <row r="440" ht="14.25" customHeight="1" spans="4:30">
      <c r="D440" s="93"/>
      <c r="E440" s="94"/>
      <c r="F440" s="95"/>
      <c r="G440" s="96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  <c r="AA440" s="68"/>
      <c r="AB440" s="68"/>
      <c r="AC440" s="68"/>
      <c r="AD440" s="68"/>
    </row>
    <row r="441" ht="14.25" customHeight="1" spans="4:30">
      <c r="D441" s="93"/>
      <c r="E441" s="94"/>
      <c r="F441" s="95"/>
      <c r="G441" s="96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  <c r="AA441" s="68"/>
      <c r="AB441" s="68"/>
      <c r="AC441" s="68"/>
      <c r="AD441" s="68"/>
    </row>
    <row r="442" ht="14.25" customHeight="1" spans="4:30">
      <c r="D442" s="93"/>
      <c r="E442" s="94"/>
      <c r="F442" s="95"/>
      <c r="G442" s="96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  <c r="AA442" s="68"/>
      <c r="AB442" s="68"/>
      <c r="AC442" s="68"/>
      <c r="AD442" s="68"/>
    </row>
    <row r="443" ht="14.25" customHeight="1" spans="4:30">
      <c r="D443" s="93"/>
      <c r="E443" s="94"/>
      <c r="F443" s="95"/>
      <c r="G443" s="96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  <c r="AA443" s="68"/>
      <c r="AB443" s="68"/>
      <c r="AC443" s="68"/>
      <c r="AD443" s="68"/>
    </row>
    <row r="444" ht="14.25" customHeight="1" spans="4:30">
      <c r="D444" s="93"/>
      <c r="E444" s="94"/>
      <c r="F444" s="95"/>
      <c r="G444" s="96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  <c r="AA444" s="68"/>
      <c r="AB444" s="68"/>
      <c r="AC444" s="68"/>
      <c r="AD444" s="68"/>
    </row>
    <row r="445" ht="14.25" customHeight="1" spans="4:30">
      <c r="D445" s="93"/>
      <c r="E445" s="94"/>
      <c r="F445" s="95"/>
      <c r="G445" s="96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  <c r="AA445" s="68"/>
      <c r="AB445" s="68"/>
      <c r="AC445" s="68"/>
      <c r="AD445" s="68"/>
    </row>
    <row r="446" ht="14.25" customHeight="1" spans="4:30">
      <c r="D446" s="93"/>
      <c r="E446" s="94"/>
      <c r="F446" s="95"/>
      <c r="G446" s="96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  <c r="AA446" s="68"/>
      <c r="AB446" s="68"/>
      <c r="AC446" s="68"/>
      <c r="AD446" s="68"/>
    </row>
    <row r="447" ht="14.25" customHeight="1" spans="4:30">
      <c r="D447" s="93"/>
      <c r="E447" s="94"/>
      <c r="F447" s="95"/>
      <c r="G447" s="96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  <c r="AA447" s="68"/>
      <c r="AB447" s="68"/>
      <c r="AC447" s="68"/>
      <c r="AD447" s="68"/>
    </row>
    <row r="448" ht="14.25" customHeight="1" spans="4:30">
      <c r="D448" s="93"/>
      <c r="E448" s="94"/>
      <c r="F448" s="95"/>
      <c r="G448" s="96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  <c r="AA448" s="68"/>
      <c r="AB448" s="68"/>
      <c r="AC448" s="68"/>
      <c r="AD448" s="68"/>
    </row>
    <row r="449" ht="14.25" customHeight="1" spans="4:30">
      <c r="D449" s="93"/>
      <c r="E449" s="94"/>
      <c r="F449" s="95"/>
      <c r="G449" s="96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  <c r="AA449" s="68"/>
      <c r="AB449" s="68"/>
      <c r="AC449" s="68"/>
      <c r="AD449" s="68"/>
    </row>
    <row r="450" ht="14.25" customHeight="1" spans="4:30">
      <c r="D450" s="93"/>
      <c r="E450" s="94"/>
      <c r="F450" s="95"/>
      <c r="G450" s="96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  <c r="AA450" s="68"/>
      <c r="AB450" s="68"/>
      <c r="AC450" s="68"/>
      <c r="AD450" s="68"/>
    </row>
    <row r="451" ht="14.25" customHeight="1" spans="4:30">
      <c r="D451" s="93"/>
      <c r="E451" s="94"/>
      <c r="F451" s="95"/>
      <c r="G451" s="96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  <c r="AA451" s="68"/>
      <c r="AB451" s="68"/>
      <c r="AC451" s="68"/>
      <c r="AD451" s="68"/>
    </row>
    <row r="452" ht="14.25" customHeight="1" spans="4:30">
      <c r="D452" s="93"/>
      <c r="E452" s="94"/>
      <c r="F452" s="95"/>
      <c r="G452" s="96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  <c r="AA452" s="68"/>
      <c r="AB452" s="68"/>
      <c r="AC452" s="68"/>
      <c r="AD452" s="68"/>
    </row>
    <row r="453" ht="14.25" customHeight="1" spans="4:30">
      <c r="D453" s="93"/>
      <c r="E453" s="94"/>
      <c r="F453" s="95"/>
      <c r="G453" s="96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  <c r="AA453" s="68"/>
      <c r="AB453" s="68"/>
      <c r="AC453" s="68"/>
      <c r="AD453" s="68"/>
    </row>
    <row r="454" ht="14.25" customHeight="1" spans="4:30">
      <c r="D454" s="93"/>
      <c r="E454" s="94"/>
      <c r="F454" s="95"/>
      <c r="G454" s="96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  <c r="AA454" s="68"/>
      <c r="AB454" s="68"/>
      <c r="AC454" s="68"/>
      <c r="AD454" s="68"/>
    </row>
    <row r="455" ht="14.25" customHeight="1" spans="4:30">
      <c r="D455" s="93"/>
      <c r="E455" s="94"/>
      <c r="F455" s="95"/>
      <c r="G455" s="96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  <c r="AA455" s="68"/>
      <c r="AB455" s="68"/>
      <c r="AC455" s="68"/>
      <c r="AD455" s="68"/>
    </row>
    <row r="456" ht="14.25" customHeight="1" spans="4:30">
      <c r="D456" s="93"/>
      <c r="E456" s="94"/>
      <c r="F456" s="95"/>
      <c r="G456" s="96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  <c r="AA456" s="68"/>
      <c r="AB456" s="68"/>
      <c r="AC456" s="68"/>
      <c r="AD456" s="68"/>
    </row>
    <row r="457" ht="14.25" customHeight="1" spans="4:30">
      <c r="D457" s="93"/>
      <c r="E457" s="94"/>
      <c r="F457" s="95"/>
      <c r="G457" s="96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  <c r="AA457" s="68"/>
      <c r="AB457" s="68"/>
      <c r="AC457" s="68"/>
      <c r="AD457" s="68"/>
    </row>
    <row r="458" ht="14.25" customHeight="1" spans="4:30">
      <c r="D458" s="93"/>
      <c r="E458" s="94"/>
      <c r="F458" s="95"/>
      <c r="G458" s="96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  <c r="AA458" s="68"/>
      <c r="AB458" s="68"/>
      <c r="AC458" s="68"/>
      <c r="AD458" s="68"/>
    </row>
    <row r="459" ht="14.25" customHeight="1" spans="4:30">
      <c r="D459" s="93"/>
      <c r="E459" s="94"/>
      <c r="F459" s="95"/>
      <c r="G459" s="96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  <c r="AA459" s="68"/>
      <c r="AB459" s="68"/>
      <c r="AC459" s="68"/>
      <c r="AD459" s="68"/>
    </row>
    <row r="460" ht="14.25" customHeight="1" spans="4:30">
      <c r="D460" s="93"/>
      <c r="E460" s="94"/>
      <c r="F460" s="95"/>
      <c r="G460" s="96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  <c r="AA460" s="68"/>
      <c r="AB460" s="68"/>
      <c r="AC460" s="68"/>
      <c r="AD460" s="68"/>
    </row>
    <row r="461" ht="14.25" customHeight="1" spans="4:30">
      <c r="D461" s="93"/>
      <c r="E461" s="94"/>
      <c r="F461" s="95"/>
      <c r="G461" s="96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  <c r="AA461" s="68"/>
      <c r="AB461" s="68"/>
      <c r="AC461" s="68"/>
      <c r="AD461" s="68"/>
    </row>
    <row r="462" ht="14.25" customHeight="1" spans="4:30">
      <c r="D462" s="93"/>
      <c r="E462" s="94"/>
      <c r="F462" s="95"/>
      <c r="G462" s="96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  <c r="AA462" s="68"/>
      <c r="AB462" s="68"/>
      <c r="AC462" s="68"/>
      <c r="AD462" s="68"/>
    </row>
    <row r="463" ht="14.25" customHeight="1" spans="4:30">
      <c r="D463" s="93"/>
      <c r="E463" s="94"/>
      <c r="F463" s="95"/>
      <c r="G463" s="96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  <c r="AA463" s="68"/>
      <c r="AB463" s="68"/>
      <c r="AC463" s="68"/>
      <c r="AD463" s="68"/>
    </row>
    <row r="464" ht="14.25" customHeight="1" spans="4:30">
      <c r="D464" s="93"/>
      <c r="E464" s="94"/>
      <c r="F464" s="95"/>
      <c r="G464" s="96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  <c r="AA464" s="68"/>
      <c r="AB464" s="68"/>
      <c r="AC464" s="68"/>
      <c r="AD464" s="68"/>
    </row>
    <row r="465" ht="14.25" customHeight="1" spans="4:30">
      <c r="D465" s="93"/>
      <c r="E465" s="94"/>
      <c r="F465" s="95"/>
      <c r="G465" s="96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  <c r="AA465" s="68"/>
      <c r="AB465" s="68"/>
      <c r="AC465" s="68"/>
      <c r="AD465" s="68"/>
    </row>
    <row r="466" ht="14.25" customHeight="1" spans="4:30">
      <c r="D466" s="93"/>
      <c r="E466" s="94"/>
      <c r="F466" s="95"/>
      <c r="G466" s="96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  <c r="AA466" s="68"/>
      <c r="AB466" s="68"/>
      <c r="AC466" s="68"/>
      <c r="AD466" s="68"/>
    </row>
    <row r="467" ht="14.25" customHeight="1" spans="4:30">
      <c r="D467" s="93"/>
      <c r="E467" s="94"/>
      <c r="F467" s="95"/>
      <c r="G467" s="96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  <c r="AA467" s="68"/>
      <c r="AB467" s="68"/>
      <c r="AC467" s="68"/>
      <c r="AD467" s="68"/>
    </row>
    <row r="468" ht="14.25" customHeight="1" spans="4:30">
      <c r="D468" s="93"/>
      <c r="E468" s="94"/>
      <c r="F468" s="95"/>
      <c r="G468" s="96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  <c r="AA468" s="68"/>
      <c r="AB468" s="68"/>
      <c r="AC468" s="68"/>
      <c r="AD468" s="68"/>
    </row>
    <row r="469" ht="14.25" customHeight="1" spans="4:30">
      <c r="D469" s="93"/>
      <c r="E469" s="94"/>
      <c r="F469" s="95"/>
      <c r="G469" s="96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  <c r="AA469" s="68"/>
      <c r="AB469" s="68"/>
      <c r="AC469" s="68"/>
      <c r="AD469" s="68"/>
    </row>
    <row r="470" ht="14.25" customHeight="1" spans="4:30">
      <c r="D470" s="93"/>
      <c r="E470" s="94"/>
      <c r="F470" s="95"/>
      <c r="G470" s="96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  <c r="AA470" s="68"/>
      <c r="AB470" s="68"/>
      <c r="AC470" s="68"/>
      <c r="AD470" s="68"/>
    </row>
    <row r="471" ht="14.25" customHeight="1" spans="4:30">
      <c r="D471" s="93"/>
      <c r="E471" s="94"/>
      <c r="F471" s="95"/>
      <c r="G471" s="96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  <c r="AA471" s="68"/>
      <c r="AB471" s="68"/>
      <c r="AC471" s="68"/>
      <c r="AD471" s="68"/>
    </row>
    <row r="472" ht="14.25" customHeight="1" spans="4:30">
      <c r="D472" s="93"/>
      <c r="E472" s="94"/>
      <c r="F472" s="95"/>
      <c r="G472" s="96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  <c r="AA472" s="68"/>
      <c r="AB472" s="68"/>
      <c r="AC472" s="68"/>
      <c r="AD472" s="68"/>
    </row>
    <row r="473" ht="14.25" customHeight="1" spans="4:30">
      <c r="D473" s="93"/>
      <c r="E473" s="94"/>
      <c r="F473" s="95"/>
      <c r="G473" s="96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  <c r="AA473" s="68"/>
      <c r="AB473" s="68"/>
      <c r="AC473" s="68"/>
      <c r="AD473" s="68"/>
    </row>
    <row r="474" ht="14.25" customHeight="1" spans="4:30">
      <c r="D474" s="93"/>
      <c r="E474" s="94"/>
      <c r="F474" s="95"/>
      <c r="G474" s="96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  <c r="AA474" s="68"/>
      <c r="AB474" s="68"/>
      <c r="AC474" s="68"/>
      <c r="AD474" s="68"/>
    </row>
    <row r="475" ht="14.25" customHeight="1" spans="4:30">
      <c r="D475" s="93"/>
      <c r="E475" s="94"/>
      <c r="F475" s="95"/>
      <c r="G475" s="96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  <c r="AA475" s="68"/>
      <c r="AB475" s="68"/>
      <c r="AC475" s="68"/>
      <c r="AD475" s="68"/>
    </row>
    <row r="476" ht="14.25" customHeight="1" spans="4:30">
      <c r="D476" s="93"/>
      <c r="E476" s="94"/>
      <c r="F476" s="95"/>
      <c r="G476" s="96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  <c r="AA476" s="68"/>
      <c r="AB476" s="68"/>
      <c r="AC476" s="68"/>
      <c r="AD476" s="68"/>
    </row>
    <row r="477" ht="14.25" customHeight="1" spans="4:30">
      <c r="D477" s="93"/>
      <c r="E477" s="94"/>
      <c r="F477" s="95"/>
      <c r="G477" s="96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  <c r="AA477" s="68"/>
      <c r="AB477" s="68"/>
      <c r="AC477" s="68"/>
      <c r="AD477" s="68"/>
    </row>
    <row r="478" ht="14.25" customHeight="1" spans="4:30">
      <c r="D478" s="93"/>
      <c r="E478" s="94"/>
      <c r="F478" s="95"/>
      <c r="G478" s="96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  <c r="AA478" s="68"/>
      <c r="AB478" s="68"/>
      <c r="AC478" s="68"/>
      <c r="AD478" s="68"/>
    </row>
    <row r="479" ht="14.25" customHeight="1" spans="4:30">
      <c r="D479" s="93"/>
      <c r="E479" s="94"/>
      <c r="F479" s="95"/>
      <c r="G479" s="96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  <c r="AA479" s="68"/>
      <c r="AB479" s="68"/>
      <c r="AC479" s="68"/>
      <c r="AD479" s="68"/>
    </row>
    <row r="480" ht="14.25" customHeight="1" spans="4:30">
      <c r="D480" s="93"/>
      <c r="E480" s="94"/>
      <c r="F480" s="95"/>
      <c r="G480" s="96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  <c r="AA480" s="68"/>
      <c r="AB480" s="68"/>
      <c r="AC480" s="68"/>
      <c r="AD480" s="68"/>
    </row>
    <row r="481" ht="14.25" customHeight="1" spans="4:30">
      <c r="D481" s="93"/>
      <c r="E481" s="94"/>
      <c r="F481" s="95"/>
      <c r="G481" s="96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  <c r="AA481" s="68"/>
      <c r="AB481" s="68"/>
      <c r="AC481" s="68"/>
      <c r="AD481" s="68"/>
    </row>
    <row r="482" ht="14.25" customHeight="1" spans="4:30">
      <c r="D482" s="93"/>
      <c r="E482" s="94"/>
      <c r="F482" s="95"/>
      <c r="G482" s="96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  <c r="AA482" s="68"/>
      <c r="AB482" s="68"/>
      <c r="AC482" s="68"/>
      <c r="AD482" s="68"/>
    </row>
    <row r="483" ht="14.25" customHeight="1" spans="4:30">
      <c r="D483" s="93"/>
      <c r="E483" s="94"/>
      <c r="F483" s="95"/>
      <c r="G483" s="96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  <c r="AA483" s="68"/>
      <c r="AB483" s="68"/>
      <c r="AC483" s="68"/>
      <c r="AD483" s="68"/>
    </row>
    <row r="484" ht="14.25" customHeight="1" spans="4:30">
      <c r="D484" s="93"/>
      <c r="E484" s="94"/>
      <c r="F484" s="95"/>
      <c r="G484" s="96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  <c r="AA484" s="68"/>
      <c r="AB484" s="68"/>
      <c r="AC484" s="68"/>
      <c r="AD484" s="68"/>
    </row>
    <row r="485" ht="14.25" customHeight="1" spans="4:30">
      <c r="D485" s="93"/>
      <c r="E485" s="94"/>
      <c r="F485" s="95"/>
      <c r="G485" s="96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  <c r="AA485" s="68"/>
      <c r="AB485" s="68"/>
      <c r="AC485" s="68"/>
      <c r="AD485" s="68"/>
    </row>
    <row r="486" ht="14.25" customHeight="1" spans="4:30">
      <c r="D486" s="93"/>
      <c r="E486" s="94"/>
      <c r="F486" s="95"/>
      <c r="G486" s="96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  <c r="AA486" s="68"/>
      <c r="AB486" s="68"/>
      <c r="AC486" s="68"/>
      <c r="AD486" s="68"/>
    </row>
    <row r="487" ht="14.25" customHeight="1" spans="4:30">
      <c r="D487" s="93"/>
      <c r="E487" s="94"/>
      <c r="F487" s="95"/>
      <c r="G487" s="96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  <c r="AA487" s="68"/>
      <c r="AB487" s="68"/>
      <c r="AC487" s="68"/>
      <c r="AD487" s="68"/>
    </row>
    <row r="488" ht="14.25" customHeight="1" spans="4:30">
      <c r="D488" s="93"/>
      <c r="E488" s="94"/>
      <c r="F488" s="95"/>
      <c r="G488" s="96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  <c r="AA488" s="68"/>
      <c r="AB488" s="68"/>
      <c r="AC488" s="68"/>
      <c r="AD488" s="68"/>
    </row>
    <row r="489" ht="14.25" customHeight="1" spans="4:30">
      <c r="D489" s="93"/>
      <c r="E489" s="94"/>
      <c r="F489" s="95"/>
      <c r="G489" s="96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  <c r="AA489" s="68"/>
      <c r="AB489" s="68"/>
      <c r="AC489" s="68"/>
      <c r="AD489" s="68"/>
    </row>
    <row r="490" ht="14.25" customHeight="1" spans="4:30">
      <c r="D490" s="93"/>
      <c r="E490" s="94"/>
      <c r="F490" s="95"/>
      <c r="G490" s="96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  <c r="AA490" s="68"/>
      <c r="AB490" s="68"/>
      <c r="AC490" s="68"/>
      <c r="AD490" s="68"/>
    </row>
    <row r="491" ht="14.25" customHeight="1" spans="4:30">
      <c r="D491" s="93"/>
      <c r="E491" s="94"/>
      <c r="F491" s="95"/>
      <c r="G491" s="96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  <c r="AA491" s="68"/>
      <c r="AB491" s="68"/>
      <c r="AC491" s="68"/>
      <c r="AD491" s="68"/>
    </row>
    <row r="492" ht="14.25" customHeight="1" spans="4:30">
      <c r="D492" s="93"/>
      <c r="E492" s="94"/>
      <c r="F492" s="95"/>
      <c r="G492" s="96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  <c r="AA492" s="68"/>
      <c r="AB492" s="68"/>
      <c r="AC492" s="68"/>
      <c r="AD492" s="68"/>
    </row>
    <row r="493" ht="14.25" customHeight="1" spans="4:30">
      <c r="D493" s="93"/>
      <c r="E493" s="94"/>
      <c r="F493" s="95"/>
      <c r="G493" s="96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  <c r="AA493" s="68"/>
      <c r="AB493" s="68"/>
      <c r="AC493" s="68"/>
      <c r="AD493" s="68"/>
    </row>
    <row r="494" ht="14.25" customHeight="1" spans="4:30">
      <c r="D494" s="93"/>
      <c r="E494" s="94"/>
      <c r="F494" s="95"/>
      <c r="G494" s="96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  <c r="AA494" s="68"/>
      <c r="AB494" s="68"/>
      <c r="AC494" s="68"/>
      <c r="AD494" s="68"/>
    </row>
    <row r="495" ht="14.25" customHeight="1" spans="4:30">
      <c r="D495" s="93"/>
      <c r="E495" s="94"/>
      <c r="F495" s="95"/>
      <c r="G495" s="96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  <c r="AA495" s="68"/>
      <c r="AB495" s="68"/>
      <c r="AC495" s="68"/>
      <c r="AD495" s="68"/>
    </row>
    <row r="496" ht="14.25" customHeight="1" spans="4:30">
      <c r="D496" s="93"/>
      <c r="E496" s="94"/>
      <c r="F496" s="95"/>
      <c r="G496" s="96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  <c r="AA496" s="68"/>
      <c r="AB496" s="68"/>
      <c r="AC496" s="68"/>
      <c r="AD496" s="68"/>
    </row>
    <row r="497" ht="14.25" customHeight="1" spans="4:30">
      <c r="D497" s="93"/>
      <c r="E497" s="94"/>
      <c r="F497" s="95"/>
      <c r="G497" s="96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  <c r="AA497" s="68"/>
      <c r="AB497" s="68"/>
      <c r="AC497" s="68"/>
      <c r="AD497" s="68"/>
    </row>
    <row r="498" ht="14.25" customHeight="1" spans="4:30">
      <c r="D498" s="93"/>
      <c r="E498" s="94"/>
      <c r="F498" s="95"/>
      <c r="G498" s="96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  <c r="AA498" s="68"/>
      <c r="AB498" s="68"/>
      <c r="AC498" s="68"/>
      <c r="AD498" s="68"/>
    </row>
    <row r="499" ht="14.25" customHeight="1" spans="4:30">
      <c r="D499" s="93"/>
      <c r="E499" s="94"/>
      <c r="F499" s="95"/>
      <c r="G499" s="96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  <c r="AA499" s="68"/>
      <c r="AB499" s="68"/>
      <c r="AC499" s="68"/>
      <c r="AD499" s="68"/>
    </row>
    <row r="500" ht="14.25" customHeight="1" spans="4:30">
      <c r="D500" s="93"/>
      <c r="E500" s="94"/>
      <c r="F500" s="95"/>
      <c r="G500" s="96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  <c r="AA500" s="68"/>
      <c r="AB500" s="68"/>
      <c r="AC500" s="68"/>
      <c r="AD500" s="68"/>
    </row>
    <row r="501" ht="14.25" customHeight="1" spans="4:30">
      <c r="D501" s="93"/>
      <c r="E501" s="94"/>
      <c r="F501" s="95"/>
      <c r="G501" s="96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  <c r="AA501" s="68"/>
      <c r="AB501" s="68"/>
      <c r="AC501" s="68"/>
      <c r="AD501" s="68"/>
    </row>
    <row r="502" ht="14.25" customHeight="1" spans="4:30">
      <c r="D502" s="93"/>
      <c r="E502" s="94"/>
      <c r="F502" s="95"/>
      <c r="G502" s="96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  <c r="AA502" s="68"/>
      <c r="AB502" s="68"/>
      <c r="AC502" s="68"/>
      <c r="AD502" s="68"/>
    </row>
    <row r="503" ht="14.25" customHeight="1" spans="4:30">
      <c r="D503" s="93"/>
      <c r="E503" s="94"/>
      <c r="F503" s="95"/>
      <c r="G503" s="96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  <c r="AA503" s="68"/>
      <c r="AB503" s="68"/>
      <c r="AC503" s="68"/>
      <c r="AD503" s="68"/>
    </row>
    <row r="504" ht="14.25" customHeight="1" spans="4:30">
      <c r="D504" s="93"/>
      <c r="E504" s="94"/>
      <c r="F504" s="95"/>
      <c r="G504" s="96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  <c r="AA504" s="68"/>
      <c r="AB504" s="68"/>
      <c r="AC504" s="68"/>
      <c r="AD504" s="68"/>
    </row>
    <row r="505" ht="14.25" customHeight="1" spans="4:30">
      <c r="D505" s="93"/>
      <c r="E505" s="94"/>
      <c r="F505" s="95"/>
      <c r="G505" s="96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  <c r="AA505" s="68"/>
      <c r="AB505" s="68"/>
      <c r="AC505" s="68"/>
      <c r="AD505" s="68"/>
    </row>
    <row r="506" ht="14.25" customHeight="1" spans="4:30">
      <c r="D506" s="93"/>
      <c r="E506" s="94"/>
      <c r="F506" s="95"/>
      <c r="G506" s="96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  <c r="AA506" s="68"/>
      <c r="AB506" s="68"/>
      <c r="AC506" s="68"/>
      <c r="AD506" s="68"/>
    </row>
    <row r="507" ht="14.25" customHeight="1" spans="4:30">
      <c r="D507" s="93"/>
      <c r="E507" s="94"/>
      <c r="F507" s="95"/>
      <c r="G507" s="96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  <c r="AA507" s="68"/>
      <c r="AB507" s="68"/>
      <c r="AC507" s="68"/>
      <c r="AD507" s="68"/>
    </row>
    <row r="508" ht="14.25" customHeight="1" spans="4:30">
      <c r="D508" s="93"/>
      <c r="E508" s="94"/>
      <c r="F508" s="95"/>
      <c r="G508" s="96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  <c r="AA508" s="68"/>
      <c r="AB508" s="68"/>
      <c r="AC508" s="68"/>
      <c r="AD508" s="68"/>
    </row>
    <row r="509" ht="14.25" customHeight="1" spans="4:30">
      <c r="D509" s="93"/>
      <c r="E509" s="94"/>
      <c r="F509" s="95"/>
      <c r="G509" s="96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  <c r="AA509" s="68"/>
      <c r="AB509" s="68"/>
      <c r="AC509" s="68"/>
      <c r="AD509" s="68"/>
    </row>
    <row r="510" ht="14.25" customHeight="1" spans="4:30">
      <c r="D510" s="93"/>
      <c r="E510" s="94"/>
      <c r="F510" s="95"/>
      <c r="G510" s="96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  <c r="AA510" s="68"/>
      <c r="AB510" s="68"/>
      <c r="AC510" s="68"/>
      <c r="AD510" s="68"/>
    </row>
    <row r="511" ht="14.25" customHeight="1" spans="4:30">
      <c r="D511" s="93"/>
      <c r="E511" s="94"/>
      <c r="F511" s="95"/>
      <c r="G511" s="96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  <c r="AA511" s="68"/>
      <c r="AB511" s="68"/>
      <c r="AC511" s="68"/>
      <c r="AD511" s="68"/>
    </row>
    <row r="512" ht="14.25" customHeight="1" spans="4:30">
      <c r="D512" s="93"/>
      <c r="E512" s="94"/>
      <c r="F512" s="95"/>
      <c r="G512" s="96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  <c r="AA512" s="68"/>
      <c r="AB512" s="68"/>
      <c r="AC512" s="68"/>
      <c r="AD512" s="68"/>
    </row>
    <row r="513" ht="14.25" customHeight="1" spans="4:30">
      <c r="D513" s="93"/>
      <c r="E513" s="94"/>
      <c r="F513" s="95"/>
      <c r="G513" s="96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  <c r="AA513" s="68"/>
      <c r="AB513" s="68"/>
      <c r="AC513" s="68"/>
      <c r="AD513" s="68"/>
    </row>
    <row r="514" ht="14.25" customHeight="1" spans="4:30">
      <c r="D514" s="93"/>
      <c r="E514" s="94"/>
      <c r="F514" s="95"/>
      <c r="G514" s="96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  <c r="AA514" s="68"/>
      <c r="AB514" s="68"/>
      <c r="AC514" s="68"/>
      <c r="AD514" s="68"/>
    </row>
    <row r="515" ht="14.25" customHeight="1" spans="4:30">
      <c r="D515" s="93"/>
      <c r="E515" s="94"/>
      <c r="F515" s="95"/>
      <c r="G515" s="96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  <c r="AA515" s="68"/>
      <c r="AB515" s="68"/>
      <c r="AC515" s="68"/>
      <c r="AD515" s="68"/>
    </row>
    <row r="516" ht="14.25" customHeight="1" spans="4:30">
      <c r="D516" s="93"/>
      <c r="E516" s="94"/>
      <c r="F516" s="95"/>
      <c r="G516" s="96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  <c r="AA516" s="68"/>
      <c r="AB516" s="68"/>
      <c r="AC516" s="68"/>
      <c r="AD516" s="68"/>
    </row>
    <row r="517" ht="14.25" customHeight="1" spans="4:30">
      <c r="D517" s="93"/>
      <c r="E517" s="94"/>
      <c r="F517" s="95"/>
      <c r="G517" s="96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  <c r="AA517" s="68"/>
      <c r="AB517" s="68"/>
      <c r="AC517" s="68"/>
      <c r="AD517" s="68"/>
    </row>
    <row r="518" ht="14.25" customHeight="1" spans="4:30">
      <c r="D518" s="93"/>
      <c r="E518" s="94"/>
      <c r="F518" s="95"/>
      <c r="G518" s="96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  <c r="AA518" s="68"/>
      <c r="AB518" s="68"/>
      <c r="AC518" s="68"/>
      <c r="AD518" s="68"/>
    </row>
    <row r="519" ht="14.25" customHeight="1" spans="4:30">
      <c r="D519" s="93"/>
      <c r="E519" s="94"/>
      <c r="F519" s="95"/>
      <c r="G519" s="96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  <c r="AA519" s="68"/>
      <c r="AB519" s="68"/>
      <c r="AC519" s="68"/>
      <c r="AD519" s="68"/>
    </row>
    <row r="520" ht="14.25" customHeight="1" spans="4:30">
      <c r="D520" s="93"/>
      <c r="E520" s="94"/>
      <c r="F520" s="95"/>
      <c r="G520" s="96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  <c r="AA520" s="68"/>
      <c r="AB520" s="68"/>
      <c r="AC520" s="68"/>
      <c r="AD520" s="68"/>
    </row>
    <row r="521" ht="14.25" customHeight="1" spans="4:30">
      <c r="D521" s="93"/>
      <c r="E521" s="94"/>
      <c r="F521" s="95"/>
      <c r="G521" s="96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  <c r="AA521" s="68"/>
      <c r="AB521" s="68"/>
      <c r="AC521" s="68"/>
      <c r="AD521" s="68"/>
    </row>
    <row r="522" ht="14.25" customHeight="1" spans="4:30">
      <c r="D522" s="93"/>
      <c r="E522" s="94"/>
      <c r="F522" s="95"/>
      <c r="G522" s="96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  <c r="AA522" s="68"/>
      <c r="AB522" s="68"/>
      <c r="AC522" s="68"/>
      <c r="AD522" s="68"/>
    </row>
    <row r="523" ht="14.25" customHeight="1" spans="4:30">
      <c r="D523" s="93"/>
      <c r="E523" s="94"/>
      <c r="F523" s="95"/>
      <c r="G523" s="96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  <c r="AA523" s="68"/>
      <c r="AB523" s="68"/>
      <c r="AC523" s="68"/>
      <c r="AD523" s="68"/>
    </row>
    <row r="524" ht="14.25" customHeight="1" spans="4:30">
      <c r="D524" s="93"/>
      <c r="E524" s="94"/>
      <c r="F524" s="95"/>
      <c r="G524" s="96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  <c r="AA524" s="68"/>
      <c r="AB524" s="68"/>
      <c r="AC524" s="68"/>
      <c r="AD524" s="68"/>
    </row>
    <row r="525" ht="14.25" customHeight="1" spans="4:30">
      <c r="D525" s="93"/>
      <c r="E525" s="94"/>
      <c r="F525" s="95"/>
      <c r="G525" s="96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  <c r="AA525" s="68"/>
      <c r="AB525" s="68"/>
      <c r="AC525" s="68"/>
      <c r="AD525" s="68"/>
    </row>
    <row r="526" ht="14.25" customHeight="1" spans="4:30">
      <c r="D526" s="93"/>
      <c r="E526" s="94"/>
      <c r="F526" s="95"/>
      <c r="G526" s="96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  <c r="AA526" s="68"/>
      <c r="AB526" s="68"/>
      <c r="AC526" s="68"/>
      <c r="AD526" s="68"/>
    </row>
    <row r="527" ht="14.25" customHeight="1" spans="4:30">
      <c r="D527" s="93"/>
      <c r="E527" s="94"/>
      <c r="F527" s="95"/>
      <c r="G527" s="96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  <c r="AA527" s="68"/>
      <c r="AB527" s="68"/>
      <c r="AC527" s="68"/>
      <c r="AD527" s="68"/>
    </row>
    <row r="528" ht="14.25" customHeight="1" spans="4:30">
      <c r="D528" s="93"/>
      <c r="E528" s="94"/>
      <c r="F528" s="95"/>
      <c r="G528" s="96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  <c r="AA528" s="68"/>
      <c r="AB528" s="68"/>
      <c r="AC528" s="68"/>
      <c r="AD528" s="68"/>
    </row>
    <row r="529" ht="14.25" customHeight="1" spans="4:30">
      <c r="D529" s="93"/>
      <c r="E529" s="94"/>
      <c r="F529" s="95"/>
      <c r="G529" s="96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  <c r="AA529" s="68"/>
      <c r="AB529" s="68"/>
      <c r="AC529" s="68"/>
      <c r="AD529" s="68"/>
    </row>
    <row r="530" ht="14.25" customHeight="1" spans="4:30">
      <c r="D530" s="93"/>
      <c r="E530" s="94"/>
      <c r="F530" s="95"/>
      <c r="G530" s="96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  <c r="AA530" s="68"/>
      <c r="AB530" s="68"/>
      <c r="AC530" s="68"/>
      <c r="AD530" s="68"/>
    </row>
    <row r="531" ht="14.25" customHeight="1" spans="4:30">
      <c r="D531" s="93"/>
      <c r="E531" s="94"/>
      <c r="F531" s="95"/>
      <c r="G531" s="96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  <c r="AA531" s="68"/>
      <c r="AB531" s="68"/>
      <c r="AC531" s="68"/>
      <c r="AD531" s="68"/>
    </row>
    <row r="532" ht="14.25" customHeight="1" spans="4:30">
      <c r="D532" s="93"/>
      <c r="E532" s="94"/>
      <c r="F532" s="95"/>
      <c r="G532" s="96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  <c r="AA532" s="68"/>
      <c r="AB532" s="68"/>
      <c r="AC532" s="68"/>
      <c r="AD532" s="68"/>
    </row>
    <row r="533" ht="14.25" customHeight="1" spans="4:30">
      <c r="D533" s="93"/>
      <c r="E533" s="94"/>
      <c r="F533" s="95"/>
      <c r="G533" s="96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  <c r="AA533" s="68"/>
      <c r="AB533" s="68"/>
      <c r="AC533" s="68"/>
      <c r="AD533" s="68"/>
    </row>
    <row r="534" ht="14.25" customHeight="1" spans="4:30">
      <c r="D534" s="93"/>
      <c r="E534" s="94"/>
      <c r="F534" s="95"/>
      <c r="G534" s="96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  <c r="AA534" s="68"/>
      <c r="AB534" s="68"/>
      <c r="AC534" s="68"/>
      <c r="AD534" s="68"/>
    </row>
    <row r="535" ht="14.25" customHeight="1" spans="4:30">
      <c r="D535" s="93"/>
      <c r="E535" s="94"/>
      <c r="F535" s="95"/>
      <c r="G535" s="96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  <c r="AA535" s="68"/>
      <c r="AB535" s="68"/>
      <c r="AC535" s="68"/>
      <c r="AD535" s="68"/>
    </row>
    <row r="536" ht="14.25" customHeight="1" spans="4:30">
      <c r="D536" s="93"/>
      <c r="E536" s="94"/>
      <c r="F536" s="95"/>
      <c r="G536" s="96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  <c r="AA536" s="68"/>
      <c r="AB536" s="68"/>
      <c r="AC536" s="68"/>
      <c r="AD536" s="68"/>
    </row>
    <row r="537" ht="14.25" customHeight="1" spans="4:30">
      <c r="D537" s="93"/>
      <c r="E537" s="94"/>
      <c r="F537" s="95"/>
      <c r="G537" s="96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  <c r="AA537" s="68"/>
      <c r="AB537" s="68"/>
      <c r="AC537" s="68"/>
      <c r="AD537" s="68"/>
    </row>
    <row r="538" ht="14.25" customHeight="1" spans="4:30">
      <c r="D538" s="93"/>
      <c r="E538" s="94"/>
      <c r="F538" s="95"/>
      <c r="G538" s="96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  <c r="AA538" s="68"/>
      <c r="AB538" s="68"/>
      <c r="AC538" s="68"/>
      <c r="AD538" s="68"/>
    </row>
    <row r="539" ht="14.25" customHeight="1" spans="4:30">
      <c r="D539" s="93"/>
      <c r="E539" s="94"/>
      <c r="F539" s="95"/>
      <c r="G539" s="96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  <c r="AA539" s="68"/>
      <c r="AB539" s="68"/>
      <c r="AC539" s="68"/>
      <c r="AD539" s="68"/>
    </row>
    <row r="540" ht="14.25" customHeight="1" spans="4:30">
      <c r="D540" s="93"/>
      <c r="E540" s="94"/>
      <c r="F540" s="95"/>
      <c r="G540" s="96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  <c r="AA540" s="68"/>
      <c r="AB540" s="68"/>
      <c r="AC540" s="68"/>
      <c r="AD540" s="68"/>
    </row>
    <row r="541" ht="14.25" customHeight="1" spans="4:30">
      <c r="D541" s="93"/>
      <c r="E541" s="94"/>
      <c r="F541" s="95"/>
      <c r="G541" s="96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  <c r="AA541" s="68"/>
      <c r="AB541" s="68"/>
      <c r="AC541" s="68"/>
      <c r="AD541" s="68"/>
    </row>
    <row r="542" ht="14.25" customHeight="1" spans="4:30">
      <c r="D542" s="93"/>
      <c r="E542" s="94"/>
      <c r="F542" s="95"/>
      <c r="G542" s="96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  <c r="AA542" s="68"/>
      <c r="AB542" s="68"/>
      <c r="AC542" s="68"/>
      <c r="AD542" s="68"/>
    </row>
    <row r="543" ht="14.25" customHeight="1" spans="4:30">
      <c r="D543" s="93"/>
      <c r="E543" s="94"/>
      <c r="F543" s="95"/>
      <c r="G543" s="96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  <c r="AA543" s="68"/>
      <c r="AB543" s="68"/>
      <c r="AC543" s="68"/>
      <c r="AD543" s="68"/>
    </row>
    <row r="544" ht="14.25" customHeight="1" spans="4:30">
      <c r="D544" s="93"/>
      <c r="E544" s="94"/>
      <c r="F544" s="95"/>
      <c r="G544" s="96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  <c r="AA544" s="68"/>
      <c r="AB544" s="68"/>
      <c r="AC544" s="68"/>
      <c r="AD544" s="68"/>
    </row>
    <row r="545" ht="14.25" customHeight="1" spans="4:30">
      <c r="D545" s="93"/>
      <c r="E545" s="94"/>
      <c r="F545" s="95"/>
      <c r="G545" s="96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  <c r="AA545" s="68"/>
      <c r="AB545" s="68"/>
      <c r="AC545" s="68"/>
      <c r="AD545" s="68"/>
    </row>
    <row r="546" ht="14.25" customHeight="1" spans="4:30">
      <c r="D546" s="93"/>
      <c r="E546" s="94"/>
      <c r="F546" s="95"/>
      <c r="G546" s="96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  <c r="AA546" s="68"/>
      <c r="AB546" s="68"/>
      <c r="AC546" s="68"/>
      <c r="AD546" s="68"/>
    </row>
    <row r="547" ht="14.25" customHeight="1" spans="4:30">
      <c r="D547" s="93"/>
      <c r="E547" s="94"/>
      <c r="F547" s="95"/>
      <c r="G547" s="96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  <c r="AA547" s="68"/>
      <c r="AB547" s="68"/>
      <c r="AC547" s="68"/>
      <c r="AD547" s="68"/>
    </row>
    <row r="548" ht="14.25" customHeight="1" spans="4:30">
      <c r="D548" s="93"/>
      <c r="E548" s="94"/>
      <c r="F548" s="95"/>
      <c r="G548" s="96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  <c r="AA548" s="68"/>
      <c r="AB548" s="68"/>
      <c r="AC548" s="68"/>
      <c r="AD548" s="68"/>
    </row>
    <row r="549" ht="14.25" customHeight="1" spans="4:30">
      <c r="D549" s="93"/>
      <c r="E549" s="94"/>
      <c r="F549" s="95"/>
      <c r="G549" s="96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  <c r="AA549" s="68"/>
      <c r="AB549" s="68"/>
      <c r="AC549" s="68"/>
      <c r="AD549" s="68"/>
    </row>
    <row r="550" ht="14.25" customHeight="1" spans="4:30">
      <c r="D550" s="93"/>
      <c r="E550" s="94"/>
      <c r="F550" s="95"/>
      <c r="G550" s="96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  <c r="AA550" s="68"/>
      <c r="AB550" s="68"/>
      <c r="AC550" s="68"/>
      <c r="AD550" s="68"/>
    </row>
    <row r="551" ht="14.25" customHeight="1" spans="4:30">
      <c r="D551" s="93"/>
      <c r="E551" s="94"/>
      <c r="F551" s="95"/>
      <c r="G551" s="96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  <c r="AA551" s="68"/>
      <c r="AB551" s="68"/>
      <c r="AC551" s="68"/>
      <c r="AD551" s="68"/>
    </row>
    <row r="552" ht="14.25" customHeight="1" spans="4:30">
      <c r="D552" s="93"/>
      <c r="E552" s="94"/>
      <c r="F552" s="95"/>
      <c r="G552" s="96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  <c r="AA552" s="68"/>
      <c r="AB552" s="68"/>
      <c r="AC552" s="68"/>
      <c r="AD552" s="68"/>
    </row>
    <row r="553" ht="14.25" customHeight="1" spans="4:30">
      <c r="D553" s="93"/>
      <c r="E553" s="94"/>
      <c r="F553" s="95"/>
      <c r="G553" s="96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  <c r="AA553" s="68"/>
      <c r="AB553" s="68"/>
      <c r="AC553" s="68"/>
      <c r="AD553" s="68"/>
    </row>
    <row r="554" ht="14.25" customHeight="1" spans="4:30">
      <c r="D554" s="93"/>
      <c r="E554" s="94"/>
      <c r="F554" s="95"/>
      <c r="G554" s="96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  <c r="AA554" s="68"/>
      <c r="AB554" s="68"/>
      <c r="AC554" s="68"/>
      <c r="AD554" s="68"/>
    </row>
    <row r="555" ht="14.25" customHeight="1" spans="4:30">
      <c r="D555" s="93"/>
      <c r="E555" s="94"/>
      <c r="F555" s="95"/>
      <c r="G555" s="96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  <c r="AA555" s="68"/>
      <c r="AB555" s="68"/>
      <c r="AC555" s="68"/>
      <c r="AD555" s="68"/>
    </row>
    <row r="556" ht="14.25" customHeight="1" spans="4:30">
      <c r="D556" s="93"/>
      <c r="E556" s="94"/>
      <c r="F556" s="95"/>
      <c r="G556" s="96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  <c r="AA556" s="68"/>
      <c r="AB556" s="68"/>
      <c r="AC556" s="68"/>
      <c r="AD556" s="68"/>
    </row>
    <row r="557" ht="14.25" customHeight="1" spans="4:30">
      <c r="D557" s="93"/>
      <c r="E557" s="94"/>
      <c r="F557" s="95"/>
      <c r="G557" s="96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  <c r="AA557" s="68"/>
      <c r="AB557" s="68"/>
      <c r="AC557" s="68"/>
      <c r="AD557" s="68"/>
    </row>
    <row r="558" ht="14.25" customHeight="1" spans="4:30">
      <c r="D558" s="93"/>
      <c r="E558" s="94"/>
      <c r="F558" s="95"/>
      <c r="G558" s="96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  <c r="AA558" s="68"/>
      <c r="AB558" s="68"/>
      <c r="AC558" s="68"/>
      <c r="AD558" s="68"/>
    </row>
    <row r="559" ht="14.25" customHeight="1" spans="4:30">
      <c r="D559" s="93"/>
      <c r="E559" s="94"/>
      <c r="F559" s="95"/>
      <c r="G559" s="96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  <c r="AA559" s="68"/>
      <c r="AB559" s="68"/>
      <c r="AC559" s="68"/>
      <c r="AD559" s="68"/>
    </row>
    <row r="560" ht="14.25" customHeight="1" spans="4:30">
      <c r="D560" s="93"/>
      <c r="E560" s="94"/>
      <c r="F560" s="95"/>
      <c r="G560" s="96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  <c r="AA560" s="68"/>
      <c r="AB560" s="68"/>
      <c r="AC560" s="68"/>
      <c r="AD560" s="68"/>
    </row>
    <row r="561" ht="14.25" customHeight="1" spans="4:30">
      <c r="D561" s="93"/>
      <c r="E561" s="94"/>
      <c r="F561" s="95"/>
      <c r="G561" s="96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  <c r="AA561" s="68"/>
      <c r="AB561" s="68"/>
      <c r="AC561" s="68"/>
      <c r="AD561" s="68"/>
    </row>
    <row r="562" ht="14.25" customHeight="1" spans="4:30">
      <c r="D562" s="93"/>
      <c r="E562" s="94"/>
      <c r="F562" s="95"/>
      <c r="G562" s="96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  <c r="AA562" s="68"/>
      <c r="AB562" s="68"/>
      <c r="AC562" s="68"/>
      <c r="AD562" s="68"/>
    </row>
    <row r="563" ht="14.25" customHeight="1" spans="4:30">
      <c r="D563" s="93"/>
      <c r="E563" s="94"/>
      <c r="F563" s="95"/>
      <c r="G563" s="96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  <c r="AA563" s="68"/>
      <c r="AB563" s="68"/>
      <c r="AC563" s="68"/>
      <c r="AD563" s="68"/>
    </row>
    <row r="564" ht="14.25" customHeight="1" spans="4:30">
      <c r="D564" s="93"/>
      <c r="E564" s="94"/>
      <c r="F564" s="95"/>
      <c r="G564" s="96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  <c r="AA564" s="68"/>
      <c r="AB564" s="68"/>
      <c r="AC564" s="68"/>
      <c r="AD564" s="68"/>
    </row>
    <row r="565" ht="14.25" customHeight="1" spans="4:30">
      <c r="D565" s="93"/>
      <c r="E565" s="94"/>
      <c r="F565" s="95"/>
      <c r="G565" s="96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  <c r="AA565" s="68"/>
      <c r="AB565" s="68"/>
      <c r="AC565" s="68"/>
      <c r="AD565" s="68"/>
    </row>
    <row r="566" ht="14.25" customHeight="1" spans="4:30">
      <c r="D566" s="93"/>
      <c r="E566" s="94"/>
      <c r="F566" s="95"/>
      <c r="G566" s="96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  <c r="AA566" s="68"/>
      <c r="AB566" s="68"/>
      <c r="AC566" s="68"/>
      <c r="AD566" s="68"/>
    </row>
    <row r="567" ht="14.25" customHeight="1" spans="4:30">
      <c r="D567" s="93"/>
      <c r="E567" s="94"/>
      <c r="F567" s="95"/>
      <c r="G567" s="96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  <c r="AA567" s="68"/>
      <c r="AB567" s="68"/>
      <c r="AC567" s="68"/>
      <c r="AD567" s="68"/>
    </row>
    <row r="568" ht="14.25" customHeight="1" spans="4:30">
      <c r="D568" s="93"/>
      <c r="E568" s="94"/>
      <c r="F568" s="95"/>
      <c r="G568" s="96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  <c r="AA568" s="68"/>
      <c r="AB568" s="68"/>
      <c r="AC568" s="68"/>
      <c r="AD568" s="68"/>
    </row>
    <row r="569" ht="14.25" customHeight="1" spans="4:30">
      <c r="D569" s="93"/>
      <c r="E569" s="94"/>
      <c r="F569" s="95"/>
      <c r="G569" s="96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  <c r="AA569" s="68"/>
      <c r="AB569" s="68"/>
      <c r="AC569" s="68"/>
      <c r="AD569" s="68"/>
    </row>
    <row r="570" ht="14.25" customHeight="1" spans="4:30">
      <c r="D570" s="93"/>
      <c r="E570" s="94"/>
      <c r="F570" s="95"/>
      <c r="G570" s="96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  <c r="AA570" s="68"/>
      <c r="AB570" s="68"/>
      <c r="AC570" s="68"/>
      <c r="AD570" s="68"/>
    </row>
    <row r="571" ht="14.25" customHeight="1" spans="4:30">
      <c r="D571" s="93"/>
      <c r="E571" s="94"/>
      <c r="F571" s="95"/>
      <c r="G571" s="96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  <c r="AA571" s="68"/>
      <c r="AB571" s="68"/>
      <c r="AC571" s="68"/>
      <c r="AD571" s="68"/>
    </row>
    <row r="572" ht="14.25" customHeight="1" spans="4:30">
      <c r="D572" s="93"/>
      <c r="E572" s="94"/>
      <c r="F572" s="95"/>
      <c r="G572" s="96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  <c r="AA572" s="68"/>
      <c r="AB572" s="68"/>
      <c r="AC572" s="68"/>
      <c r="AD572" s="68"/>
    </row>
    <row r="573" ht="14.25" customHeight="1" spans="4:30">
      <c r="D573" s="93"/>
      <c r="E573" s="94"/>
      <c r="F573" s="95"/>
      <c r="G573" s="96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  <c r="AA573" s="68"/>
      <c r="AB573" s="68"/>
      <c r="AC573" s="68"/>
      <c r="AD573" s="68"/>
    </row>
    <row r="574" ht="14.25" customHeight="1" spans="4:30">
      <c r="D574" s="93"/>
      <c r="E574" s="94"/>
      <c r="F574" s="95"/>
      <c r="G574" s="96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  <c r="AA574" s="68"/>
      <c r="AB574" s="68"/>
      <c r="AC574" s="68"/>
      <c r="AD574" s="68"/>
    </row>
    <row r="575" ht="14.25" customHeight="1" spans="4:30">
      <c r="D575" s="93"/>
      <c r="E575" s="94"/>
      <c r="F575" s="95"/>
      <c r="G575" s="96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  <c r="AA575" s="68"/>
      <c r="AB575" s="68"/>
      <c r="AC575" s="68"/>
      <c r="AD575" s="68"/>
    </row>
    <row r="576" ht="14.25" customHeight="1" spans="4:30">
      <c r="D576" s="93"/>
      <c r="E576" s="94"/>
      <c r="F576" s="95"/>
      <c r="G576" s="96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  <c r="AA576" s="68"/>
      <c r="AB576" s="68"/>
      <c r="AC576" s="68"/>
      <c r="AD576" s="68"/>
    </row>
    <row r="577" ht="14.25" customHeight="1" spans="4:30">
      <c r="D577" s="93"/>
      <c r="E577" s="94"/>
      <c r="F577" s="95"/>
      <c r="G577" s="96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  <c r="AA577" s="68"/>
      <c r="AB577" s="68"/>
      <c r="AC577" s="68"/>
      <c r="AD577" s="68"/>
    </row>
    <row r="578" ht="14.25" customHeight="1" spans="4:30">
      <c r="D578" s="93"/>
      <c r="E578" s="94"/>
      <c r="F578" s="95"/>
      <c r="G578" s="96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  <c r="AA578" s="68"/>
      <c r="AB578" s="68"/>
      <c r="AC578" s="68"/>
      <c r="AD578" s="68"/>
    </row>
    <row r="579" ht="14.25" customHeight="1" spans="4:30">
      <c r="D579" s="93"/>
      <c r="E579" s="94"/>
      <c r="F579" s="95"/>
      <c r="G579" s="96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  <c r="AA579" s="68"/>
      <c r="AB579" s="68"/>
      <c r="AC579" s="68"/>
      <c r="AD579" s="68"/>
    </row>
    <row r="580" ht="14.25" customHeight="1" spans="4:30">
      <c r="D580" s="93"/>
      <c r="E580" s="94"/>
      <c r="F580" s="95"/>
      <c r="G580" s="96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  <c r="AA580" s="68"/>
      <c r="AB580" s="68"/>
      <c r="AC580" s="68"/>
      <c r="AD580" s="68"/>
    </row>
    <row r="581" ht="14.25" customHeight="1" spans="4:30">
      <c r="D581" s="93"/>
      <c r="E581" s="94"/>
      <c r="F581" s="95"/>
      <c r="G581" s="96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  <c r="AA581" s="68"/>
      <c r="AB581" s="68"/>
      <c r="AC581" s="68"/>
      <c r="AD581" s="68"/>
    </row>
    <row r="582" ht="14.25" customHeight="1" spans="4:30">
      <c r="D582" s="93"/>
      <c r="E582" s="94"/>
      <c r="F582" s="95"/>
      <c r="G582" s="96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  <c r="AA582" s="68"/>
      <c r="AB582" s="68"/>
      <c r="AC582" s="68"/>
      <c r="AD582" s="68"/>
    </row>
    <row r="583" ht="14.25" customHeight="1" spans="4:30">
      <c r="D583" s="93"/>
      <c r="E583" s="94"/>
      <c r="F583" s="95"/>
      <c r="G583" s="96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  <c r="AA583" s="68"/>
      <c r="AB583" s="68"/>
      <c r="AC583" s="68"/>
      <c r="AD583" s="68"/>
    </row>
    <row r="584" ht="14.25" customHeight="1" spans="4:30">
      <c r="D584" s="93"/>
      <c r="E584" s="94"/>
      <c r="F584" s="95"/>
      <c r="G584" s="96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  <c r="AA584" s="68"/>
      <c r="AB584" s="68"/>
      <c r="AC584" s="68"/>
      <c r="AD584" s="68"/>
    </row>
    <row r="585" ht="14.25" customHeight="1" spans="4:30">
      <c r="D585" s="93"/>
      <c r="E585" s="94"/>
      <c r="F585" s="95"/>
      <c r="G585" s="96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  <c r="AA585" s="68"/>
      <c r="AB585" s="68"/>
      <c r="AC585" s="68"/>
      <c r="AD585" s="68"/>
    </row>
    <row r="586" ht="14.25" customHeight="1" spans="4:30">
      <c r="D586" s="93"/>
      <c r="E586" s="94"/>
      <c r="F586" s="95"/>
      <c r="G586" s="96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  <c r="AA586" s="68"/>
      <c r="AB586" s="68"/>
      <c r="AC586" s="68"/>
      <c r="AD586" s="68"/>
    </row>
    <row r="587" ht="14.25" customHeight="1" spans="4:30">
      <c r="D587" s="93"/>
      <c r="E587" s="94"/>
      <c r="F587" s="95"/>
      <c r="G587" s="96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  <c r="AA587" s="68"/>
      <c r="AB587" s="68"/>
      <c r="AC587" s="68"/>
      <c r="AD587" s="68"/>
    </row>
    <row r="588" ht="14.25" customHeight="1" spans="4:30">
      <c r="D588" s="93"/>
      <c r="E588" s="94"/>
      <c r="F588" s="95"/>
      <c r="G588" s="96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  <c r="AA588" s="68"/>
      <c r="AB588" s="68"/>
      <c r="AC588" s="68"/>
      <c r="AD588" s="68"/>
    </row>
    <row r="589" ht="14.25" customHeight="1" spans="4:30">
      <c r="D589" s="93"/>
      <c r="E589" s="94"/>
      <c r="F589" s="95"/>
      <c r="G589" s="96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  <c r="AA589" s="68"/>
      <c r="AB589" s="68"/>
      <c r="AC589" s="68"/>
      <c r="AD589" s="68"/>
    </row>
    <row r="590" ht="14.25" customHeight="1" spans="4:30">
      <c r="D590" s="93"/>
      <c r="E590" s="94"/>
      <c r="F590" s="95"/>
      <c r="G590" s="96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  <c r="AA590" s="68"/>
      <c r="AB590" s="68"/>
      <c r="AC590" s="68"/>
      <c r="AD590" s="68"/>
    </row>
    <row r="591" ht="14.25" customHeight="1" spans="4:30">
      <c r="D591" s="93"/>
      <c r="E591" s="94"/>
      <c r="F591" s="95"/>
      <c r="G591" s="96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  <c r="AA591" s="68"/>
      <c r="AB591" s="68"/>
      <c r="AC591" s="68"/>
      <c r="AD591" s="68"/>
    </row>
    <row r="592" ht="14.25" customHeight="1" spans="4:30">
      <c r="D592" s="93"/>
      <c r="E592" s="94"/>
      <c r="F592" s="95"/>
      <c r="G592" s="96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  <c r="AA592" s="68"/>
      <c r="AB592" s="68"/>
      <c r="AC592" s="68"/>
      <c r="AD592" s="68"/>
    </row>
    <row r="593" ht="14.25" customHeight="1" spans="4:30">
      <c r="D593" s="93"/>
      <c r="E593" s="94"/>
      <c r="F593" s="95"/>
      <c r="G593" s="96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  <c r="AA593" s="68"/>
      <c r="AB593" s="68"/>
      <c r="AC593" s="68"/>
      <c r="AD593" s="68"/>
    </row>
    <row r="594" ht="14.25" customHeight="1" spans="4:30">
      <c r="D594" s="93"/>
      <c r="E594" s="94"/>
      <c r="F594" s="95"/>
      <c r="G594" s="96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  <c r="AA594" s="68"/>
      <c r="AB594" s="68"/>
      <c r="AC594" s="68"/>
      <c r="AD594" s="68"/>
    </row>
    <row r="595" ht="14.25" customHeight="1" spans="4:30">
      <c r="D595" s="93"/>
      <c r="E595" s="94"/>
      <c r="F595" s="95"/>
      <c r="G595" s="96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  <c r="AA595" s="68"/>
      <c r="AB595" s="68"/>
      <c r="AC595" s="68"/>
      <c r="AD595" s="68"/>
    </row>
    <row r="596" ht="14.25" customHeight="1" spans="4:30">
      <c r="D596" s="93"/>
      <c r="E596" s="94"/>
      <c r="F596" s="95"/>
      <c r="G596" s="96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  <c r="AA596" s="68"/>
      <c r="AB596" s="68"/>
      <c r="AC596" s="68"/>
      <c r="AD596" s="68"/>
    </row>
    <row r="597" ht="14.25" customHeight="1" spans="4:30">
      <c r="D597" s="93"/>
      <c r="E597" s="94"/>
      <c r="F597" s="95"/>
      <c r="G597" s="96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  <c r="AA597" s="68"/>
      <c r="AB597" s="68"/>
      <c r="AC597" s="68"/>
      <c r="AD597" s="68"/>
    </row>
    <row r="598" ht="14.25" customHeight="1" spans="4:30">
      <c r="D598" s="93"/>
      <c r="E598" s="94"/>
      <c r="F598" s="95"/>
      <c r="G598" s="96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  <c r="AA598" s="68"/>
      <c r="AB598" s="68"/>
      <c r="AC598" s="68"/>
      <c r="AD598" s="68"/>
    </row>
    <row r="599" ht="14.25" customHeight="1" spans="4:30">
      <c r="D599" s="93"/>
      <c r="E599" s="94"/>
      <c r="F599" s="95"/>
      <c r="G599" s="96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  <c r="AA599" s="68"/>
      <c r="AB599" s="68"/>
      <c r="AC599" s="68"/>
      <c r="AD599" s="68"/>
    </row>
    <row r="600" ht="14.25" customHeight="1" spans="4:30">
      <c r="D600" s="93"/>
      <c r="E600" s="94"/>
      <c r="F600" s="95"/>
      <c r="G600" s="96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  <c r="AA600" s="68"/>
      <c r="AB600" s="68"/>
      <c r="AC600" s="68"/>
      <c r="AD600" s="68"/>
    </row>
    <row r="601" ht="14.25" customHeight="1" spans="4:30">
      <c r="D601" s="93"/>
      <c r="E601" s="94"/>
      <c r="F601" s="95"/>
      <c r="G601" s="96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  <c r="AA601" s="68"/>
      <c r="AB601" s="68"/>
      <c r="AC601" s="68"/>
      <c r="AD601" s="68"/>
    </row>
    <row r="602" ht="14.25" customHeight="1" spans="4:30">
      <c r="D602" s="93"/>
      <c r="E602" s="94"/>
      <c r="F602" s="95"/>
      <c r="G602" s="96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  <c r="AA602" s="68"/>
      <c r="AB602" s="68"/>
      <c r="AC602" s="68"/>
      <c r="AD602" s="68"/>
    </row>
    <row r="603" ht="14.25" customHeight="1" spans="4:30">
      <c r="D603" s="93"/>
      <c r="E603" s="94"/>
      <c r="F603" s="95"/>
      <c r="G603" s="96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  <c r="AA603" s="68"/>
      <c r="AB603" s="68"/>
      <c r="AC603" s="68"/>
      <c r="AD603" s="68"/>
    </row>
    <row r="604" ht="14.25" customHeight="1" spans="4:30">
      <c r="D604" s="93"/>
      <c r="E604" s="94"/>
      <c r="F604" s="95"/>
      <c r="G604" s="96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  <c r="AA604" s="68"/>
      <c r="AB604" s="68"/>
      <c r="AC604" s="68"/>
      <c r="AD604" s="68"/>
    </row>
    <row r="605" ht="14.25" customHeight="1" spans="4:30">
      <c r="D605" s="93"/>
      <c r="E605" s="94"/>
      <c r="F605" s="95"/>
      <c r="G605" s="96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  <c r="AA605" s="68"/>
      <c r="AB605" s="68"/>
      <c r="AC605" s="68"/>
      <c r="AD605" s="68"/>
    </row>
    <row r="606" ht="14.25" customHeight="1" spans="4:30">
      <c r="D606" s="93"/>
      <c r="E606" s="94"/>
      <c r="F606" s="95"/>
      <c r="G606" s="96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  <c r="AA606" s="68"/>
      <c r="AB606" s="68"/>
      <c r="AC606" s="68"/>
      <c r="AD606" s="68"/>
    </row>
    <row r="607" ht="14.25" customHeight="1" spans="4:30">
      <c r="D607" s="93"/>
      <c r="E607" s="94"/>
      <c r="F607" s="95"/>
      <c r="G607" s="96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  <c r="AA607" s="68"/>
      <c r="AB607" s="68"/>
      <c r="AC607" s="68"/>
      <c r="AD607" s="68"/>
    </row>
    <row r="608" ht="14.25" customHeight="1" spans="4:30">
      <c r="D608" s="93"/>
      <c r="E608" s="94"/>
      <c r="F608" s="95"/>
      <c r="G608" s="96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  <c r="AA608" s="68"/>
      <c r="AB608" s="68"/>
      <c r="AC608" s="68"/>
      <c r="AD608" s="68"/>
    </row>
    <row r="609" ht="14.25" customHeight="1" spans="4:30">
      <c r="D609" s="93"/>
      <c r="E609" s="94"/>
      <c r="F609" s="95"/>
      <c r="G609" s="96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  <c r="AA609" s="68"/>
      <c r="AB609" s="68"/>
      <c r="AC609" s="68"/>
      <c r="AD609" s="68"/>
    </row>
    <row r="610" ht="14.25" customHeight="1" spans="4:30">
      <c r="D610" s="93"/>
      <c r="E610" s="94"/>
      <c r="F610" s="95"/>
      <c r="G610" s="96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  <c r="AA610" s="68"/>
      <c r="AB610" s="68"/>
      <c r="AC610" s="68"/>
      <c r="AD610" s="68"/>
    </row>
    <row r="611" ht="14.25" customHeight="1" spans="4:30">
      <c r="D611" s="93"/>
      <c r="E611" s="94"/>
      <c r="F611" s="95"/>
      <c r="G611" s="96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  <c r="AA611" s="68"/>
      <c r="AB611" s="68"/>
      <c r="AC611" s="68"/>
      <c r="AD611" s="68"/>
    </row>
    <row r="612" ht="14.25" customHeight="1" spans="4:30">
      <c r="D612" s="93"/>
      <c r="E612" s="94"/>
      <c r="F612" s="95"/>
      <c r="G612" s="96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  <c r="AA612" s="68"/>
      <c r="AB612" s="68"/>
      <c r="AC612" s="68"/>
      <c r="AD612" s="68"/>
    </row>
    <row r="613" ht="14.25" customHeight="1" spans="4:30">
      <c r="D613" s="93"/>
      <c r="E613" s="94"/>
      <c r="F613" s="95"/>
      <c r="G613" s="96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  <c r="AA613" s="68"/>
      <c r="AB613" s="68"/>
      <c r="AC613" s="68"/>
      <c r="AD613" s="68"/>
    </row>
    <row r="614" ht="14.25" customHeight="1" spans="4:30">
      <c r="D614" s="93"/>
      <c r="E614" s="94"/>
      <c r="F614" s="95"/>
      <c r="G614" s="96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  <c r="AA614" s="68"/>
      <c r="AB614" s="68"/>
      <c r="AC614" s="68"/>
      <c r="AD614" s="68"/>
    </row>
    <row r="615" ht="14.25" customHeight="1" spans="4:30">
      <c r="D615" s="93"/>
      <c r="E615" s="94"/>
      <c r="F615" s="95"/>
      <c r="G615" s="96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  <c r="AA615" s="68"/>
      <c r="AB615" s="68"/>
      <c r="AC615" s="68"/>
      <c r="AD615" s="68"/>
    </row>
    <row r="616" ht="14.25" customHeight="1" spans="4:30">
      <c r="D616" s="93"/>
      <c r="E616" s="94"/>
      <c r="F616" s="95"/>
      <c r="G616" s="96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  <c r="AA616" s="68"/>
      <c r="AB616" s="68"/>
      <c r="AC616" s="68"/>
      <c r="AD616" s="68"/>
    </row>
    <row r="617" ht="14.25" customHeight="1" spans="4:30">
      <c r="D617" s="93"/>
      <c r="E617" s="94"/>
      <c r="F617" s="95"/>
      <c r="G617" s="96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  <c r="AA617" s="68"/>
      <c r="AB617" s="68"/>
      <c r="AC617" s="68"/>
      <c r="AD617" s="68"/>
    </row>
    <row r="618" ht="14.25" customHeight="1" spans="4:30">
      <c r="D618" s="93"/>
      <c r="E618" s="94"/>
      <c r="F618" s="95"/>
      <c r="G618" s="96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  <c r="AA618" s="68"/>
      <c r="AB618" s="68"/>
      <c r="AC618" s="68"/>
      <c r="AD618" s="68"/>
    </row>
    <row r="619" ht="14.25" customHeight="1" spans="4:30">
      <c r="D619" s="93"/>
      <c r="E619" s="94"/>
      <c r="F619" s="95"/>
      <c r="G619" s="96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  <c r="AA619" s="68"/>
      <c r="AB619" s="68"/>
      <c r="AC619" s="68"/>
      <c r="AD619" s="68"/>
    </row>
    <row r="620" ht="14.25" customHeight="1" spans="4:30">
      <c r="D620" s="93"/>
      <c r="E620" s="94"/>
      <c r="F620" s="95"/>
      <c r="G620" s="96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  <c r="AA620" s="68"/>
      <c r="AB620" s="68"/>
      <c r="AC620" s="68"/>
      <c r="AD620" s="68"/>
    </row>
    <row r="621" ht="14.25" customHeight="1" spans="4:30">
      <c r="D621" s="93"/>
      <c r="E621" s="94"/>
      <c r="F621" s="95"/>
      <c r="G621" s="96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  <c r="AA621" s="68"/>
      <c r="AB621" s="68"/>
      <c r="AC621" s="68"/>
      <c r="AD621" s="68"/>
    </row>
    <row r="622" ht="14.25" customHeight="1" spans="4:30">
      <c r="D622" s="93"/>
      <c r="E622" s="94"/>
      <c r="F622" s="95"/>
      <c r="G622" s="96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  <c r="AA622" s="68"/>
      <c r="AB622" s="68"/>
      <c r="AC622" s="68"/>
      <c r="AD622" s="68"/>
    </row>
    <row r="623" ht="14.25" customHeight="1" spans="4:30">
      <c r="D623" s="93"/>
      <c r="E623" s="94"/>
      <c r="F623" s="95"/>
      <c r="G623" s="96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  <c r="AA623" s="68"/>
      <c r="AB623" s="68"/>
      <c r="AC623" s="68"/>
      <c r="AD623" s="68"/>
    </row>
    <row r="624" ht="14.25" customHeight="1" spans="4:30">
      <c r="D624" s="93"/>
      <c r="E624" s="94"/>
      <c r="F624" s="95"/>
      <c r="G624" s="96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  <c r="AA624" s="68"/>
      <c r="AB624" s="68"/>
      <c r="AC624" s="68"/>
      <c r="AD624" s="68"/>
    </row>
    <row r="625" ht="14.25" customHeight="1" spans="4:30">
      <c r="D625" s="93"/>
      <c r="E625" s="94"/>
      <c r="F625" s="95"/>
      <c r="G625" s="96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  <c r="AA625" s="68"/>
      <c r="AB625" s="68"/>
      <c r="AC625" s="68"/>
      <c r="AD625" s="68"/>
    </row>
    <row r="626" ht="14.25" customHeight="1" spans="4:30">
      <c r="D626" s="93"/>
      <c r="E626" s="94"/>
      <c r="F626" s="95"/>
      <c r="G626" s="96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  <c r="AA626" s="68"/>
      <c r="AB626" s="68"/>
      <c r="AC626" s="68"/>
      <c r="AD626" s="68"/>
    </row>
    <row r="627" ht="14.25" customHeight="1" spans="4:30">
      <c r="D627" s="93"/>
      <c r="E627" s="94"/>
      <c r="F627" s="95"/>
      <c r="G627" s="96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  <c r="AA627" s="68"/>
      <c r="AB627" s="68"/>
      <c r="AC627" s="68"/>
      <c r="AD627" s="68"/>
    </row>
    <row r="628" ht="14.25" customHeight="1" spans="4:30">
      <c r="D628" s="93"/>
      <c r="E628" s="94"/>
      <c r="F628" s="95"/>
      <c r="G628" s="96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  <c r="AA628" s="68"/>
      <c r="AB628" s="68"/>
      <c r="AC628" s="68"/>
      <c r="AD628" s="68"/>
    </row>
    <row r="629" ht="14.25" customHeight="1" spans="4:30">
      <c r="D629" s="93"/>
      <c r="E629" s="94"/>
      <c r="F629" s="95"/>
      <c r="G629" s="96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  <c r="AA629" s="68"/>
      <c r="AB629" s="68"/>
      <c r="AC629" s="68"/>
      <c r="AD629" s="68"/>
    </row>
    <row r="630" ht="14.25" customHeight="1" spans="4:30">
      <c r="D630" s="93"/>
      <c r="E630" s="94"/>
      <c r="F630" s="95"/>
      <c r="G630" s="96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  <c r="AA630" s="68"/>
      <c r="AB630" s="68"/>
      <c r="AC630" s="68"/>
      <c r="AD630" s="68"/>
    </row>
    <row r="631" ht="14.25" customHeight="1" spans="4:30">
      <c r="D631" s="93"/>
      <c r="E631" s="94"/>
      <c r="F631" s="95"/>
      <c r="G631" s="96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  <c r="AA631" s="68"/>
      <c r="AB631" s="68"/>
      <c r="AC631" s="68"/>
      <c r="AD631" s="68"/>
    </row>
    <row r="632" ht="14.25" customHeight="1" spans="4:30">
      <c r="D632" s="93"/>
      <c r="E632" s="94"/>
      <c r="F632" s="95"/>
      <c r="G632" s="96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  <c r="AA632" s="68"/>
      <c r="AB632" s="68"/>
      <c r="AC632" s="68"/>
      <c r="AD632" s="68"/>
    </row>
    <row r="633" ht="14.25" customHeight="1" spans="4:30">
      <c r="D633" s="93"/>
      <c r="E633" s="94"/>
      <c r="F633" s="95"/>
      <c r="G633" s="96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  <c r="AA633" s="68"/>
      <c r="AB633" s="68"/>
      <c r="AC633" s="68"/>
      <c r="AD633" s="68"/>
    </row>
    <row r="634" ht="14.25" customHeight="1" spans="4:30">
      <c r="D634" s="93"/>
      <c r="E634" s="94"/>
      <c r="F634" s="95"/>
      <c r="G634" s="96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  <c r="AA634" s="68"/>
      <c r="AB634" s="68"/>
      <c r="AC634" s="68"/>
      <c r="AD634" s="68"/>
    </row>
    <row r="635" ht="14.25" customHeight="1" spans="4:30">
      <c r="D635" s="93"/>
      <c r="E635" s="94"/>
      <c r="F635" s="95"/>
      <c r="G635" s="96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  <c r="AA635" s="68"/>
      <c r="AB635" s="68"/>
      <c r="AC635" s="68"/>
      <c r="AD635" s="68"/>
    </row>
    <row r="636" ht="14.25" customHeight="1" spans="4:30">
      <c r="D636" s="93"/>
      <c r="E636" s="94"/>
      <c r="F636" s="95"/>
      <c r="G636" s="96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  <c r="AA636" s="68"/>
      <c r="AB636" s="68"/>
      <c r="AC636" s="68"/>
      <c r="AD636" s="68"/>
    </row>
    <row r="637" ht="14.25" customHeight="1" spans="4:30">
      <c r="D637" s="93"/>
      <c r="E637" s="94"/>
      <c r="F637" s="95"/>
      <c r="G637" s="96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  <c r="AA637" s="68"/>
      <c r="AB637" s="68"/>
      <c r="AC637" s="68"/>
      <c r="AD637" s="68"/>
    </row>
    <row r="638" ht="14.25" customHeight="1" spans="4:30">
      <c r="D638" s="93"/>
      <c r="E638" s="94"/>
      <c r="F638" s="95"/>
      <c r="G638" s="96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  <c r="AA638" s="68"/>
      <c r="AB638" s="68"/>
      <c r="AC638" s="68"/>
      <c r="AD638" s="68"/>
    </row>
    <row r="639" ht="14.25" customHeight="1" spans="4:30">
      <c r="D639" s="93"/>
      <c r="E639" s="94"/>
      <c r="F639" s="95"/>
      <c r="G639" s="96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  <c r="AA639" s="68"/>
      <c r="AB639" s="68"/>
      <c r="AC639" s="68"/>
      <c r="AD639" s="68"/>
    </row>
    <row r="640" ht="14.25" customHeight="1" spans="4:30">
      <c r="D640" s="93"/>
      <c r="E640" s="94"/>
      <c r="F640" s="95"/>
      <c r="G640" s="96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  <c r="AA640" s="68"/>
      <c r="AB640" s="68"/>
      <c r="AC640" s="68"/>
      <c r="AD640" s="68"/>
    </row>
    <row r="641" ht="14.25" customHeight="1" spans="4:30">
      <c r="D641" s="93"/>
      <c r="E641" s="94"/>
      <c r="F641" s="95"/>
      <c r="G641" s="96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  <c r="AA641" s="68"/>
      <c r="AB641" s="68"/>
      <c r="AC641" s="68"/>
      <c r="AD641" s="68"/>
    </row>
    <row r="642" ht="14.25" customHeight="1" spans="4:30">
      <c r="D642" s="93"/>
      <c r="E642" s="94"/>
      <c r="F642" s="95"/>
      <c r="G642" s="96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  <c r="AA642" s="68"/>
      <c r="AB642" s="68"/>
      <c r="AC642" s="68"/>
      <c r="AD642" s="68"/>
    </row>
    <row r="643" ht="14.25" customHeight="1" spans="4:30">
      <c r="D643" s="93"/>
      <c r="E643" s="94"/>
      <c r="F643" s="95"/>
      <c r="G643" s="96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  <c r="AA643" s="68"/>
      <c r="AB643" s="68"/>
      <c r="AC643" s="68"/>
      <c r="AD643" s="68"/>
    </row>
    <row r="644" ht="14.25" customHeight="1" spans="4:30">
      <c r="D644" s="93"/>
      <c r="E644" s="94"/>
      <c r="F644" s="95"/>
      <c r="G644" s="96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  <c r="AA644" s="68"/>
      <c r="AB644" s="68"/>
      <c r="AC644" s="68"/>
      <c r="AD644" s="68"/>
    </row>
    <row r="645" ht="14.25" customHeight="1" spans="4:30">
      <c r="D645" s="93"/>
      <c r="E645" s="94"/>
      <c r="F645" s="95"/>
      <c r="G645" s="96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  <c r="AA645" s="68"/>
      <c r="AB645" s="68"/>
      <c r="AC645" s="68"/>
      <c r="AD645" s="68"/>
    </row>
    <row r="646" ht="14.25" customHeight="1" spans="4:30">
      <c r="D646" s="93"/>
      <c r="E646" s="94"/>
      <c r="F646" s="95"/>
      <c r="G646" s="96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  <c r="AA646" s="68"/>
      <c r="AB646" s="68"/>
      <c r="AC646" s="68"/>
      <c r="AD646" s="68"/>
    </row>
    <row r="647" ht="14.25" customHeight="1" spans="4:30">
      <c r="D647" s="93"/>
      <c r="E647" s="94"/>
      <c r="F647" s="95"/>
      <c r="G647" s="96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  <c r="AA647" s="68"/>
      <c r="AB647" s="68"/>
      <c r="AC647" s="68"/>
      <c r="AD647" s="68"/>
    </row>
    <row r="648" ht="14.25" customHeight="1" spans="4:30">
      <c r="D648" s="93"/>
      <c r="E648" s="94"/>
      <c r="F648" s="95"/>
      <c r="G648" s="96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  <c r="AA648" s="68"/>
      <c r="AB648" s="68"/>
      <c r="AC648" s="68"/>
      <c r="AD648" s="68"/>
    </row>
    <row r="649" ht="14.25" customHeight="1" spans="4:30">
      <c r="D649" s="93"/>
      <c r="E649" s="94"/>
      <c r="F649" s="95"/>
      <c r="G649" s="96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  <c r="AA649" s="68"/>
      <c r="AB649" s="68"/>
      <c r="AC649" s="68"/>
      <c r="AD649" s="68"/>
    </row>
    <row r="650" ht="14.25" customHeight="1" spans="4:30">
      <c r="D650" s="93"/>
      <c r="E650" s="94"/>
      <c r="F650" s="95"/>
      <c r="G650" s="96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  <c r="AA650" s="68"/>
      <c r="AB650" s="68"/>
      <c r="AC650" s="68"/>
      <c r="AD650" s="68"/>
    </row>
    <row r="651" ht="14.25" customHeight="1" spans="4:30">
      <c r="D651" s="93"/>
      <c r="E651" s="94"/>
      <c r="F651" s="95"/>
      <c r="G651" s="96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  <c r="AA651" s="68"/>
      <c r="AB651" s="68"/>
      <c r="AC651" s="68"/>
      <c r="AD651" s="68"/>
    </row>
    <row r="652" ht="14.25" customHeight="1" spans="4:30">
      <c r="D652" s="93"/>
      <c r="E652" s="94"/>
      <c r="F652" s="95"/>
      <c r="G652" s="96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  <c r="AA652" s="68"/>
      <c r="AB652" s="68"/>
      <c r="AC652" s="68"/>
      <c r="AD652" s="68"/>
    </row>
    <row r="653" ht="14.25" customHeight="1" spans="4:30">
      <c r="D653" s="93"/>
      <c r="E653" s="94"/>
      <c r="F653" s="95"/>
      <c r="G653" s="96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  <c r="AA653" s="68"/>
      <c r="AB653" s="68"/>
      <c r="AC653" s="68"/>
      <c r="AD653" s="68"/>
    </row>
    <row r="654" ht="14.25" customHeight="1" spans="4:30">
      <c r="D654" s="93"/>
      <c r="E654" s="94"/>
      <c r="F654" s="95"/>
      <c r="G654" s="96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  <c r="AA654" s="68"/>
      <c r="AB654" s="68"/>
      <c r="AC654" s="68"/>
      <c r="AD654" s="68"/>
    </row>
    <row r="655" ht="14.25" customHeight="1" spans="4:30">
      <c r="D655" s="93"/>
      <c r="E655" s="94"/>
      <c r="F655" s="95"/>
      <c r="G655" s="96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  <c r="AA655" s="68"/>
      <c r="AB655" s="68"/>
      <c r="AC655" s="68"/>
      <c r="AD655" s="68"/>
    </row>
    <row r="656" ht="14.25" customHeight="1" spans="4:30">
      <c r="D656" s="93"/>
      <c r="E656" s="94"/>
      <c r="F656" s="95"/>
      <c r="G656" s="96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  <c r="AA656" s="68"/>
      <c r="AB656" s="68"/>
      <c r="AC656" s="68"/>
      <c r="AD656" s="68"/>
    </row>
    <row r="657" ht="14.25" customHeight="1" spans="4:30">
      <c r="D657" s="93"/>
      <c r="E657" s="94"/>
      <c r="F657" s="95"/>
      <c r="G657" s="96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  <c r="AA657" s="68"/>
      <c r="AB657" s="68"/>
      <c r="AC657" s="68"/>
      <c r="AD657" s="68"/>
    </row>
    <row r="658" ht="14.25" customHeight="1" spans="4:30">
      <c r="D658" s="93"/>
      <c r="E658" s="94"/>
      <c r="F658" s="95"/>
      <c r="G658" s="96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  <c r="AA658" s="68"/>
      <c r="AB658" s="68"/>
      <c r="AC658" s="68"/>
      <c r="AD658" s="68"/>
    </row>
    <row r="659" ht="14.25" customHeight="1" spans="4:30">
      <c r="D659" s="93"/>
      <c r="E659" s="94"/>
      <c r="F659" s="95"/>
      <c r="G659" s="96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  <c r="AA659" s="68"/>
      <c r="AB659" s="68"/>
      <c r="AC659" s="68"/>
      <c r="AD659" s="68"/>
    </row>
    <row r="660" ht="14.25" customHeight="1" spans="4:30">
      <c r="D660" s="93"/>
      <c r="E660" s="94"/>
      <c r="F660" s="95"/>
      <c r="G660" s="96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  <c r="AA660" s="68"/>
      <c r="AB660" s="68"/>
      <c r="AC660" s="68"/>
      <c r="AD660" s="68"/>
    </row>
    <row r="661" ht="14.25" customHeight="1" spans="4:30">
      <c r="D661" s="93"/>
      <c r="E661" s="94"/>
      <c r="F661" s="95"/>
      <c r="G661" s="96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  <c r="AA661" s="68"/>
      <c r="AB661" s="68"/>
      <c r="AC661" s="68"/>
      <c r="AD661" s="68"/>
    </row>
    <row r="662" ht="14.25" customHeight="1" spans="4:30">
      <c r="D662" s="93"/>
      <c r="E662" s="94"/>
      <c r="F662" s="95"/>
      <c r="G662" s="96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  <c r="AA662" s="68"/>
      <c r="AB662" s="68"/>
      <c r="AC662" s="68"/>
      <c r="AD662" s="68"/>
    </row>
    <row r="663" ht="14.25" customHeight="1" spans="4:30">
      <c r="D663" s="93"/>
      <c r="E663" s="94"/>
      <c r="F663" s="95"/>
      <c r="G663" s="96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  <c r="AA663" s="68"/>
      <c r="AB663" s="68"/>
      <c r="AC663" s="68"/>
      <c r="AD663" s="68"/>
    </row>
    <row r="664" ht="14.25" customHeight="1" spans="4:30">
      <c r="D664" s="93"/>
      <c r="E664" s="94"/>
      <c r="F664" s="95"/>
      <c r="G664" s="96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  <c r="AA664" s="68"/>
      <c r="AB664" s="68"/>
      <c r="AC664" s="68"/>
      <c r="AD664" s="68"/>
    </row>
    <row r="665" ht="14.25" customHeight="1" spans="4:30">
      <c r="D665" s="93"/>
      <c r="E665" s="94"/>
      <c r="F665" s="95"/>
      <c r="G665" s="96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  <c r="AA665" s="68"/>
      <c r="AB665" s="68"/>
      <c r="AC665" s="68"/>
      <c r="AD665" s="68"/>
    </row>
    <row r="666" ht="14.25" customHeight="1" spans="4:30">
      <c r="D666" s="93"/>
      <c r="E666" s="94"/>
      <c r="F666" s="95"/>
      <c r="G666" s="96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  <c r="AA666" s="68"/>
      <c r="AB666" s="68"/>
      <c r="AC666" s="68"/>
      <c r="AD666" s="68"/>
    </row>
    <row r="667" ht="14.25" customHeight="1" spans="4:30">
      <c r="D667" s="93"/>
      <c r="E667" s="94"/>
      <c r="F667" s="95"/>
      <c r="G667" s="96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  <c r="AA667" s="68"/>
      <c r="AB667" s="68"/>
      <c r="AC667" s="68"/>
      <c r="AD667" s="68"/>
    </row>
    <row r="668" ht="14.25" customHeight="1" spans="4:30">
      <c r="D668" s="93"/>
      <c r="E668" s="94"/>
      <c r="F668" s="95"/>
      <c r="G668" s="96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  <c r="AA668" s="68"/>
      <c r="AB668" s="68"/>
      <c r="AC668" s="68"/>
      <c r="AD668" s="68"/>
    </row>
    <row r="669" ht="14.25" customHeight="1" spans="4:30">
      <c r="D669" s="93"/>
      <c r="E669" s="94"/>
      <c r="F669" s="95"/>
      <c r="G669" s="96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  <c r="AA669" s="68"/>
      <c r="AB669" s="68"/>
      <c r="AC669" s="68"/>
      <c r="AD669" s="68"/>
    </row>
    <row r="670" ht="14.25" customHeight="1" spans="4:30">
      <c r="D670" s="93"/>
      <c r="E670" s="94"/>
      <c r="F670" s="95"/>
      <c r="G670" s="96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  <c r="AA670" s="68"/>
      <c r="AB670" s="68"/>
      <c r="AC670" s="68"/>
      <c r="AD670" s="68"/>
    </row>
    <row r="671" ht="14.25" customHeight="1" spans="4:30">
      <c r="D671" s="93"/>
      <c r="E671" s="94"/>
      <c r="F671" s="95"/>
      <c r="G671" s="96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  <c r="AA671" s="68"/>
      <c r="AB671" s="68"/>
      <c r="AC671" s="68"/>
      <c r="AD671" s="68"/>
    </row>
    <row r="672" ht="14.25" customHeight="1" spans="4:30">
      <c r="D672" s="93"/>
      <c r="E672" s="94"/>
      <c r="F672" s="95"/>
      <c r="G672" s="96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  <c r="AA672" s="68"/>
      <c r="AB672" s="68"/>
      <c r="AC672" s="68"/>
      <c r="AD672" s="68"/>
    </row>
    <row r="673" ht="14.25" customHeight="1" spans="4:30">
      <c r="D673" s="93"/>
      <c r="E673" s="94"/>
      <c r="F673" s="95"/>
      <c r="G673" s="96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  <c r="AA673" s="68"/>
      <c r="AB673" s="68"/>
      <c r="AC673" s="68"/>
      <c r="AD673" s="68"/>
    </row>
    <row r="674" ht="14.25" customHeight="1" spans="4:30">
      <c r="D674" s="93"/>
      <c r="E674" s="94"/>
      <c r="F674" s="95"/>
      <c r="G674" s="96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  <c r="AA674" s="68"/>
      <c r="AB674" s="68"/>
      <c r="AC674" s="68"/>
      <c r="AD674" s="68"/>
    </row>
    <row r="675" ht="14.25" customHeight="1" spans="4:30">
      <c r="D675" s="93"/>
      <c r="E675" s="94"/>
      <c r="F675" s="95"/>
      <c r="G675" s="96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  <c r="AA675" s="68"/>
      <c r="AB675" s="68"/>
      <c r="AC675" s="68"/>
      <c r="AD675" s="68"/>
    </row>
    <row r="676" ht="14.25" customHeight="1" spans="4:30">
      <c r="D676" s="93"/>
      <c r="E676" s="94"/>
      <c r="F676" s="95"/>
      <c r="G676" s="96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  <c r="AA676" s="68"/>
      <c r="AB676" s="68"/>
      <c r="AC676" s="68"/>
      <c r="AD676" s="68"/>
    </row>
    <row r="677" ht="14.25" customHeight="1" spans="4:30">
      <c r="D677" s="93"/>
      <c r="E677" s="94"/>
      <c r="F677" s="95"/>
      <c r="G677" s="96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  <c r="AA677" s="68"/>
      <c r="AB677" s="68"/>
      <c r="AC677" s="68"/>
      <c r="AD677" s="68"/>
    </row>
    <row r="678" ht="14.25" customHeight="1" spans="4:30">
      <c r="D678" s="93"/>
      <c r="E678" s="94"/>
      <c r="F678" s="95"/>
      <c r="G678" s="96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  <c r="AA678" s="68"/>
      <c r="AB678" s="68"/>
      <c r="AC678" s="68"/>
      <c r="AD678" s="68"/>
    </row>
    <row r="679" ht="14.25" customHeight="1" spans="4:30">
      <c r="D679" s="93"/>
      <c r="E679" s="94"/>
      <c r="F679" s="95"/>
      <c r="G679" s="96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  <c r="AA679" s="68"/>
      <c r="AB679" s="68"/>
      <c r="AC679" s="68"/>
      <c r="AD679" s="68"/>
    </row>
    <row r="680" ht="14.25" customHeight="1" spans="4:30">
      <c r="D680" s="93"/>
      <c r="E680" s="94"/>
      <c r="F680" s="95"/>
      <c r="G680" s="96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  <c r="AA680" s="68"/>
      <c r="AB680" s="68"/>
      <c r="AC680" s="68"/>
      <c r="AD680" s="68"/>
    </row>
    <row r="681" ht="14.25" customHeight="1" spans="4:30">
      <c r="D681" s="93"/>
      <c r="E681" s="94"/>
      <c r="F681" s="95"/>
      <c r="G681" s="96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  <c r="AA681" s="68"/>
      <c r="AB681" s="68"/>
      <c r="AC681" s="68"/>
      <c r="AD681" s="68"/>
    </row>
    <row r="682" ht="14.25" customHeight="1" spans="4:30">
      <c r="D682" s="93"/>
      <c r="E682" s="94"/>
      <c r="F682" s="95"/>
      <c r="G682" s="96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  <c r="AA682" s="68"/>
      <c r="AB682" s="68"/>
      <c r="AC682" s="68"/>
      <c r="AD682" s="68"/>
    </row>
    <row r="683" ht="14.25" customHeight="1" spans="4:30">
      <c r="D683" s="93"/>
      <c r="E683" s="94"/>
      <c r="F683" s="95"/>
      <c r="G683" s="96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  <c r="AA683" s="68"/>
      <c r="AB683" s="68"/>
      <c r="AC683" s="68"/>
      <c r="AD683" s="68"/>
    </row>
    <row r="684" ht="14.25" customHeight="1" spans="4:30">
      <c r="D684" s="93"/>
      <c r="E684" s="94"/>
      <c r="F684" s="95"/>
      <c r="G684" s="96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  <c r="AA684" s="68"/>
      <c r="AB684" s="68"/>
      <c r="AC684" s="68"/>
      <c r="AD684" s="68"/>
    </row>
    <row r="685" ht="14.25" customHeight="1" spans="4:30">
      <c r="D685" s="93"/>
      <c r="E685" s="94"/>
      <c r="F685" s="95"/>
      <c r="G685" s="96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  <c r="AA685" s="68"/>
      <c r="AB685" s="68"/>
      <c r="AC685" s="68"/>
      <c r="AD685" s="68"/>
    </row>
    <row r="686" ht="14.25" customHeight="1" spans="4:30">
      <c r="D686" s="93"/>
      <c r="E686" s="94"/>
      <c r="F686" s="95"/>
      <c r="G686" s="96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  <c r="AA686" s="68"/>
      <c r="AB686" s="68"/>
      <c r="AC686" s="68"/>
      <c r="AD686" s="68"/>
    </row>
    <row r="687" ht="14.25" customHeight="1" spans="4:30">
      <c r="D687" s="93"/>
      <c r="E687" s="94"/>
      <c r="F687" s="95"/>
      <c r="G687" s="96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  <c r="AA687" s="68"/>
      <c r="AB687" s="68"/>
      <c r="AC687" s="68"/>
      <c r="AD687" s="68"/>
    </row>
    <row r="688" ht="14.25" customHeight="1" spans="4:30">
      <c r="D688" s="93"/>
      <c r="E688" s="94"/>
      <c r="F688" s="95"/>
      <c r="G688" s="96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  <c r="AA688" s="68"/>
      <c r="AB688" s="68"/>
      <c r="AC688" s="68"/>
      <c r="AD688" s="68"/>
    </row>
    <row r="689" ht="14.25" customHeight="1" spans="4:30">
      <c r="D689" s="93"/>
      <c r="E689" s="94"/>
      <c r="F689" s="95"/>
      <c r="G689" s="96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  <c r="AA689" s="68"/>
      <c r="AB689" s="68"/>
      <c r="AC689" s="68"/>
      <c r="AD689" s="68"/>
    </row>
    <row r="690" ht="14.25" customHeight="1" spans="4:30">
      <c r="D690" s="93"/>
      <c r="E690" s="94"/>
      <c r="F690" s="95"/>
      <c r="G690" s="96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  <c r="AA690" s="68"/>
      <c r="AB690" s="68"/>
      <c r="AC690" s="68"/>
      <c r="AD690" s="68"/>
    </row>
    <row r="691" ht="14.25" customHeight="1" spans="4:30">
      <c r="D691" s="93"/>
      <c r="E691" s="94"/>
      <c r="F691" s="95"/>
      <c r="G691" s="96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  <c r="AA691" s="68"/>
      <c r="AB691" s="68"/>
      <c r="AC691" s="68"/>
      <c r="AD691" s="68"/>
    </row>
    <row r="692" ht="14.25" customHeight="1" spans="4:30">
      <c r="D692" s="93"/>
      <c r="E692" s="94"/>
      <c r="F692" s="95"/>
      <c r="G692" s="96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  <c r="AA692" s="68"/>
      <c r="AB692" s="68"/>
      <c r="AC692" s="68"/>
      <c r="AD692" s="68"/>
    </row>
    <row r="693" ht="14.25" customHeight="1" spans="4:30">
      <c r="D693" s="93"/>
      <c r="E693" s="94"/>
      <c r="F693" s="95"/>
      <c r="G693" s="96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  <c r="AA693" s="68"/>
      <c r="AB693" s="68"/>
      <c r="AC693" s="68"/>
      <c r="AD693" s="68"/>
    </row>
    <row r="694" ht="14.25" customHeight="1" spans="4:30">
      <c r="D694" s="93"/>
      <c r="E694" s="94"/>
      <c r="F694" s="95"/>
      <c r="G694" s="96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  <c r="AA694" s="68"/>
      <c r="AB694" s="68"/>
      <c r="AC694" s="68"/>
      <c r="AD694" s="68"/>
    </row>
    <row r="695" ht="14.25" customHeight="1" spans="4:30">
      <c r="D695" s="93"/>
      <c r="E695" s="94"/>
      <c r="F695" s="95"/>
      <c r="G695" s="96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  <c r="AA695" s="68"/>
      <c r="AB695" s="68"/>
      <c r="AC695" s="68"/>
      <c r="AD695" s="68"/>
    </row>
    <row r="696" ht="14.25" customHeight="1" spans="4:30">
      <c r="D696" s="93"/>
      <c r="E696" s="94"/>
      <c r="F696" s="95"/>
      <c r="G696" s="96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  <c r="AA696" s="68"/>
      <c r="AB696" s="68"/>
      <c r="AC696" s="68"/>
      <c r="AD696" s="68"/>
    </row>
    <row r="697" ht="14.25" customHeight="1" spans="4:30">
      <c r="D697" s="93"/>
      <c r="E697" s="94"/>
      <c r="F697" s="95"/>
      <c r="G697" s="96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  <c r="AA697" s="68"/>
      <c r="AB697" s="68"/>
      <c r="AC697" s="68"/>
      <c r="AD697" s="68"/>
    </row>
    <row r="698" ht="14.25" customHeight="1" spans="4:30">
      <c r="D698" s="93"/>
      <c r="E698" s="94"/>
      <c r="F698" s="95"/>
      <c r="G698" s="96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  <c r="AA698" s="68"/>
      <c r="AB698" s="68"/>
      <c r="AC698" s="68"/>
      <c r="AD698" s="68"/>
    </row>
    <row r="699" ht="14.25" customHeight="1" spans="4:30">
      <c r="D699" s="93"/>
      <c r="E699" s="94"/>
      <c r="F699" s="95"/>
      <c r="G699" s="96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  <c r="AA699" s="68"/>
      <c r="AB699" s="68"/>
      <c r="AC699" s="68"/>
      <c r="AD699" s="68"/>
    </row>
    <row r="700" ht="14.25" customHeight="1" spans="4:30">
      <c r="D700" s="93"/>
      <c r="E700" s="94"/>
      <c r="F700" s="95"/>
      <c r="G700" s="96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  <c r="AA700" s="68"/>
      <c r="AB700" s="68"/>
      <c r="AC700" s="68"/>
      <c r="AD700" s="68"/>
    </row>
    <row r="701" ht="14.25" customHeight="1" spans="4:30">
      <c r="D701" s="93"/>
      <c r="E701" s="94"/>
      <c r="F701" s="95"/>
      <c r="G701" s="96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  <c r="AA701" s="68"/>
      <c r="AB701" s="68"/>
      <c r="AC701" s="68"/>
      <c r="AD701" s="68"/>
    </row>
    <row r="702" ht="14.25" customHeight="1" spans="4:30">
      <c r="D702" s="93"/>
      <c r="E702" s="94"/>
      <c r="F702" s="95"/>
      <c r="G702" s="96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  <c r="AA702" s="68"/>
      <c r="AB702" s="68"/>
      <c r="AC702" s="68"/>
      <c r="AD702" s="68"/>
    </row>
    <row r="703" ht="14.25" customHeight="1" spans="4:30">
      <c r="D703" s="93"/>
      <c r="E703" s="94"/>
      <c r="F703" s="95"/>
      <c r="G703" s="96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  <c r="AA703" s="68"/>
      <c r="AB703" s="68"/>
      <c r="AC703" s="68"/>
      <c r="AD703" s="68"/>
    </row>
    <row r="704" ht="14.25" customHeight="1" spans="4:30">
      <c r="D704" s="93"/>
      <c r="E704" s="94"/>
      <c r="F704" s="95"/>
      <c r="G704" s="96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  <c r="AA704" s="68"/>
      <c r="AB704" s="68"/>
      <c r="AC704" s="68"/>
      <c r="AD704" s="68"/>
    </row>
    <row r="705" ht="14.25" customHeight="1" spans="4:30">
      <c r="D705" s="93"/>
      <c r="E705" s="94"/>
      <c r="F705" s="95"/>
      <c r="G705" s="96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  <c r="AA705" s="68"/>
      <c r="AB705" s="68"/>
      <c r="AC705" s="68"/>
      <c r="AD705" s="68"/>
    </row>
    <row r="706" ht="14.25" customHeight="1" spans="4:30">
      <c r="D706" s="93"/>
      <c r="E706" s="94"/>
      <c r="F706" s="95"/>
      <c r="G706" s="96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  <c r="AA706" s="68"/>
      <c r="AB706" s="68"/>
      <c r="AC706" s="68"/>
      <c r="AD706" s="68"/>
    </row>
    <row r="707" ht="14.25" customHeight="1" spans="4:30">
      <c r="D707" s="93"/>
      <c r="E707" s="94"/>
      <c r="F707" s="95"/>
      <c r="G707" s="96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  <c r="AA707" s="68"/>
      <c r="AB707" s="68"/>
      <c r="AC707" s="68"/>
      <c r="AD707" s="68"/>
    </row>
    <row r="708" ht="14.25" customHeight="1" spans="4:30">
      <c r="D708" s="93"/>
      <c r="E708" s="94"/>
      <c r="F708" s="95"/>
      <c r="G708" s="96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  <c r="AA708" s="68"/>
      <c r="AB708" s="68"/>
      <c r="AC708" s="68"/>
      <c r="AD708" s="68"/>
    </row>
    <row r="709" ht="14.25" customHeight="1" spans="4:30">
      <c r="D709" s="93"/>
      <c r="E709" s="94"/>
      <c r="F709" s="95"/>
      <c r="G709" s="96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  <c r="AA709" s="68"/>
      <c r="AB709" s="68"/>
      <c r="AC709" s="68"/>
      <c r="AD709" s="68"/>
    </row>
    <row r="710" ht="14.25" customHeight="1" spans="4:30">
      <c r="D710" s="93"/>
      <c r="E710" s="94"/>
      <c r="F710" s="95"/>
      <c r="G710" s="96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  <c r="AA710" s="68"/>
      <c r="AB710" s="68"/>
      <c r="AC710" s="68"/>
      <c r="AD710" s="68"/>
    </row>
    <row r="711" ht="14.25" customHeight="1" spans="4:30">
      <c r="D711" s="93"/>
      <c r="E711" s="94"/>
      <c r="F711" s="95"/>
      <c r="G711" s="96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  <c r="AA711" s="68"/>
      <c r="AB711" s="68"/>
      <c r="AC711" s="68"/>
      <c r="AD711" s="68"/>
    </row>
    <row r="712" ht="14.25" customHeight="1" spans="4:30">
      <c r="D712" s="93"/>
      <c r="E712" s="94"/>
      <c r="F712" s="95"/>
      <c r="G712" s="96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  <c r="AA712" s="68"/>
      <c r="AB712" s="68"/>
      <c r="AC712" s="68"/>
      <c r="AD712" s="68"/>
    </row>
    <row r="713" ht="14.25" customHeight="1" spans="4:30">
      <c r="D713" s="93"/>
      <c r="E713" s="94"/>
      <c r="F713" s="95"/>
      <c r="G713" s="96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  <c r="AA713" s="68"/>
      <c r="AB713" s="68"/>
      <c r="AC713" s="68"/>
      <c r="AD713" s="68"/>
    </row>
    <row r="714" ht="14.25" customHeight="1" spans="4:30">
      <c r="D714" s="93"/>
      <c r="E714" s="94"/>
      <c r="F714" s="95"/>
      <c r="G714" s="96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  <c r="AA714" s="68"/>
      <c r="AB714" s="68"/>
      <c r="AC714" s="68"/>
      <c r="AD714" s="68"/>
    </row>
    <row r="715" ht="14.25" customHeight="1" spans="4:30">
      <c r="D715" s="93"/>
      <c r="E715" s="94"/>
      <c r="F715" s="95"/>
      <c r="G715" s="96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  <c r="AA715" s="68"/>
      <c r="AB715" s="68"/>
      <c r="AC715" s="68"/>
      <c r="AD715" s="68"/>
    </row>
    <row r="716" ht="14.25" customHeight="1" spans="4:30">
      <c r="D716" s="93"/>
      <c r="E716" s="94"/>
      <c r="F716" s="95"/>
      <c r="G716" s="96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  <c r="AA716" s="68"/>
      <c r="AB716" s="68"/>
      <c r="AC716" s="68"/>
      <c r="AD716" s="68"/>
    </row>
    <row r="717" ht="14.25" customHeight="1" spans="4:30">
      <c r="D717" s="93"/>
      <c r="E717" s="94"/>
      <c r="F717" s="95"/>
      <c r="G717" s="96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  <c r="AA717" s="68"/>
      <c r="AB717" s="68"/>
      <c r="AC717" s="68"/>
      <c r="AD717" s="68"/>
    </row>
    <row r="718" ht="14.25" customHeight="1" spans="4:30">
      <c r="D718" s="93"/>
      <c r="E718" s="94"/>
      <c r="F718" s="95"/>
      <c r="G718" s="96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  <c r="AA718" s="68"/>
      <c r="AB718" s="68"/>
      <c r="AC718" s="68"/>
      <c r="AD718" s="68"/>
    </row>
    <row r="719" ht="14.25" customHeight="1" spans="4:30">
      <c r="D719" s="93"/>
      <c r="E719" s="94"/>
      <c r="F719" s="95"/>
      <c r="G719" s="96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  <c r="AA719" s="68"/>
      <c r="AB719" s="68"/>
      <c r="AC719" s="68"/>
      <c r="AD719" s="68"/>
    </row>
    <row r="720" ht="14.25" customHeight="1" spans="4:30">
      <c r="D720" s="93"/>
      <c r="E720" s="94"/>
      <c r="F720" s="95"/>
      <c r="G720" s="96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  <c r="AA720" s="68"/>
      <c r="AB720" s="68"/>
      <c r="AC720" s="68"/>
      <c r="AD720" s="68"/>
    </row>
    <row r="721" ht="14.25" customHeight="1" spans="4:30">
      <c r="D721" s="93"/>
      <c r="E721" s="94"/>
      <c r="F721" s="95"/>
      <c r="G721" s="96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  <c r="AA721" s="68"/>
      <c r="AB721" s="68"/>
      <c r="AC721" s="68"/>
      <c r="AD721" s="68"/>
    </row>
    <row r="722" ht="14.25" customHeight="1" spans="4:30">
      <c r="D722" s="93"/>
      <c r="E722" s="94"/>
      <c r="F722" s="95"/>
      <c r="G722" s="96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  <c r="AA722" s="68"/>
      <c r="AB722" s="68"/>
      <c r="AC722" s="68"/>
      <c r="AD722" s="68"/>
    </row>
    <row r="723" ht="14.25" customHeight="1" spans="4:30">
      <c r="D723" s="93"/>
      <c r="E723" s="94"/>
      <c r="F723" s="95"/>
      <c r="G723" s="96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  <c r="AA723" s="68"/>
      <c r="AB723" s="68"/>
      <c r="AC723" s="68"/>
      <c r="AD723" s="68"/>
    </row>
    <row r="724" ht="14.25" customHeight="1" spans="4:30">
      <c r="D724" s="93"/>
      <c r="E724" s="94"/>
      <c r="F724" s="95"/>
      <c r="G724" s="96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  <c r="AA724" s="68"/>
      <c r="AB724" s="68"/>
      <c r="AC724" s="68"/>
      <c r="AD724" s="68"/>
    </row>
    <row r="725" ht="14.25" customHeight="1" spans="4:30">
      <c r="D725" s="93"/>
      <c r="E725" s="94"/>
      <c r="F725" s="95"/>
      <c r="G725" s="96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  <c r="AA725" s="68"/>
      <c r="AB725" s="68"/>
      <c r="AC725" s="68"/>
      <c r="AD725" s="68"/>
    </row>
    <row r="726" ht="14.25" customHeight="1" spans="4:30">
      <c r="D726" s="93"/>
      <c r="E726" s="94"/>
      <c r="F726" s="95"/>
      <c r="G726" s="96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  <c r="AA726" s="68"/>
      <c r="AB726" s="68"/>
      <c r="AC726" s="68"/>
      <c r="AD726" s="68"/>
    </row>
    <row r="727" ht="14.25" customHeight="1" spans="4:30">
      <c r="D727" s="93"/>
      <c r="E727" s="94"/>
      <c r="F727" s="95"/>
      <c r="G727" s="96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  <c r="AA727" s="68"/>
      <c r="AB727" s="68"/>
      <c r="AC727" s="68"/>
      <c r="AD727" s="68"/>
    </row>
    <row r="728" ht="14.25" customHeight="1" spans="4:30">
      <c r="D728" s="93"/>
      <c r="E728" s="94"/>
      <c r="F728" s="95"/>
      <c r="G728" s="96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  <c r="AA728" s="68"/>
      <c r="AB728" s="68"/>
      <c r="AC728" s="68"/>
      <c r="AD728" s="68"/>
    </row>
    <row r="729" ht="14.25" customHeight="1" spans="4:30">
      <c r="D729" s="93"/>
      <c r="E729" s="94"/>
      <c r="F729" s="95"/>
      <c r="G729" s="96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  <c r="AA729" s="68"/>
      <c r="AB729" s="68"/>
      <c r="AC729" s="68"/>
      <c r="AD729" s="68"/>
    </row>
    <row r="730" ht="14.25" customHeight="1" spans="4:30">
      <c r="D730" s="93"/>
      <c r="E730" s="94"/>
      <c r="F730" s="95"/>
      <c r="G730" s="96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  <c r="AA730" s="68"/>
      <c r="AB730" s="68"/>
      <c r="AC730" s="68"/>
      <c r="AD730" s="68"/>
    </row>
    <row r="731" ht="14.25" customHeight="1" spans="4:30">
      <c r="D731" s="93"/>
      <c r="E731" s="94"/>
      <c r="F731" s="95"/>
      <c r="G731" s="96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  <c r="AA731" s="68"/>
      <c r="AB731" s="68"/>
      <c r="AC731" s="68"/>
      <c r="AD731" s="68"/>
    </row>
    <row r="732" ht="14.25" customHeight="1" spans="4:30">
      <c r="D732" s="93"/>
      <c r="E732" s="94"/>
      <c r="F732" s="95"/>
      <c r="G732" s="96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  <c r="AA732" s="68"/>
      <c r="AB732" s="68"/>
      <c r="AC732" s="68"/>
      <c r="AD732" s="68"/>
    </row>
    <row r="733" ht="14.25" customHeight="1" spans="4:30">
      <c r="D733" s="93"/>
      <c r="E733" s="94"/>
      <c r="F733" s="95"/>
      <c r="G733" s="96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  <c r="AA733" s="68"/>
      <c r="AB733" s="68"/>
      <c r="AC733" s="68"/>
      <c r="AD733" s="68"/>
    </row>
    <row r="734" ht="14.25" customHeight="1" spans="4:30">
      <c r="D734" s="93"/>
      <c r="E734" s="94"/>
      <c r="F734" s="95"/>
      <c r="G734" s="96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  <c r="AA734" s="68"/>
      <c r="AB734" s="68"/>
      <c r="AC734" s="68"/>
      <c r="AD734" s="68"/>
    </row>
    <row r="735" ht="14.25" customHeight="1" spans="4:30">
      <c r="D735" s="93"/>
      <c r="E735" s="94"/>
      <c r="F735" s="95"/>
      <c r="G735" s="96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  <c r="AA735" s="68"/>
      <c r="AB735" s="68"/>
      <c r="AC735" s="68"/>
      <c r="AD735" s="68"/>
    </row>
    <row r="736" ht="14.25" customHeight="1" spans="4:30">
      <c r="D736" s="93"/>
      <c r="E736" s="94"/>
      <c r="F736" s="95"/>
      <c r="G736" s="96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  <c r="AA736" s="68"/>
      <c r="AB736" s="68"/>
      <c r="AC736" s="68"/>
      <c r="AD736" s="68"/>
    </row>
    <row r="737" ht="14.25" customHeight="1" spans="4:30">
      <c r="D737" s="93"/>
      <c r="E737" s="94"/>
      <c r="F737" s="95"/>
      <c r="G737" s="96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  <c r="AA737" s="68"/>
      <c r="AB737" s="68"/>
      <c r="AC737" s="68"/>
      <c r="AD737" s="68"/>
    </row>
    <row r="738" ht="14.25" customHeight="1" spans="4:30">
      <c r="D738" s="93"/>
      <c r="E738" s="94"/>
      <c r="F738" s="95"/>
      <c r="G738" s="96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  <c r="AA738" s="68"/>
      <c r="AB738" s="68"/>
      <c r="AC738" s="68"/>
      <c r="AD738" s="68"/>
    </row>
    <row r="739" ht="14.25" customHeight="1" spans="4:30">
      <c r="D739" s="93"/>
      <c r="E739" s="94"/>
      <c r="F739" s="95"/>
      <c r="G739" s="96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  <c r="AA739" s="68"/>
      <c r="AB739" s="68"/>
      <c r="AC739" s="68"/>
      <c r="AD739" s="68"/>
    </row>
    <row r="740" ht="14.25" customHeight="1" spans="4:30">
      <c r="D740" s="93"/>
      <c r="E740" s="94"/>
      <c r="F740" s="95"/>
      <c r="G740" s="96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  <c r="AA740" s="68"/>
      <c r="AB740" s="68"/>
      <c r="AC740" s="68"/>
      <c r="AD740" s="68"/>
    </row>
    <row r="741" ht="14.25" customHeight="1" spans="4:30">
      <c r="D741" s="93"/>
      <c r="E741" s="94"/>
      <c r="F741" s="95"/>
      <c r="G741" s="96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  <c r="AA741" s="68"/>
      <c r="AB741" s="68"/>
      <c r="AC741" s="68"/>
      <c r="AD741" s="68"/>
    </row>
    <row r="742" ht="14.25" customHeight="1" spans="4:30">
      <c r="D742" s="93"/>
      <c r="E742" s="94"/>
      <c r="F742" s="95"/>
      <c r="G742" s="96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  <c r="AA742" s="68"/>
      <c r="AB742" s="68"/>
      <c r="AC742" s="68"/>
      <c r="AD742" s="68"/>
    </row>
    <row r="743" ht="14.25" customHeight="1" spans="4:30">
      <c r="D743" s="93"/>
      <c r="E743" s="94"/>
      <c r="F743" s="95"/>
      <c r="G743" s="96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  <c r="AA743" s="68"/>
      <c r="AB743" s="68"/>
      <c r="AC743" s="68"/>
      <c r="AD743" s="68"/>
    </row>
    <row r="744" ht="14.25" customHeight="1" spans="4:30">
      <c r="D744" s="93"/>
      <c r="E744" s="94"/>
      <c r="F744" s="95"/>
      <c r="G744" s="96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  <c r="AA744" s="68"/>
      <c r="AB744" s="68"/>
      <c r="AC744" s="68"/>
      <c r="AD744" s="68"/>
    </row>
    <row r="745" ht="14.25" customHeight="1" spans="4:30">
      <c r="D745" s="93"/>
      <c r="E745" s="94"/>
      <c r="F745" s="95"/>
      <c r="G745" s="96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  <c r="AA745" s="68"/>
      <c r="AB745" s="68"/>
      <c r="AC745" s="68"/>
      <c r="AD745" s="68"/>
    </row>
    <row r="746" ht="14.25" customHeight="1" spans="4:30">
      <c r="D746" s="93"/>
      <c r="E746" s="94"/>
      <c r="F746" s="95"/>
      <c r="G746" s="96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  <c r="AA746" s="68"/>
      <c r="AB746" s="68"/>
      <c r="AC746" s="68"/>
      <c r="AD746" s="68"/>
    </row>
    <row r="747" ht="14.25" customHeight="1" spans="4:30">
      <c r="D747" s="93"/>
      <c r="E747" s="94"/>
      <c r="F747" s="95"/>
      <c r="G747" s="96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  <c r="AA747" s="68"/>
      <c r="AB747" s="68"/>
      <c r="AC747" s="68"/>
      <c r="AD747" s="68"/>
    </row>
    <row r="748" ht="14.25" customHeight="1" spans="4:30">
      <c r="D748" s="93"/>
      <c r="E748" s="94"/>
      <c r="F748" s="95"/>
      <c r="G748" s="96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  <c r="AA748" s="68"/>
      <c r="AB748" s="68"/>
      <c r="AC748" s="68"/>
      <c r="AD748" s="68"/>
    </row>
    <row r="749" ht="14.25" customHeight="1" spans="4:30">
      <c r="D749" s="93"/>
      <c r="E749" s="94"/>
      <c r="F749" s="95"/>
      <c r="G749" s="96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  <c r="AA749" s="68"/>
      <c r="AB749" s="68"/>
      <c r="AC749" s="68"/>
      <c r="AD749" s="68"/>
    </row>
    <row r="750" ht="14.25" customHeight="1" spans="4:30">
      <c r="D750" s="93"/>
      <c r="E750" s="94"/>
      <c r="F750" s="95"/>
      <c r="G750" s="96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  <c r="AA750" s="68"/>
      <c r="AB750" s="68"/>
      <c r="AC750" s="68"/>
      <c r="AD750" s="68"/>
    </row>
    <row r="751" ht="14.25" customHeight="1" spans="4:30">
      <c r="D751" s="93"/>
      <c r="E751" s="94"/>
      <c r="F751" s="95"/>
      <c r="G751" s="96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  <c r="AA751" s="68"/>
      <c r="AB751" s="68"/>
      <c r="AC751" s="68"/>
      <c r="AD751" s="68"/>
    </row>
    <row r="752" ht="14.25" customHeight="1" spans="4:30">
      <c r="D752" s="93"/>
      <c r="E752" s="94"/>
      <c r="F752" s="95"/>
      <c r="G752" s="96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  <c r="AA752" s="68"/>
      <c r="AB752" s="68"/>
      <c r="AC752" s="68"/>
      <c r="AD752" s="68"/>
    </row>
    <row r="753" ht="14.25" customHeight="1" spans="4:30">
      <c r="D753" s="93"/>
      <c r="E753" s="94"/>
      <c r="F753" s="95"/>
      <c r="G753" s="96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  <c r="AA753" s="68"/>
      <c r="AB753" s="68"/>
      <c r="AC753" s="68"/>
      <c r="AD753" s="68"/>
    </row>
    <row r="754" ht="14.25" customHeight="1" spans="4:30">
      <c r="D754" s="93"/>
      <c r="E754" s="94"/>
      <c r="F754" s="95"/>
      <c r="G754" s="96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  <c r="AA754" s="68"/>
      <c r="AB754" s="68"/>
      <c r="AC754" s="68"/>
      <c r="AD754" s="68"/>
    </row>
    <row r="755" ht="14.25" customHeight="1" spans="4:30">
      <c r="D755" s="93"/>
      <c r="E755" s="94"/>
      <c r="F755" s="95"/>
      <c r="G755" s="96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  <c r="AA755" s="68"/>
      <c r="AB755" s="68"/>
      <c r="AC755" s="68"/>
      <c r="AD755" s="68"/>
    </row>
    <row r="756" ht="14.25" customHeight="1" spans="4:30">
      <c r="D756" s="93"/>
      <c r="E756" s="94"/>
      <c r="F756" s="95"/>
      <c r="G756" s="96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  <c r="AA756" s="68"/>
      <c r="AB756" s="68"/>
      <c r="AC756" s="68"/>
      <c r="AD756" s="68"/>
    </row>
    <row r="757" ht="14.25" customHeight="1" spans="4:30">
      <c r="D757" s="93"/>
      <c r="E757" s="94"/>
      <c r="F757" s="95"/>
      <c r="G757" s="96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  <c r="AA757" s="68"/>
      <c r="AB757" s="68"/>
      <c r="AC757" s="68"/>
      <c r="AD757" s="68"/>
    </row>
    <row r="758" ht="14.25" customHeight="1" spans="4:30">
      <c r="D758" s="93"/>
      <c r="E758" s="94"/>
      <c r="F758" s="95"/>
      <c r="G758" s="96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  <c r="AA758" s="68"/>
      <c r="AB758" s="68"/>
      <c r="AC758" s="68"/>
      <c r="AD758" s="68"/>
    </row>
    <row r="759" ht="14.25" customHeight="1" spans="4:30">
      <c r="D759" s="93"/>
      <c r="E759" s="94"/>
      <c r="F759" s="95"/>
      <c r="G759" s="96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  <c r="AA759" s="68"/>
      <c r="AB759" s="68"/>
      <c r="AC759" s="68"/>
      <c r="AD759" s="68"/>
    </row>
    <row r="760" ht="14.25" customHeight="1" spans="4:30">
      <c r="D760" s="93"/>
      <c r="E760" s="94"/>
      <c r="F760" s="95"/>
      <c r="G760" s="96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  <c r="AA760" s="68"/>
      <c r="AB760" s="68"/>
      <c r="AC760" s="68"/>
      <c r="AD760" s="68"/>
    </row>
    <row r="761" ht="14.25" customHeight="1" spans="4:30">
      <c r="D761" s="93"/>
      <c r="E761" s="94"/>
      <c r="F761" s="95"/>
      <c r="G761" s="96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  <c r="AA761" s="68"/>
      <c r="AB761" s="68"/>
      <c r="AC761" s="68"/>
      <c r="AD761" s="68"/>
    </row>
    <row r="762" ht="14.25" customHeight="1" spans="4:30">
      <c r="D762" s="93"/>
      <c r="E762" s="94"/>
      <c r="F762" s="95"/>
      <c r="G762" s="96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  <c r="AA762" s="68"/>
      <c r="AB762" s="68"/>
      <c r="AC762" s="68"/>
      <c r="AD762" s="68"/>
    </row>
    <row r="763" ht="14.25" customHeight="1" spans="4:30">
      <c r="D763" s="93"/>
      <c r="E763" s="94"/>
      <c r="F763" s="95"/>
      <c r="G763" s="96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  <c r="AA763" s="68"/>
      <c r="AB763" s="68"/>
      <c r="AC763" s="68"/>
      <c r="AD763" s="68"/>
    </row>
    <row r="764" ht="14.25" customHeight="1" spans="4:30">
      <c r="D764" s="93"/>
      <c r="E764" s="94"/>
      <c r="F764" s="95"/>
      <c r="G764" s="96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  <c r="AA764" s="68"/>
      <c r="AB764" s="68"/>
      <c r="AC764" s="68"/>
      <c r="AD764" s="68"/>
    </row>
    <row r="765" ht="14.25" customHeight="1" spans="4:30">
      <c r="D765" s="93"/>
      <c r="E765" s="94"/>
      <c r="F765" s="95"/>
      <c r="G765" s="96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  <c r="AA765" s="68"/>
      <c r="AB765" s="68"/>
      <c r="AC765" s="68"/>
      <c r="AD765" s="68"/>
    </row>
    <row r="766" ht="14.25" customHeight="1" spans="4:30">
      <c r="D766" s="93"/>
      <c r="E766" s="94"/>
      <c r="F766" s="95"/>
      <c r="G766" s="96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  <c r="AA766" s="68"/>
      <c r="AB766" s="68"/>
      <c r="AC766" s="68"/>
      <c r="AD766" s="68"/>
    </row>
    <row r="767" ht="14.25" customHeight="1" spans="4:30">
      <c r="D767" s="93"/>
      <c r="E767" s="94"/>
      <c r="F767" s="95"/>
      <c r="G767" s="96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  <c r="AA767" s="68"/>
      <c r="AB767" s="68"/>
      <c r="AC767" s="68"/>
      <c r="AD767" s="68"/>
    </row>
    <row r="768" ht="14.25" customHeight="1" spans="4:30">
      <c r="D768" s="93"/>
      <c r="E768" s="94"/>
      <c r="F768" s="95"/>
      <c r="G768" s="96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  <c r="AA768" s="68"/>
      <c r="AB768" s="68"/>
      <c r="AC768" s="68"/>
      <c r="AD768" s="68"/>
    </row>
    <row r="769" ht="14.25" customHeight="1" spans="4:30">
      <c r="D769" s="93"/>
      <c r="E769" s="94"/>
      <c r="F769" s="95"/>
      <c r="G769" s="96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  <c r="AA769" s="68"/>
      <c r="AB769" s="68"/>
      <c r="AC769" s="68"/>
      <c r="AD769" s="68"/>
    </row>
    <row r="770" ht="14.25" customHeight="1" spans="4:30">
      <c r="D770" s="93"/>
      <c r="E770" s="94"/>
      <c r="F770" s="95"/>
      <c r="G770" s="96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  <c r="AA770" s="68"/>
      <c r="AB770" s="68"/>
      <c r="AC770" s="68"/>
      <c r="AD770" s="68"/>
    </row>
    <row r="771" ht="14.25" customHeight="1" spans="4:30">
      <c r="D771" s="93"/>
      <c r="E771" s="94"/>
      <c r="F771" s="95"/>
      <c r="G771" s="96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  <c r="AA771" s="68"/>
      <c r="AB771" s="68"/>
      <c r="AC771" s="68"/>
      <c r="AD771" s="68"/>
    </row>
    <row r="772" ht="14.25" customHeight="1" spans="4:30">
      <c r="D772" s="93"/>
      <c r="E772" s="94"/>
      <c r="F772" s="95"/>
      <c r="G772" s="96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  <c r="AA772" s="68"/>
      <c r="AB772" s="68"/>
      <c r="AC772" s="68"/>
      <c r="AD772" s="68"/>
    </row>
    <row r="773" ht="14.25" customHeight="1" spans="4:30">
      <c r="D773" s="93"/>
      <c r="E773" s="94"/>
      <c r="F773" s="95"/>
      <c r="G773" s="96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  <c r="AA773" s="68"/>
      <c r="AB773" s="68"/>
      <c r="AC773" s="68"/>
      <c r="AD773" s="68"/>
    </row>
    <row r="774" ht="14.25" customHeight="1" spans="4:30">
      <c r="D774" s="93"/>
      <c r="E774" s="94"/>
      <c r="F774" s="95"/>
      <c r="G774" s="96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  <c r="AA774" s="68"/>
      <c r="AB774" s="68"/>
      <c r="AC774" s="68"/>
      <c r="AD774" s="68"/>
    </row>
    <row r="775" ht="14.25" customHeight="1" spans="4:30">
      <c r="D775" s="93"/>
      <c r="E775" s="94"/>
      <c r="F775" s="95"/>
      <c r="G775" s="96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  <c r="AA775" s="68"/>
      <c r="AB775" s="68"/>
      <c r="AC775" s="68"/>
      <c r="AD775" s="68"/>
    </row>
    <row r="776" ht="14.25" customHeight="1" spans="4:30">
      <c r="D776" s="93"/>
      <c r="E776" s="94"/>
      <c r="F776" s="95"/>
      <c r="G776" s="96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  <c r="AA776" s="68"/>
      <c r="AB776" s="68"/>
      <c r="AC776" s="68"/>
      <c r="AD776" s="68"/>
    </row>
    <row r="777" ht="14.25" customHeight="1" spans="4:30">
      <c r="D777" s="93"/>
      <c r="E777" s="94"/>
      <c r="F777" s="95"/>
      <c r="G777" s="96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  <c r="AA777" s="68"/>
      <c r="AB777" s="68"/>
      <c r="AC777" s="68"/>
      <c r="AD777" s="68"/>
    </row>
    <row r="778" ht="14.25" customHeight="1" spans="4:30">
      <c r="D778" s="93"/>
      <c r="E778" s="94"/>
      <c r="F778" s="95"/>
      <c r="G778" s="96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  <c r="AA778" s="68"/>
      <c r="AB778" s="68"/>
      <c r="AC778" s="68"/>
      <c r="AD778" s="68"/>
    </row>
    <row r="779" ht="14.25" customHeight="1" spans="4:30">
      <c r="D779" s="93"/>
      <c r="E779" s="94"/>
      <c r="F779" s="95"/>
      <c r="G779" s="96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  <c r="AA779" s="68"/>
      <c r="AB779" s="68"/>
      <c r="AC779" s="68"/>
      <c r="AD779" s="68"/>
    </row>
    <row r="780" ht="14.25" customHeight="1" spans="4:30">
      <c r="D780" s="93"/>
      <c r="E780" s="94"/>
      <c r="F780" s="95"/>
      <c r="G780" s="96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  <c r="AA780" s="68"/>
      <c r="AB780" s="68"/>
      <c r="AC780" s="68"/>
      <c r="AD780" s="68"/>
    </row>
    <row r="781" ht="14.25" customHeight="1" spans="4:30">
      <c r="D781" s="93"/>
      <c r="E781" s="94"/>
      <c r="F781" s="95"/>
      <c r="G781" s="96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  <c r="AA781" s="68"/>
      <c r="AB781" s="68"/>
      <c r="AC781" s="68"/>
      <c r="AD781" s="68"/>
    </row>
    <row r="782" ht="14.25" customHeight="1" spans="4:30">
      <c r="D782" s="93"/>
      <c r="E782" s="94"/>
      <c r="F782" s="95"/>
      <c r="G782" s="96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  <c r="AA782" s="68"/>
      <c r="AB782" s="68"/>
      <c r="AC782" s="68"/>
      <c r="AD782" s="68"/>
    </row>
    <row r="783" ht="14.25" customHeight="1" spans="4:30">
      <c r="D783" s="93"/>
      <c r="E783" s="94"/>
      <c r="F783" s="95"/>
      <c r="G783" s="96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  <c r="AA783" s="68"/>
      <c r="AB783" s="68"/>
      <c r="AC783" s="68"/>
      <c r="AD783" s="68"/>
    </row>
    <row r="784" ht="14.25" customHeight="1" spans="4:30">
      <c r="D784" s="93"/>
      <c r="E784" s="94"/>
      <c r="F784" s="95"/>
      <c r="G784" s="96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  <c r="AA784" s="68"/>
      <c r="AB784" s="68"/>
      <c r="AC784" s="68"/>
      <c r="AD784" s="68"/>
    </row>
    <row r="785" ht="14.25" customHeight="1" spans="4:30">
      <c r="D785" s="93"/>
      <c r="E785" s="94"/>
      <c r="F785" s="95"/>
      <c r="G785" s="96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  <c r="AA785" s="68"/>
      <c r="AB785" s="68"/>
      <c r="AC785" s="68"/>
      <c r="AD785" s="68"/>
    </row>
    <row r="786" ht="14.25" customHeight="1" spans="4:30">
      <c r="D786" s="93"/>
      <c r="E786" s="94"/>
      <c r="F786" s="95"/>
      <c r="G786" s="96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  <c r="AA786" s="68"/>
      <c r="AB786" s="68"/>
      <c r="AC786" s="68"/>
      <c r="AD786" s="68"/>
    </row>
    <row r="787" ht="14.25" customHeight="1" spans="4:30">
      <c r="D787" s="93"/>
      <c r="E787" s="94"/>
      <c r="F787" s="95"/>
      <c r="G787" s="96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  <c r="AA787" s="68"/>
      <c r="AB787" s="68"/>
      <c r="AC787" s="68"/>
      <c r="AD787" s="68"/>
    </row>
    <row r="788" ht="14.25" customHeight="1" spans="4:30">
      <c r="D788" s="93"/>
      <c r="E788" s="94"/>
      <c r="F788" s="95"/>
      <c r="G788" s="96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  <c r="AA788" s="68"/>
      <c r="AB788" s="68"/>
      <c r="AC788" s="68"/>
      <c r="AD788" s="68"/>
    </row>
    <row r="789" ht="14.25" customHeight="1" spans="4:30">
      <c r="D789" s="93"/>
      <c r="E789" s="94"/>
      <c r="F789" s="95"/>
      <c r="G789" s="96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  <c r="AA789" s="68"/>
      <c r="AB789" s="68"/>
      <c r="AC789" s="68"/>
      <c r="AD789" s="68"/>
    </row>
    <row r="790" ht="14.25" customHeight="1" spans="4:30">
      <c r="D790" s="93"/>
      <c r="E790" s="94"/>
      <c r="F790" s="95"/>
      <c r="G790" s="96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  <c r="AA790" s="68"/>
      <c r="AB790" s="68"/>
      <c r="AC790" s="68"/>
      <c r="AD790" s="68"/>
    </row>
    <row r="791" ht="14.25" customHeight="1" spans="4:30">
      <c r="D791" s="93"/>
      <c r="E791" s="94"/>
      <c r="F791" s="95"/>
      <c r="G791" s="96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  <c r="AA791" s="68"/>
      <c r="AB791" s="68"/>
      <c r="AC791" s="68"/>
      <c r="AD791" s="68"/>
    </row>
    <row r="792" ht="14.25" customHeight="1" spans="4:30">
      <c r="D792" s="93"/>
      <c r="E792" s="94"/>
      <c r="F792" s="95"/>
      <c r="G792" s="96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  <c r="AA792" s="68"/>
      <c r="AB792" s="68"/>
      <c r="AC792" s="68"/>
      <c r="AD792" s="68"/>
    </row>
    <row r="793" ht="14.25" customHeight="1" spans="4:30">
      <c r="D793" s="93"/>
      <c r="E793" s="94"/>
      <c r="F793" s="95"/>
      <c r="G793" s="96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  <c r="AA793" s="68"/>
      <c r="AB793" s="68"/>
      <c r="AC793" s="68"/>
      <c r="AD793" s="68"/>
    </row>
    <row r="794" ht="14.25" customHeight="1" spans="4:30">
      <c r="D794" s="93"/>
      <c r="E794" s="94"/>
      <c r="F794" s="95"/>
      <c r="G794" s="96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  <c r="AA794" s="68"/>
      <c r="AB794" s="68"/>
      <c r="AC794" s="68"/>
      <c r="AD794" s="68"/>
    </row>
    <row r="795" ht="14.25" customHeight="1" spans="4:30">
      <c r="D795" s="93"/>
      <c r="E795" s="94"/>
      <c r="F795" s="95"/>
      <c r="G795" s="96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  <c r="AA795" s="68"/>
      <c r="AB795" s="68"/>
      <c r="AC795" s="68"/>
      <c r="AD795" s="68"/>
    </row>
    <row r="796" ht="14.25" customHeight="1" spans="4:30">
      <c r="D796" s="93"/>
      <c r="E796" s="94"/>
      <c r="F796" s="95"/>
      <c r="G796" s="96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  <c r="AA796" s="68"/>
      <c r="AB796" s="68"/>
      <c r="AC796" s="68"/>
      <c r="AD796" s="68"/>
    </row>
    <row r="797" ht="14.25" customHeight="1" spans="4:30">
      <c r="D797" s="93"/>
      <c r="E797" s="94"/>
      <c r="F797" s="95"/>
      <c r="G797" s="96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  <c r="AA797" s="68"/>
      <c r="AB797" s="68"/>
      <c r="AC797" s="68"/>
      <c r="AD797" s="68"/>
    </row>
    <row r="798" ht="14.25" customHeight="1" spans="4:30">
      <c r="D798" s="93"/>
      <c r="E798" s="94"/>
      <c r="F798" s="95"/>
      <c r="G798" s="96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  <c r="AA798" s="68"/>
      <c r="AB798" s="68"/>
      <c r="AC798" s="68"/>
      <c r="AD798" s="68"/>
    </row>
    <row r="799" ht="14.25" customHeight="1" spans="4:30">
      <c r="D799" s="93"/>
      <c r="E799" s="94"/>
      <c r="F799" s="95"/>
      <c r="G799" s="96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  <c r="AA799" s="68"/>
      <c r="AB799" s="68"/>
      <c r="AC799" s="68"/>
      <c r="AD799" s="68"/>
    </row>
    <row r="800" ht="14.25" customHeight="1" spans="4:30">
      <c r="D800" s="93"/>
      <c r="E800" s="94"/>
      <c r="F800" s="95"/>
      <c r="G800" s="96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  <c r="AA800" s="68"/>
      <c r="AB800" s="68"/>
      <c r="AC800" s="68"/>
      <c r="AD800" s="68"/>
    </row>
    <row r="801" ht="14.25" customHeight="1" spans="4:30">
      <c r="D801" s="93"/>
      <c r="E801" s="94"/>
      <c r="F801" s="95"/>
      <c r="G801" s="96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  <c r="AA801" s="68"/>
      <c r="AB801" s="68"/>
      <c r="AC801" s="68"/>
      <c r="AD801" s="68"/>
    </row>
    <row r="802" ht="14.25" customHeight="1" spans="4:30">
      <c r="D802" s="93"/>
      <c r="E802" s="94"/>
      <c r="F802" s="95"/>
      <c r="G802" s="96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  <c r="AA802" s="68"/>
      <c r="AB802" s="68"/>
      <c r="AC802" s="68"/>
      <c r="AD802" s="68"/>
    </row>
    <row r="803" ht="14.25" customHeight="1" spans="4:30">
      <c r="D803" s="93"/>
      <c r="E803" s="94"/>
      <c r="F803" s="95"/>
      <c r="G803" s="96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  <c r="AA803" s="68"/>
      <c r="AB803" s="68"/>
      <c r="AC803" s="68"/>
      <c r="AD803" s="68"/>
    </row>
    <row r="804" ht="14.25" customHeight="1" spans="4:30">
      <c r="D804" s="93"/>
      <c r="E804" s="94"/>
      <c r="F804" s="95"/>
      <c r="G804" s="96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  <c r="AA804" s="68"/>
      <c r="AB804" s="68"/>
      <c r="AC804" s="68"/>
      <c r="AD804" s="68"/>
    </row>
    <row r="805" ht="14.25" customHeight="1" spans="4:30">
      <c r="D805" s="93"/>
      <c r="E805" s="94"/>
      <c r="F805" s="95"/>
      <c r="G805" s="96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  <c r="AA805" s="68"/>
      <c r="AB805" s="68"/>
      <c r="AC805" s="68"/>
      <c r="AD805" s="68"/>
    </row>
    <row r="806" ht="14.25" customHeight="1" spans="4:30">
      <c r="D806" s="93"/>
      <c r="E806" s="94"/>
      <c r="F806" s="95"/>
      <c r="G806" s="96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  <c r="AA806" s="68"/>
      <c r="AB806" s="68"/>
      <c r="AC806" s="68"/>
      <c r="AD806" s="68"/>
    </row>
    <row r="807" ht="14.25" customHeight="1" spans="4:30">
      <c r="D807" s="93"/>
      <c r="E807" s="94"/>
      <c r="F807" s="95"/>
      <c r="G807" s="96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  <c r="AA807" s="68"/>
      <c r="AB807" s="68"/>
      <c r="AC807" s="68"/>
      <c r="AD807" s="68"/>
    </row>
    <row r="808" ht="14.25" customHeight="1" spans="4:30">
      <c r="D808" s="93"/>
      <c r="E808" s="94"/>
      <c r="F808" s="95"/>
      <c r="G808" s="96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  <c r="AA808" s="68"/>
      <c r="AB808" s="68"/>
      <c r="AC808" s="68"/>
      <c r="AD808" s="68"/>
    </row>
    <row r="809" ht="14.25" customHeight="1" spans="4:30">
      <c r="D809" s="93"/>
      <c r="E809" s="94"/>
      <c r="F809" s="95"/>
      <c r="G809" s="96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  <c r="AA809" s="68"/>
      <c r="AB809" s="68"/>
      <c r="AC809" s="68"/>
      <c r="AD809" s="68"/>
    </row>
    <row r="810" ht="14.25" customHeight="1" spans="4:30">
      <c r="D810" s="93"/>
      <c r="E810" s="94"/>
      <c r="F810" s="95"/>
      <c r="G810" s="96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  <c r="AA810" s="68"/>
      <c r="AB810" s="68"/>
      <c r="AC810" s="68"/>
      <c r="AD810" s="68"/>
    </row>
    <row r="811" ht="14.25" customHeight="1" spans="4:30">
      <c r="D811" s="93"/>
      <c r="E811" s="94"/>
      <c r="F811" s="95"/>
      <c r="G811" s="96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  <c r="AA811" s="68"/>
      <c r="AB811" s="68"/>
      <c r="AC811" s="68"/>
      <c r="AD811" s="68"/>
    </row>
    <row r="812" ht="14.25" customHeight="1" spans="4:30">
      <c r="D812" s="93"/>
      <c r="E812" s="94"/>
      <c r="F812" s="95"/>
      <c r="G812" s="96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  <c r="AA812" s="68"/>
      <c r="AB812" s="68"/>
      <c r="AC812" s="68"/>
      <c r="AD812" s="68"/>
    </row>
    <row r="813" ht="14.25" customHeight="1" spans="4:30">
      <c r="D813" s="93"/>
      <c r="E813" s="94"/>
      <c r="F813" s="95"/>
      <c r="G813" s="96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  <c r="AA813" s="68"/>
      <c r="AB813" s="68"/>
      <c r="AC813" s="68"/>
      <c r="AD813" s="68"/>
    </row>
    <row r="814" ht="14.25" customHeight="1" spans="4:30">
      <c r="D814" s="93"/>
      <c r="E814" s="94"/>
      <c r="F814" s="95"/>
      <c r="G814" s="96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  <c r="AA814" s="68"/>
      <c r="AB814" s="68"/>
      <c r="AC814" s="68"/>
      <c r="AD814" s="68"/>
    </row>
    <row r="815" ht="14.25" customHeight="1" spans="4:30">
      <c r="D815" s="93"/>
      <c r="E815" s="94"/>
      <c r="F815" s="95"/>
      <c r="G815" s="96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  <c r="AA815" s="68"/>
      <c r="AB815" s="68"/>
      <c r="AC815" s="68"/>
      <c r="AD815" s="68"/>
    </row>
    <row r="816" ht="14.25" customHeight="1" spans="4:30">
      <c r="D816" s="93"/>
      <c r="E816" s="94"/>
      <c r="F816" s="95"/>
      <c r="G816" s="96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  <c r="AA816" s="68"/>
      <c r="AB816" s="68"/>
      <c r="AC816" s="68"/>
      <c r="AD816" s="68"/>
    </row>
    <row r="817" ht="14.25" customHeight="1" spans="4:30">
      <c r="D817" s="93"/>
      <c r="E817" s="94"/>
      <c r="F817" s="95"/>
      <c r="G817" s="96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  <c r="AA817" s="68"/>
      <c r="AB817" s="68"/>
      <c r="AC817" s="68"/>
      <c r="AD817" s="68"/>
    </row>
    <row r="818" ht="14.25" customHeight="1" spans="4:30">
      <c r="D818" s="93"/>
      <c r="E818" s="94"/>
      <c r="F818" s="95"/>
      <c r="G818" s="96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  <c r="AA818" s="68"/>
      <c r="AB818" s="68"/>
      <c r="AC818" s="68"/>
      <c r="AD818" s="68"/>
    </row>
    <row r="819" ht="14.25" customHeight="1" spans="4:30">
      <c r="D819" s="93"/>
      <c r="E819" s="94"/>
      <c r="F819" s="95"/>
      <c r="G819" s="96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  <c r="AA819" s="68"/>
      <c r="AB819" s="68"/>
      <c r="AC819" s="68"/>
      <c r="AD819" s="68"/>
    </row>
    <row r="820" ht="14.25" customHeight="1" spans="4:30">
      <c r="D820" s="93"/>
      <c r="E820" s="94"/>
      <c r="F820" s="95"/>
      <c r="G820" s="96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  <c r="AA820" s="68"/>
      <c r="AB820" s="68"/>
      <c r="AC820" s="68"/>
      <c r="AD820" s="68"/>
    </row>
    <row r="821" ht="14.25" customHeight="1" spans="4:30">
      <c r="D821" s="93"/>
      <c r="E821" s="94"/>
      <c r="F821" s="95"/>
      <c r="G821" s="96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  <c r="AA821" s="68"/>
      <c r="AB821" s="68"/>
      <c r="AC821" s="68"/>
      <c r="AD821" s="68"/>
    </row>
    <row r="822" ht="14.25" customHeight="1" spans="4:30">
      <c r="D822" s="93"/>
      <c r="E822" s="94"/>
      <c r="F822" s="95"/>
      <c r="G822" s="96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  <c r="AA822" s="68"/>
      <c r="AB822" s="68"/>
      <c r="AC822" s="68"/>
      <c r="AD822" s="68"/>
    </row>
    <row r="823" ht="14.25" customHeight="1" spans="4:30">
      <c r="D823" s="93"/>
      <c r="E823" s="94"/>
      <c r="F823" s="95"/>
      <c r="G823" s="96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  <c r="AA823" s="68"/>
      <c r="AB823" s="68"/>
      <c r="AC823" s="68"/>
      <c r="AD823" s="68"/>
    </row>
    <row r="824" ht="14.25" customHeight="1" spans="4:30">
      <c r="D824" s="93"/>
      <c r="E824" s="94"/>
      <c r="F824" s="95"/>
      <c r="G824" s="96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  <c r="AA824" s="68"/>
      <c r="AB824" s="68"/>
      <c r="AC824" s="68"/>
      <c r="AD824" s="68"/>
    </row>
    <row r="825" ht="14.25" customHeight="1" spans="4:30">
      <c r="D825" s="93"/>
      <c r="E825" s="94"/>
      <c r="F825" s="95"/>
      <c r="G825" s="96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  <c r="AA825" s="68"/>
      <c r="AB825" s="68"/>
      <c r="AC825" s="68"/>
      <c r="AD825" s="68"/>
    </row>
    <row r="826" ht="14.25" customHeight="1" spans="4:30">
      <c r="D826" s="93"/>
      <c r="E826" s="94"/>
      <c r="F826" s="95"/>
      <c r="G826" s="96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  <c r="AA826" s="68"/>
      <c r="AB826" s="68"/>
      <c r="AC826" s="68"/>
      <c r="AD826" s="68"/>
    </row>
    <row r="827" ht="14.25" customHeight="1" spans="4:30">
      <c r="D827" s="93"/>
      <c r="E827" s="94"/>
      <c r="F827" s="95"/>
      <c r="G827" s="96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  <c r="AA827" s="68"/>
      <c r="AB827" s="68"/>
      <c r="AC827" s="68"/>
      <c r="AD827" s="68"/>
    </row>
    <row r="828" ht="14.25" customHeight="1" spans="4:30">
      <c r="D828" s="93"/>
      <c r="E828" s="94"/>
      <c r="F828" s="95"/>
      <c r="G828" s="96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  <c r="AA828" s="68"/>
      <c r="AB828" s="68"/>
      <c r="AC828" s="68"/>
      <c r="AD828" s="68"/>
    </row>
    <row r="829" ht="14.25" customHeight="1" spans="4:30">
      <c r="D829" s="93"/>
      <c r="E829" s="94"/>
      <c r="F829" s="95"/>
      <c r="G829" s="96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  <c r="AA829" s="68"/>
      <c r="AB829" s="68"/>
      <c r="AC829" s="68"/>
      <c r="AD829" s="68"/>
    </row>
    <row r="830" ht="14.25" customHeight="1" spans="4:30">
      <c r="D830" s="93"/>
      <c r="E830" s="94"/>
      <c r="F830" s="95"/>
      <c r="G830" s="96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  <c r="AA830" s="68"/>
      <c r="AB830" s="68"/>
      <c r="AC830" s="68"/>
      <c r="AD830" s="68"/>
    </row>
    <row r="831" ht="14.25" customHeight="1" spans="4:30">
      <c r="D831" s="93"/>
      <c r="E831" s="94"/>
      <c r="F831" s="95"/>
      <c r="G831" s="96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  <c r="AA831" s="68"/>
      <c r="AB831" s="68"/>
      <c r="AC831" s="68"/>
      <c r="AD831" s="68"/>
    </row>
    <row r="832" ht="14.25" customHeight="1" spans="4:30">
      <c r="D832" s="93"/>
      <c r="E832" s="94"/>
      <c r="F832" s="95"/>
      <c r="G832" s="96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  <c r="AA832" s="68"/>
      <c r="AB832" s="68"/>
      <c r="AC832" s="68"/>
      <c r="AD832" s="68"/>
    </row>
    <row r="833" ht="14.25" customHeight="1" spans="4:30">
      <c r="D833" s="93"/>
      <c r="E833" s="94"/>
      <c r="F833" s="95"/>
      <c r="G833" s="96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  <c r="AA833" s="68"/>
      <c r="AB833" s="68"/>
      <c r="AC833" s="68"/>
      <c r="AD833" s="68"/>
    </row>
    <row r="834" ht="14.25" customHeight="1" spans="4:30">
      <c r="D834" s="93"/>
      <c r="E834" s="94"/>
      <c r="F834" s="95"/>
      <c r="G834" s="96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  <c r="AA834" s="68"/>
      <c r="AB834" s="68"/>
      <c r="AC834" s="68"/>
      <c r="AD834" s="68"/>
    </row>
    <row r="835" ht="14.25" customHeight="1" spans="4:30">
      <c r="D835" s="93"/>
      <c r="E835" s="94"/>
      <c r="F835" s="95"/>
      <c r="G835" s="96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  <c r="AA835" s="68"/>
      <c r="AB835" s="68"/>
      <c r="AC835" s="68"/>
      <c r="AD835" s="68"/>
    </row>
    <row r="836" ht="14.25" customHeight="1" spans="4:30">
      <c r="D836" s="93"/>
      <c r="E836" s="94"/>
      <c r="F836" s="95"/>
      <c r="G836" s="96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  <c r="AA836" s="68"/>
      <c r="AB836" s="68"/>
      <c r="AC836" s="68"/>
      <c r="AD836" s="68"/>
    </row>
    <row r="837" ht="14.25" customHeight="1" spans="4:30">
      <c r="D837" s="93"/>
      <c r="E837" s="94"/>
      <c r="F837" s="95"/>
      <c r="G837" s="96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  <c r="AA837" s="68"/>
      <c r="AB837" s="68"/>
      <c r="AC837" s="68"/>
      <c r="AD837" s="68"/>
    </row>
    <row r="838" ht="14.25" customHeight="1" spans="4:30">
      <c r="D838" s="93"/>
      <c r="E838" s="94"/>
      <c r="F838" s="95"/>
      <c r="G838" s="96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  <c r="AA838" s="68"/>
      <c r="AB838" s="68"/>
      <c r="AC838" s="68"/>
      <c r="AD838" s="68"/>
    </row>
    <row r="839" ht="14.25" customHeight="1" spans="4:30">
      <c r="D839" s="93"/>
      <c r="E839" s="94"/>
      <c r="F839" s="95"/>
      <c r="G839" s="96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  <c r="AA839" s="68"/>
      <c r="AB839" s="68"/>
      <c r="AC839" s="68"/>
      <c r="AD839" s="68"/>
    </row>
    <row r="840" ht="14.25" customHeight="1" spans="4:30">
      <c r="D840" s="93"/>
      <c r="E840" s="94"/>
      <c r="F840" s="95"/>
      <c r="G840" s="96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  <c r="AA840" s="68"/>
      <c r="AB840" s="68"/>
      <c r="AC840" s="68"/>
      <c r="AD840" s="68"/>
    </row>
    <row r="841" ht="14.25" customHeight="1" spans="4:30">
      <c r="D841" s="93"/>
      <c r="E841" s="94"/>
      <c r="F841" s="95"/>
      <c r="G841" s="96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  <c r="AA841" s="68"/>
      <c r="AB841" s="68"/>
      <c r="AC841" s="68"/>
      <c r="AD841" s="68"/>
    </row>
    <row r="842" ht="14.25" customHeight="1" spans="4:30">
      <c r="D842" s="93"/>
      <c r="E842" s="94"/>
      <c r="F842" s="95"/>
      <c r="G842" s="96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  <c r="AA842" s="68"/>
      <c r="AB842" s="68"/>
      <c r="AC842" s="68"/>
      <c r="AD842" s="68"/>
    </row>
    <row r="843" ht="14.25" customHeight="1" spans="4:30">
      <c r="D843" s="93"/>
      <c r="E843" s="94"/>
      <c r="F843" s="95"/>
      <c r="G843" s="96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  <c r="AA843" s="68"/>
      <c r="AB843" s="68"/>
      <c r="AC843" s="68"/>
      <c r="AD843" s="68"/>
    </row>
    <row r="844" ht="14.25" customHeight="1" spans="4:30">
      <c r="D844" s="93"/>
      <c r="E844" s="94"/>
      <c r="F844" s="95"/>
      <c r="G844" s="96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  <c r="AA844" s="68"/>
      <c r="AB844" s="68"/>
      <c r="AC844" s="68"/>
      <c r="AD844" s="68"/>
    </row>
    <row r="845" ht="14.25" customHeight="1" spans="4:30">
      <c r="D845" s="93"/>
      <c r="E845" s="94"/>
      <c r="F845" s="95"/>
      <c r="G845" s="96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  <c r="AA845" s="68"/>
      <c r="AB845" s="68"/>
      <c r="AC845" s="68"/>
      <c r="AD845" s="68"/>
    </row>
    <row r="846" ht="14.25" customHeight="1" spans="4:30">
      <c r="D846" s="93"/>
      <c r="E846" s="94"/>
      <c r="F846" s="95"/>
      <c r="G846" s="96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  <c r="AA846" s="68"/>
      <c r="AB846" s="68"/>
      <c r="AC846" s="68"/>
      <c r="AD846" s="68"/>
    </row>
    <row r="847" ht="14.25" customHeight="1" spans="4:30">
      <c r="D847" s="93"/>
      <c r="E847" s="94"/>
      <c r="F847" s="95"/>
      <c r="G847" s="96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  <c r="AA847" s="68"/>
      <c r="AB847" s="68"/>
      <c r="AC847" s="68"/>
      <c r="AD847" s="68"/>
    </row>
    <row r="848" ht="14.25" customHeight="1" spans="4:30">
      <c r="D848" s="93"/>
      <c r="E848" s="94"/>
      <c r="F848" s="95"/>
      <c r="G848" s="96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  <c r="AA848" s="68"/>
      <c r="AB848" s="68"/>
      <c r="AC848" s="68"/>
      <c r="AD848" s="68"/>
    </row>
    <row r="849" ht="14.25" customHeight="1" spans="4:30">
      <c r="D849" s="93"/>
      <c r="E849" s="94"/>
      <c r="F849" s="95"/>
      <c r="G849" s="96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  <c r="AA849" s="68"/>
      <c r="AB849" s="68"/>
      <c r="AC849" s="68"/>
      <c r="AD849" s="68"/>
    </row>
    <row r="850" ht="14.25" customHeight="1" spans="4:30">
      <c r="D850" s="93"/>
      <c r="E850" s="94"/>
      <c r="F850" s="95"/>
      <c r="G850" s="96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  <c r="AA850" s="68"/>
      <c r="AB850" s="68"/>
      <c r="AC850" s="68"/>
      <c r="AD850" s="68"/>
    </row>
    <row r="851" ht="14.25" customHeight="1" spans="4:30">
      <c r="D851" s="93"/>
      <c r="E851" s="94"/>
      <c r="F851" s="95"/>
      <c r="G851" s="96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  <c r="AA851" s="68"/>
      <c r="AB851" s="68"/>
      <c r="AC851" s="68"/>
      <c r="AD851" s="68"/>
    </row>
    <row r="852" ht="14.25" customHeight="1" spans="4:30">
      <c r="D852" s="93"/>
      <c r="E852" s="94"/>
      <c r="F852" s="95"/>
      <c r="G852" s="96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  <c r="AA852" s="68"/>
      <c r="AB852" s="68"/>
      <c r="AC852" s="68"/>
      <c r="AD852" s="68"/>
    </row>
    <row r="853" ht="14.25" customHeight="1" spans="4:30">
      <c r="D853" s="93"/>
      <c r="E853" s="94"/>
      <c r="F853" s="95"/>
      <c r="G853" s="96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  <c r="AA853" s="68"/>
      <c r="AB853" s="68"/>
      <c r="AC853" s="68"/>
      <c r="AD853" s="68"/>
    </row>
    <row r="854" ht="14.25" customHeight="1" spans="4:30">
      <c r="D854" s="93"/>
      <c r="E854" s="94"/>
      <c r="F854" s="95"/>
      <c r="G854" s="96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  <c r="AA854" s="68"/>
      <c r="AB854" s="68"/>
      <c r="AC854" s="68"/>
      <c r="AD854" s="68"/>
    </row>
    <row r="855" ht="14.25" customHeight="1" spans="4:30">
      <c r="D855" s="93"/>
      <c r="E855" s="94"/>
      <c r="F855" s="95"/>
      <c r="G855" s="96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  <c r="AA855" s="68"/>
      <c r="AB855" s="68"/>
      <c r="AC855" s="68"/>
      <c r="AD855" s="68"/>
    </row>
    <row r="856" ht="14.25" customHeight="1" spans="4:30">
      <c r="D856" s="93"/>
      <c r="E856" s="94"/>
      <c r="F856" s="95"/>
      <c r="G856" s="96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  <c r="AA856" s="68"/>
      <c r="AB856" s="68"/>
      <c r="AC856" s="68"/>
      <c r="AD856" s="68"/>
    </row>
    <row r="857" ht="14.25" customHeight="1" spans="4:30">
      <c r="D857" s="93"/>
      <c r="E857" s="94"/>
      <c r="F857" s="95"/>
      <c r="G857" s="96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  <c r="AA857" s="68"/>
      <c r="AB857" s="68"/>
      <c r="AC857" s="68"/>
      <c r="AD857" s="68"/>
    </row>
    <row r="858" ht="14.25" customHeight="1" spans="4:30">
      <c r="D858" s="93"/>
      <c r="E858" s="94"/>
      <c r="F858" s="95"/>
      <c r="G858" s="96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  <c r="AA858" s="68"/>
      <c r="AB858" s="68"/>
      <c r="AC858" s="68"/>
      <c r="AD858" s="68"/>
    </row>
    <row r="859" ht="14.25" customHeight="1" spans="4:30">
      <c r="D859" s="93"/>
      <c r="E859" s="94"/>
      <c r="F859" s="95"/>
      <c r="G859" s="96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  <c r="AA859" s="68"/>
      <c r="AB859" s="68"/>
      <c r="AC859" s="68"/>
      <c r="AD859" s="68"/>
    </row>
    <row r="860" ht="14.25" customHeight="1" spans="4:30">
      <c r="D860" s="93"/>
      <c r="E860" s="94"/>
      <c r="F860" s="95"/>
      <c r="G860" s="96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  <c r="AA860" s="68"/>
      <c r="AB860" s="68"/>
      <c r="AC860" s="68"/>
      <c r="AD860" s="68"/>
    </row>
    <row r="861" ht="14.25" customHeight="1" spans="4:30">
      <c r="D861" s="93"/>
      <c r="E861" s="94"/>
      <c r="F861" s="95"/>
      <c r="G861" s="96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  <c r="AA861" s="68"/>
      <c r="AB861" s="68"/>
      <c r="AC861" s="68"/>
      <c r="AD861" s="68"/>
    </row>
    <row r="862" ht="14.25" customHeight="1" spans="4:30">
      <c r="D862" s="93"/>
      <c r="E862" s="94"/>
      <c r="F862" s="95"/>
      <c r="G862" s="96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  <c r="AA862" s="68"/>
      <c r="AB862" s="68"/>
      <c r="AC862" s="68"/>
      <c r="AD862" s="68"/>
    </row>
    <row r="863" ht="14.25" customHeight="1" spans="4:30">
      <c r="D863" s="93"/>
      <c r="E863" s="94"/>
      <c r="F863" s="95"/>
      <c r="G863" s="96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  <c r="AA863" s="68"/>
      <c r="AB863" s="68"/>
      <c r="AC863" s="68"/>
      <c r="AD863" s="68"/>
    </row>
    <row r="864" ht="14.25" customHeight="1" spans="4:30">
      <c r="D864" s="93"/>
      <c r="E864" s="94"/>
      <c r="F864" s="95"/>
      <c r="G864" s="96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  <c r="AA864" s="68"/>
      <c r="AB864" s="68"/>
      <c r="AC864" s="68"/>
      <c r="AD864" s="68"/>
    </row>
    <row r="865" ht="14.25" customHeight="1" spans="4:30">
      <c r="D865" s="93"/>
      <c r="E865" s="94"/>
      <c r="F865" s="95"/>
      <c r="G865" s="96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  <c r="AA865" s="68"/>
      <c r="AB865" s="68"/>
      <c r="AC865" s="68"/>
      <c r="AD865" s="68"/>
    </row>
    <row r="866" ht="14.25" customHeight="1" spans="4:30">
      <c r="D866" s="93"/>
      <c r="E866" s="94"/>
      <c r="F866" s="95"/>
      <c r="G866" s="96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  <c r="AA866" s="68"/>
      <c r="AB866" s="68"/>
      <c r="AC866" s="68"/>
      <c r="AD866" s="68"/>
    </row>
    <row r="867" ht="14.25" customHeight="1" spans="4:30">
      <c r="D867" s="93"/>
      <c r="E867" s="94"/>
      <c r="F867" s="95"/>
      <c r="G867" s="96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  <c r="AA867" s="68"/>
      <c r="AB867" s="68"/>
      <c r="AC867" s="68"/>
      <c r="AD867" s="68"/>
    </row>
    <row r="868" ht="14.25" customHeight="1" spans="4:30">
      <c r="D868" s="93"/>
      <c r="E868" s="94"/>
      <c r="F868" s="95"/>
      <c r="G868" s="96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  <c r="AA868" s="68"/>
      <c r="AB868" s="68"/>
      <c r="AC868" s="68"/>
      <c r="AD868" s="68"/>
    </row>
    <row r="869" ht="14.25" customHeight="1" spans="4:30">
      <c r="D869" s="93"/>
      <c r="E869" s="94"/>
      <c r="F869" s="95"/>
      <c r="G869" s="96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  <c r="AA869" s="68"/>
      <c r="AB869" s="68"/>
      <c r="AC869" s="68"/>
      <c r="AD869" s="68"/>
    </row>
    <row r="870" ht="14.25" customHeight="1" spans="4:30">
      <c r="D870" s="93"/>
      <c r="E870" s="94"/>
      <c r="F870" s="95"/>
      <c r="G870" s="96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  <c r="AA870" s="68"/>
      <c r="AB870" s="68"/>
      <c r="AC870" s="68"/>
      <c r="AD870" s="68"/>
    </row>
    <row r="871" ht="14.25" customHeight="1" spans="4:30">
      <c r="D871" s="93"/>
      <c r="E871" s="94"/>
      <c r="F871" s="95"/>
      <c r="G871" s="96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  <c r="AA871" s="68"/>
      <c r="AB871" s="68"/>
      <c r="AC871" s="68"/>
      <c r="AD871" s="68"/>
    </row>
    <row r="872" ht="14.25" customHeight="1" spans="4:30">
      <c r="D872" s="93"/>
      <c r="E872" s="94"/>
      <c r="F872" s="95"/>
      <c r="G872" s="96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  <c r="AA872" s="68"/>
      <c r="AB872" s="68"/>
      <c r="AC872" s="68"/>
      <c r="AD872" s="68"/>
    </row>
    <row r="873" ht="14.25" customHeight="1" spans="4:30">
      <c r="D873" s="93"/>
      <c r="E873" s="94"/>
      <c r="F873" s="95"/>
      <c r="G873" s="96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  <c r="AA873" s="68"/>
      <c r="AB873" s="68"/>
      <c r="AC873" s="68"/>
      <c r="AD873" s="68"/>
    </row>
    <row r="874" ht="14.25" customHeight="1" spans="4:30">
      <c r="D874" s="93"/>
      <c r="E874" s="94"/>
      <c r="F874" s="95"/>
      <c r="G874" s="96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  <c r="AA874" s="68"/>
      <c r="AB874" s="68"/>
      <c r="AC874" s="68"/>
      <c r="AD874" s="68"/>
    </row>
    <row r="875" ht="14.25" customHeight="1" spans="4:30">
      <c r="D875" s="93"/>
      <c r="E875" s="94"/>
      <c r="F875" s="95"/>
      <c r="G875" s="96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  <c r="AA875" s="68"/>
      <c r="AB875" s="68"/>
      <c r="AC875" s="68"/>
      <c r="AD875" s="68"/>
    </row>
    <row r="876" ht="14.25" customHeight="1" spans="4:30">
      <c r="D876" s="93"/>
      <c r="E876" s="94"/>
      <c r="F876" s="95"/>
      <c r="G876" s="96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  <c r="AA876" s="68"/>
      <c r="AB876" s="68"/>
      <c r="AC876" s="68"/>
      <c r="AD876" s="68"/>
    </row>
    <row r="877" ht="14.25" customHeight="1" spans="4:30">
      <c r="D877" s="93"/>
      <c r="E877" s="94"/>
      <c r="F877" s="95"/>
      <c r="G877" s="96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  <c r="AA877" s="68"/>
      <c r="AB877" s="68"/>
      <c r="AC877" s="68"/>
      <c r="AD877" s="68"/>
    </row>
    <row r="878" ht="14.25" customHeight="1" spans="4:30">
      <c r="D878" s="93"/>
      <c r="E878" s="94"/>
      <c r="F878" s="95"/>
      <c r="G878" s="96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  <c r="AA878" s="68"/>
      <c r="AB878" s="68"/>
      <c r="AC878" s="68"/>
      <c r="AD878" s="68"/>
    </row>
    <row r="879" ht="14.25" customHeight="1" spans="4:30">
      <c r="D879" s="93"/>
      <c r="E879" s="94"/>
      <c r="F879" s="95"/>
      <c r="G879" s="96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  <c r="AA879" s="68"/>
      <c r="AB879" s="68"/>
      <c r="AC879" s="68"/>
      <c r="AD879" s="68"/>
    </row>
    <row r="880" ht="14.25" customHeight="1" spans="4:30">
      <c r="D880" s="93"/>
      <c r="E880" s="94"/>
      <c r="F880" s="95"/>
      <c r="G880" s="96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  <c r="AA880" s="68"/>
      <c r="AB880" s="68"/>
      <c r="AC880" s="68"/>
      <c r="AD880" s="68"/>
    </row>
    <row r="881" ht="14.25" customHeight="1" spans="4:30">
      <c r="D881" s="93"/>
      <c r="E881" s="94"/>
      <c r="F881" s="95"/>
      <c r="G881" s="96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  <c r="AA881" s="68"/>
      <c r="AB881" s="68"/>
      <c r="AC881" s="68"/>
      <c r="AD881" s="68"/>
    </row>
    <row r="882" ht="14.25" customHeight="1" spans="4:30">
      <c r="D882" s="93"/>
      <c r="E882" s="94"/>
      <c r="F882" s="95"/>
      <c r="G882" s="96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  <c r="AA882" s="68"/>
      <c r="AB882" s="68"/>
      <c r="AC882" s="68"/>
      <c r="AD882" s="68"/>
    </row>
    <row r="883" ht="14.25" customHeight="1" spans="4:30">
      <c r="D883" s="93"/>
      <c r="E883" s="94"/>
      <c r="F883" s="95"/>
      <c r="G883" s="96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  <c r="AA883" s="68"/>
      <c r="AB883" s="68"/>
      <c r="AC883" s="68"/>
      <c r="AD883" s="68"/>
    </row>
    <row r="884" ht="14.25" customHeight="1" spans="4:30">
      <c r="D884" s="93"/>
      <c r="E884" s="94"/>
      <c r="F884" s="95"/>
      <c r="G884" s="96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  <c r="AA884" s="68"/>
      <c r="AB884" s="68"/>
      <c r="AC884" s="68"/>
      <c r="AD884" s="68"/>
    </row>
    <row r="885" ht="14.25" customHeight="1" spans="4:30">
      <c r="D885" s="93"/>
      <c r="E885" s="94"/>
      <c r="F885" s="95"/>
      <c r="G885" s="96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  <c r="AA885" s="68"/>
      <c r="AB885" s="68"/>
      <c r="AC885" s="68"/>
      <c r="AD885" s="68"/>
    </row>
    <row r="886" ht="14.25" customHeight="1" spans="4:30">
      <c r="D886" s="93"/>
      <c r="E886" s="94"/>
      <c r="F886" s="95"/>
      <c r="G886" s="96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  <c r="AA886" s="68"/>
      <c r="AB886" s="68"/>
      <c r="AC886" s="68"/>
      <c r="AD886" s="68"/>
    </row>
    <row r="887" ht="14.25" customHeight="1" spans="4:30">
      <c r="D887" s="93"/>
      <c r="E887" s="94"/>
      <c r="F887" s="95"/>
      <c r="G887" s="96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  <c r="AA887" s="68"/>
      <c r="AB887" s="68"/>
      <c r="AC887" s="68"/>
      <c r="AD887" s="68"/>
    </row>
    <row r="888" ht="14.25" customHeight="1" spans="4:30">
      <c r="D888" s="93"/>
      <c r="E888" s="94"/>
      <c r="F888" s="95"/>
      <c r="G888" s="96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  <c r="AA888" s="68"/>
      <c r="AB888" s="68"/>
      <c r="AC888" s="68"/>
      <c r="AD888" s="68"/>
    </row>
    <row r="889" ht="14.25" customHeight="1" spans="4:30">
      <c r="D889" s="93"/>
      <c r="E889" s="94"/>
      <c r="F889" s="95"/>
      <c r="G889" s="96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  <c r="AA889" s="68"/>
      <c r="AB889" s="68"/>
      <c r="AC889" s="68"/>
      <c r="AD889" s="68"/>
    </row>
    <row r="890" ht="14.25" customHeight="1" spans="4:30">
      <c r="D890" s="93"/>
      <c r="E890" s="94"/>
      <c r="F890" s="95"/>
      <c r="G890" s="96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  <c r="AA890" s="68"/>
      <c r="AB890" s="68"/>
      <c r="AC890" s="68"/>
      <c r="AD890" s="68"/>
    </row>
    <row r="891" ht="14.25" customHeight="1" spans="4:30">
      <c r="D891" s="93"/>
      <c r="E891" s="94"/>
      <c r="F891" s="95"/>
      <c r="G891" s="96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  <c r="AA891" s="68"/>
      <c r="AB891" s="68"/>
      <c r="AC891" s="68"/>
      <c r="AD891" s="68"/>
    </row>
    <row r="892" ht="14.25" customHeight="1" spans="4:30">
      <c r="D892" s="93"/>
      <c r="E892" s="94"/>
      <c r="F892" s="95"/>
      <c r="G892" s="96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  <c r="AA892" s="68"/>
      <c r="AB892" s="68"/>
      <c r="AC892" s="68"/>
      <c r="AD892" s="68"/>
    </row>
    <row r="893" ht="14.25" customHeight="1" spans="4:30">
      <c r="D893" s="93"/>
      <c r="E893" s="94"/>
      <c r="F893" s="95"/>
      <c r="G893" s="96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  <c r="AA893" s="68"/>
      <c r="AB893" s="68"/>
      <c r="AC893" s="68"/>
      <c r="AD893" s="68"/>
    </row>
    <row r="894" ht="14.25" customHeight="1" spans="4:30">
      <c r="D894" s="93"/>
      <c r="E894" s="94"/>
      <c r="F894" s="95"/>
      <c r="G894" s="96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  <c r="AA894" s="68"/>
      <c r="AB894" s="68"/>
      <c r="AC894" s="68"/>
      <c r="AD894" s="68"/>
    </row>
    <row r="895" ht="14.25" customHeight="1" spans="4:30">
      <c r="D895" s="93"/>
      <c r="E895" s="94"/>
      <c r="F895" s="95"/>
      <c r="G895" s="96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  <c r="AA895" s="68"/>
      <c r="AB895" s="68"/>
      <c r="AC895" s="68"/>
      <c r="AD895" s="68"/>
    </row>
    <row r="896" ht="14.25" customHeight="1" spans="4:30">
      <c r="D896" s="93"/>
      <c r="E896" s="94"/>
      <c r="F896" s="95"/>
      <c r="G896" s="96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  <c r="AA896" s="68"/>
      <c r="AB896" s="68"/>
      <c r="AC896" s="68"/>
      <c r="AD896" s="68"/>
    </row>
    <row r="897" ht="14.25" customHeight="1" spans="4:30">
      <c r="D897" s="93"/>
      <c r="E897" s="94"/>
      <c r="F897" s="95"/>
      <c r="G897" s="96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  <c r="AA897" s="68"/>
      <c r="AB897" s="68"/>
      <c r="AC897" s="68"/>
      <c r="AD897" s="68"/>
    </row>
    <row r="898" ht="14.25" customHeight="1" spans="4:30">
      <c r="D898" s="93"/>
      <c r="E898" s="94"/>
      <c r="F898" s="95"/>
      <c r="G898" s="96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  <c r="AA898" s="68"/>
      <c r="AB898" s="68"/>
      <c r="AC898" s="68"/>
      <c r="AD898" s="68"/>
    </row>
    <row r="899" ht="14.25" customHeight="1" spans="4:30">
      <c r="D899" s="93"/>
      <c r="E899" s="94"/>
      <c r="F899" s="95"/>
      <c r="G899" s="96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  <c r="AA899" s="68"/>
      <c r="AB899" s="68"/>
      <c r="AC899" s="68"/>
      <c r="AD899" s="68"/>
    </row>
    <row r="900" ht="14.25" customHeight="1" spans="4:30">
      <c r="D900" s="93"/>
      <c r="E900" s="94"/>
      <c r="F900" s="95"/>
      <c r="G900" s="96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  <c r="AA900" s="68"/>
      <c r="AB900" s="68"/>
      <c r="AC900" s="68"/>
      <c r="AD900" s="68"/>
    </row>
    <row r="901" ht="14.25" customHeight="1" spans="4:30">
      <c r="D901" s="93"/>
      <c r="E901" s="94"/>
      <c r="F901" s="95"/>
      <c r="G901" s="96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  <c r="AA901" s="68"/>
      <c r="AB901" s="68"/>
      <c r="AC901" s="68"/>
      <c r="AD901" s="68"/>
    </row>
    <row r="902" ht="14.25" customHeight="1" spans="4:30">
      <c r="D902" s="93"/>
      <c r="E902" s="94"/>
      <c r="F902" s="95"/>
      <c r="G902" s="96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  <c r="AA902" s="68"/>
      <c r="AB902" s="68"/>
      <c r="AC902" s="68"/>
      <c r="AD902" s="68"/>
    </row>
    <row r="903" ht="14.25" customHeight="1" spans="4:30">
      <c r="D903" s="93"/>
      <c r="E903" s="94"/>
      <c r="F903" s="95"/>
      <c r="G903" s="96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  <c r="AA903" s="68"/>
      <c r="AB903" s="68"/>
      <c r="AC903" s="68"/>
      <c r="AD903" s="68"/>
    </row>
    <row r="904" ht="14.25" customHeight="1" spans="4:30">
      <c r="D904" s="93"/>
      <c r="E904" s="94"/>
      <c r="F904" s="95"/>
      <c r="G904" s="96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  <c r="AA904" s="68"/>
      <c r="AB904" s="68"/>
      <c r="AC904" s="68"/>
      <c r="AD904" s="68"/>
    </row>
    <row r="905" ht="14.25" customHeight="1" spans="4:30">
      <c r="D905" s="93"/>
      <c r="E905" s="94"/>
      <c r="F905" s="95"/>
      <c r="G905" s="96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  <c r="AA905" s="68"/>
      <c r="AB905" s="68"/>
      <c r="AC905" s="68"/>
      <c r="AD905" s="68"/>
    </row>
    <row r="906" ht="14.25" customHeight="1" spans="4:30">
      <c r="D906" s="93"/>
      <c r="E906" s="94"/>
      <c r="F906" s="95"/>
      <c r="G906" s="96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  <c r="AA906" s="68"/>
      <c r="AB906" s="68"/>
      <c r="AC906" s="68"/>
      <c r="AD906" s="68"/>
    </row>
    <row r="907" ht="14.25" customHeight="1" spans="4:30">
      <c r="D907" s="93"/>
      <c r="E907" s="94"/>
      <c r="F907" s="95"/>
      <c r="G907" s="96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  <c r="AA907" s="68"/>
      <c r="AB907" s="68"/>
      <c r="AC907" s="68"/>
      <c r="AD907" s="68"/>
    </row>
    <row r="908" ht="14.25" customHeight="1" spans="4:30">
      <c r="D908" s="93"/>
      <c r="E908" s="94"/>
      <c r="F908" s="95"/>
      <c r="G908" s="96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  <c r="AA908" s="68"/>
      <c r="AB908" s="68"/>
      <c r="AC908" s="68"/>
      <c r="AD908" s="68"/>
    </row>
    <row r="909" ht="14.25" customHeight="1" spans="4:30">
      <c r="D909" s="93"/>
      <c r="E909" s="94"/>
      <c r="F909" s="95"/>
      <c r="G909" s="96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  <c r="AA909" s="68"/>
      <c r="AB909" s="68"/>
      <c r="AC909" s="68"/>
      <c r="AD909" s="68"/>
    </row>
    <row r="910" ht="14.25" customHeight="1" spans="4:30">
      <c r="D910" s="93"/>
      <c r="E910" s="94"/>
      <c r="F910" s="95"/>
      <c r="G910" s="96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  <c r="AA910" s="68"/>
      <c r="AB910" s="68"/>
      <c r="AC910" s="68"/>
      <c r="AD910" s="68"/>
    </row>
    <row r="911" ht="14.25" customHeight="1" spans="4:30">
      <c r="D911" s="93"/>
      <c r="E911" s="94"/>
      <c r="F911" s="95"/>
      <c r="G911" s="96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  <c r="AA911" s="68"/>
      <c r="AB911" s="68"/>
      <c r="AC911" s="68"/>
      <c r="AD911" s="68"/>
    </row>
    <row r="912" ht="14.25" customHeight="1" spans="4:30">
      <c r="D912" s="93"/>
      <c r="E912" s="94"/>
      <c r="F912" s="95"/>
      <c r="G912" s="96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  <c r="AA912" s="68"/>
      <c r="AB912" s="68"/>
      <c r="AC912" s="68"/>
      <c r="AD912" s="68"/>
    </row>
    <row r="913" ht="14.25" customHeight="1" spans="4:30">
      <c r="D913" s="93"/>
      <c r="E913" s="94"/>
      <c r="F913" s="95"/>
      <c r="G913" s="96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  <c r="AA913" s="68"/>
      <c r="AB913" s="68"/>
      <c r="AC913" s="68"/>
      <c r="AD913" s="68"/>
    </row>
    <row r="914" ht="14.25" customHeight="1" spans="4:30">
      <c r="D914" s="93"/>
      <c r="E914" s="94"/>
      <c r="F914" s="95"/>
      <c r="G914" s="96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  <c r="AA914" s="68"/>
      <c r="AB914" s="68"/>
      <c r="AC914" s="68"/>
      <c r="AD914" s="68"/>
    </row>
    <row r="915" ht="14.25" customHeight="1" spans="4:30">
      <c r="D915" s="93"/>
      <c r="E915" s="94"/>
      <c r="F915" s="95"/>
      <c r="G915" s="96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  <c r="AA915" s="68"/>
      <c r="AB915" s="68"/>
      <c r="AC915" s="68"/>
      <c r="AD915" s="68"/>
    </row>
    <row r="916" ht="14.25" customHeight="1" spans="4:30">
      <c r="D916" s="93"/>
      <c r="E916" s="94"/>
      <c r="F916" s="95"/>
      <c r="G916" s="96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  <c r="AA916" s="68"/>
      <c r="AB916" s="68"/>
      <c r="AC916" s="68"/>
      <c r="AD916" s="68"/>
    </row>
    <row r="917" ht="14.25" customHeight="1" spans="4:30">
      <c r="D917" s="93"/>
      <c r="E917" s="94"/>
      <c r="F917" s="95"/>
      <c r="G917" s="96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  <c r="AA917" s="68"/>
      <c r="AB917" s="68"/>
      <c r="AC917" s="68"/>
      <c r="AD917" s="68"/>
    </row>
    <row r="918" ht="14.25" customHeight="1" spans="4:30">
      <c r="D918" s="93"/>
      <c r="E918" s="94"/>
      <c r="F918" s="95"/>
      <c r="G918" s="96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  <c r="AA918" s="68"/>
      <c r="AB918" s="68"/>
      <c r="AC918" s="68"/>
      <c r="AD918" s="68"/>
    </row>
    <row r="919" ht="14.25" customHeight="1" spans="4:30">
      <c r="D919" s="93"/>
      <c r="E919" s="94"/>
      <c r="F919" s="95"/>
      <c r="G919" s="96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  <c r="AA919" s="68"/>
      <c r="AB919" s="68"/>
      <c r="AC919" s="68"/>
      <c r="AD919" s="68"/>
    </row>
    <row r="920" ht="14.25" customHeight="1" spans="4:30">
      <c r="D920" s="93"/>
      <c r="E920" s="94"/>
      <c r="F920" s="95"/>
      <c r="G920" s="96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  <c r="AA920" s="68"/>
      <c r="AB920" s="68"/>
      <c r="AC920" s="68"/>
      <c r="AD920" s="68"/>
    </row>
    <row r="921" ht="14.25" customHeight="1" spans="4:30">
      <c r="D921" s="93"/>
      <c r="E921" s="94"/>
      <c r="F921" s="95"/>
      <c r="G921" s="96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  <c r="AA921" s="68"/>
      <c r="AB921" s="68"/>
      <c r="AC921" s="68"/>
      <c r="AD921" s="68"/>
    </row>
    <row r="922" ht="14.25" customHeight="1" spans="4:30">
      <c r="D922" s="93"/>
      <c r="E922" s="94"/>
      <c r="F922" s="95"/>
      <c r="G922" s="96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  <c r="AA922" s="68"/>
      <c r="AB922" s="68"/>
      <c r="AC922" s="68"/>
      <c r="AD922" s="68"/>
    </row>
    <row r="923" ht="14.25" customHeight="1" spans="4:30">
      <c r="D923" s="93"/>
      <c r="E923" s="94"/>
      <c r="F923" s="95"/>
      <c r="G923" s="96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  <c r="AA923" s="68"/>
      <c r="AB923" s="68"/>
      <c r="AC923" s="68"/>
      <c r="AD923" s="68"/>
    </row>
    <row r="924" ht="14.25" customHeight="1" spans="4:30">
      <c r="D924" s="93"/>
      <c r="E924" s="94"/>
      <c r="F924" s="95"/>
      <c r="G924" s="96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  <c r="AA924" s="68"/>
      <c r="AB924" s="68"/>
      <c r="AC924" s="68"/>
      <c r="AD924" s="68"/>
    </row>
    <row r="925" ht="14.25" customHeight="1" spans="4:30">
      <c r="D925" s="93"/>
      <c r="E925" s="94"/>
      <c r="F925" s="95"/>
      <c r="G925" s="96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  <c r="AA925" s="68"/>
      <c r="AB925" s="68"/>
      <c r="AC925" s="68"/>
      <c r="AD925" s="68"/>
    </row>
    <row r="926" ht="14.25" customHeight="1" spans="4:30">
      <c r="D926" s="93"/>
      <c r="E926" s="94"/>
      <c r="F926" s="95"/>
      <c r="G926" s="96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  <c r="AA926" s="68"/>
      <c r="AB926" s="68"/>
      <c r="AC926" s="68"/>
      <c r="AD926" s="68"/>
    </row>
    <row r="927" ht="14.25" customHeight="1" spans="4:30">
      <c r="D927" s="93"/>
      <c r="E927" s="94"/>
      <c r="F927" s="95"/>
      <c r="G927" s="96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  <c r="AA927" s="68"/>
      <c r="AB927" s="68"/>
      <c r="AC927" s="68"/>
      <c r="AD927" s="68"/>
    </row>
    <row r="928" ht="14.25" customHeight="1" spans="4:30">
      <c r="D928" s="93"/>
      <c r="E928" s="94"/>
      <c r="F928" s="95"/>
      <c r="G928" s="96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  <c r="AA928" s="68"/>
      <c r="AB928" s="68"/>
      <c r="AC928" s="68"/>
      <c r="AD928" s="68"/>
    </row>
    <row r="929" ht="14.25" customHeight="1" spans="4:30">
      <c r="D929" s="93"/>
      <c r="E929" s="94"/>
      <c r="F929" s="95"/>
      <c r="G929" s="96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  <c r="AA929" s="68"/>
      <c r="AB929" s="68"/>
      <c r="AC929" s="68"/>
      <c r="AD929" s="68"/>
    </row>
    <row r="930" ht="14.25" customHeight="1" spans="4:30">
      <c r="D930" s="93"/>
      <c r="E930" s="94"/>
      <c r="F930" s="95"/>
      <c r="G930" s="96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  <c r="AA930" s="68"/>
      <c r="AB930" s="68"/>
      <c r="AC930" s="68"/>
      <c r="AD930" s="68"/>
    </row>
    <row r="931" ht="14.25" customHeight="1" spans="4:30">
      <c r="D931" s="93"/>
      <c r="E931" s="94"/>
      <c r="F931" s="95"/>
      <c r="G931" s="96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  <c r="AA931" s="68"/>
      <c r="AB931" s="68"/>
      <c r="AC931" s="68"/>
      <c r="AD931" s="68"/>
    </row>
    <row r="932" ht="14.25" customHeight="1" spans="4:30">
      <c r="D932" s="93"/>
      <c r="E932" s="94"/>
      <c r="F932" s="95"/>
      <c r="G932" s="96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  <c r="AA932" s="68"/>
      <c r="AB932" s="68"/>
      <c r="AC932" s="68"/>
      <c r="AD932" s="68"/>
    </row>
    <row r="933" ht="14.25" customHeight="1" spans="4:30">
      <c r="D933" s="93"/>
      <c r="E933" s="94"/>
      <c r="F933" s="95"/>
      <c r="G933" s="96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  <c r="AA933" s="68"/>
      <c r="AB933" s="68"/>
      <c r="AC933" s="68"/>
      <c r="AD933" s="68"/>
    </row>
    <row r="934" ht="14.25" customHeight="1" spans="4:30">
      <c r="D934" s="93"/>
      <c r="E934" s="94"/>
      <c r="F934" s="95"/>
      <c r="G934" s="96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  <c r="AA934" s="68"/>
      <c r="AB934" s="68"/>
      <c r="AC934" s="68"/>
      <c r="AD934" s="68"/>
    </row>
    <row r="935" ht="14.25" customHeight="1" spans="4:30">
      <c r="D935" s="93"/>
      <c r="E935" s="94"/>
      <c r="F935" s="95"/>
      <c r="G935" s="96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  <c r="AA935" s="68"/>
      <c r="AB935" s="68"/>
      <c r="AC935" s="68"/>
      <c r="AD935" s="68"/>
    </row>
    <row r="936" ht="14.25" customHeight="1" spans="4:30">
      <c r="D936" s="93"/>
      <c r="E936" s="94"/>
      <c r="F936" s="95"/>
      <c r="G936" s="96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  <c r="AA936" s="68"/>
      <c r="AB936" s="68"/>
      <c r="AC936" s="68"/>
      <c r="AD936" s="68"/>
    </row>
    <row r="937" ht="14.25" customHeight="1" spans="4:30">
      <c r="D937" s="93"/>
      <c r="E937" s="94"/>
      <c r="F937" s="95"/>
      <c r="G937" s="96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  <c r="AA937" s="68"/>
      <c r="AB937" s="68"/>
      <c r="AC937" s="68"/>
      <c r="AD937" s="68"/>
    </row>
    <row r="938" ht="14.25" customHeight="1" spans="4:30">
      <c r="D938" s="93"/>
      <c r="E938" s="94"/>
      <c r="F938" s="95"/>
      <c r="G938" s="96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  <c r="AA938" s="68"/>
      <c r="AB938" s="68"/>
      <c r="AC938" s="68"/>
      <c r="AD938" s="68"/>
    </row>
    <row r="939" ht="14.25" customHeight="1" spans="4:30">
      <c r="D939" s="93"/>
      <c r="E939" s="94"/>
      <c r="F939" s="95"/>
      <c r="G939" s="96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  <c r="AA939" s="68"/>
      <c r="AB939" s="68"/>
      <c r="AC939" s="68"/>
      <c r="AD939" s="68"/>
    </row>
    <row r="940" ht="14.25" customHeight="1" spans="4:30">
      <c r="D940" s="93"/>
      <c r="E940" s="94"/>
      <c r="F940" s="95"/>
      <c r="G940" s="96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  <c r="AA940" s="68"/>
      <c r="AB940" s="68"/>
      <c r="AC940" s="68"/>
      <c r="AD940" s="68"/>
    </row>
    <row r="941" ht="14.25" customHeight="1" spans="4:30">
      <c r="D941" s="93"/>
      <c r="E941" s="94"/>
      <c r="F941" s="95"/>
      <c r="G941" s="96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  <c r="AA941" s="68"/>
      <c r="AB941" s="68"/>
      <c r="AC941" s="68"/>
      <c r="AD941" s="68"/>
    </row>
    <row r="942" ht="14.25" customHeight="1" spans="4:30">
      <c r="D942" s="93"/>
      <c r="E942" s="94"/>
      <c r="F942" s="95"/>
      <c r="G942" s="96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  <c r="AA942" s="68"/>
      <c r="AB942" s="68"/>
      <c r="AC942" s="68"/>
      <c r="AD942" s="68"/>
    </row>
    <row r="943" ht="14.25" customHeight="1" spans="4:30">
      <c r="D943" s="93"/>
      <c r="E943" s="94"/>
      <c r="F943" s="95"/>
      <c r="G943" s="96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  <c r="AA943" s="68"/>
      <c r="AB943" s="68"/>
      <c r="AC943" s="68"/>
      <c r="AD943" s="68"/>
    </row>
    <row r="944" ht="14.25" customHeight="1" spans="4:30">
      <c r="D944" s="93"/>
      <c r="E944" s="94"/>
      <c r="F944" s="95"/>
      <c r="G944" s="96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  <c r="AA944" s="68"/>
      <c r="AB944" s="68"/>
      <c r="AC944" s="68"/>
      <c r="AD944" s="68"/>
    </row>
    <row r="945" ht="14.25" customHeight="1" spans="4:30">
      <c r="D945" s="93"/>
      <c r="E945" s="94"/>
      <c r="F945" s="95"/>
      <c r="G945" s="96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  <c r="AA945" s="68"/>
      <c r="AB945" s="68"/>
      <c r="AC945" s="68"/>
      <c r="AD945" s="68"/>
    </row>
    <row r="946" ht="14.25" customHeight="1" spans="4:30">
      <c r="D946" s="93"/>
      <c r="E946" s="94"/>
      <c r="F946" s="95"/>
      <c r="G946" s="96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  <c r="AA946" s="68"/>
      <c r="AB946" s="68"/>
      <c r="AC946" s="68"/>
      <c r="AD946" s="68"/>
    </row>
    <row r="947" ht="14.25" customHeight="1" spans="4:30">
      <c r="D947" s="93"/>
      <c r="E947" s="94"/>
      <c r="F947" s="95"/>
      <c r="G947" s="96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  <c r="AA947" s="68"/>
      <c r="AB947" s="68"/>
      <c r="AC947" s="68"/>
      <c r="AD947" s="68"/>
    </row>
    <row r="948" ht="14.25" customHeight="1" spans="4:30">
      <c r="D948" s="93"/>
      <c r="E948" s="94"/>
      <c r="F948" s="95"/>
      <c r="G948" s="96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  <c r="AA948" s="68"/>
      <c r="AB948" s="68"/>
      <c r="AC948" s="68"/>
      <c r="AD948" s="68"/>
    </row>
    <row r="949" ht="14.25" customHeight="1" spans="4:30">
      <c r="D949" s="93"/>
      <c r="E949" s="94"/>
      <c r="F949" s="95"/>
      <c r="G949" s="96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  <c r="AA949" s="68"/>
      <c r="AB949" s="68"/>
      <c r="AC949" s="68"/>
      <c r="AD949" s="68"/>
    </row>
    <row r="950" ht="14.25" customHeight="1" spans="4:30">
      <c r="D950" s="93"/>
      <c r="E950" s="94"/>
      <c r="F950" s="95"/>
      <c r="G950" s="96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  <c r="AA950" s="68"/>
      <c r="AB950" s="68"/>
      <c r="AC950" s="68"/>
      <c r="AD950" s="68"/>
    </row>
    <row r="951" ht="14.25" customHeight="1" spans="4:30">
      <c r="D951" s="93"/>
      <c r="E951" s="94"/>
      <c r="F951" s="95"/>
      <c r="G951" s="96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  <c r="AA951" s="68"/>
      <c r="AB951" s="68"/>
      <c r="AC951" s="68"/>
      <c r="AD951" s="68"/>
    </row>
    <row r="952" ht="14.25" customHeight="1" spans="4:30">
      <c r="D952" s="93"/>
      <c r="E952" s="94"/>
      <c r="F952" s="95"/>
      <c r="G952" s="96"/>
      <c r="P952" s="68"/>
      <c r="Q952" s="68"/>
      <c r="R952" s="68"/>
      <c r="S952" s="68"/>
      <c r="T952" s="68"/>
      <c r="U952" s="68"/>
      <c r="V952" s="68"/>
      <c r="W952" s="68"/>
      <c r="X952" s="68"/>
      <c r="Y952" s="68"/>
      <c r="Z952" s="68"/>
      <c r="AA952" s="68"/>
      <c r="AB952" s="68"/>
      <c r="AC952" s="68"/>
      <c r="AD952" s="68"/>
    </row>
    <row r="953" ht="14.25" customHeight="1" spans="4:30">
      <c r="D953" s="93"/>
      <c r="E953" s="94"/>
      <c r="F953" s="95"/>
      <c r="G953" s="96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  <c r="AA953" s="68"/>
      <c r="AB953" s="68"/>
      <c r="AC953" s="68"/>
      <c r="AD953" s="68"/>
    </row>
    <row r="954" ht="14.25" customHeight="1" spans="4:30">
      <c r="D954" s="93"/>
      <c r="E954" s="94"/>
      <c r="F954" s="95"/>
      <c r="G954" s="96"/>
      <c r="P954" s="68"/>
      <c r="Q954" s="68"/>
      <c r="R954" s="68"/>
      <c r="S954" s="68"/>
      <c r="T954" s="68"/>
      <c r="U954" s="68"/>
      <c r="V954" s="68"/>
      <c r="W954" s="68"/>
      <c r="X954" s="68"/>
      <c r="Y954" s="68"/>
      <c r="Z954" s="68"/>
      <c r="AA954" s="68"/>
      <c r="AB954" s="68"/>
      <c r="AC954" s="68"/>
      <c r="AD954" s="68"/>
    </row>
    <row r="955" ht="14.25" customHeight="1" spans="4:30">
      <c r="D955" s="93"/>
      <c r="E955" s="94"/>
      <c r="F955" s="95"/>
      <c r="G955" s="96"/>
      <c r="P955" s="68"/>
      <c r="Q955" s="68"/>
      <c r="R955" s="68"/>
      <c r="S955" s="68"/>
      <c r="T955" s="68"/>
      <c r="U955" s="68"/>
      <c r="V955" s="68"/>
      <c r="W955" s="68"/>
      <c r="X955" s="68"/>
      <c r="Y955" s="68"/>
      <c r="Z955" s="68"/>
      <c r="AA955" s="68"/>
      <c r="AB955" s="68"/>
      <c r="AC955" s="68"/>
      <c r="AD955" s="68"/>
    </row>
    <row r="956" ht="14.25" customHeight="1" spans="4:30">
      <c r="D956" s="93"/>
      <c r="E956" s="94"/>
      <c r="F956" s="95"/>
      <c r="G956" s="96"/>
      <c r="P956" s="68"/>
      <c r="Q956" s="68"/>
      <c r="R956" s="68"/>
      <c r="S956" s="68"/>
      <c r="T956" s="68"/>
      <c r="U956" s="68"/>
      <c r="V956" s="68"/>
      <c r="W956" s="68"/>
      <c r="X956" s="68"/>
      <c r="Y956" s="68"/>
      <c r="Z956" s="68"/>
      <c r="AA956" s="68"/>
      <c r="AB956" s="68"/>
      <c r="AC956" s="68"/>
      <c r="AD956" s="68"/>
    </row>
    <row r="957" ht="14.25" customHeight="1" spans="4:30">
      <c r="D957" s="93"/>
      <c r="E957" s="94"/>
      <c r="F957" s="95"/>
      <c r="G957" s="96"/>
      <c r="P957" s="68"/>
      <c r="Q957" s="68"/>
      <c r="R957" s="68"/>
      <c r="S957" s="68"/>
      <c r="T957" s="68"/>
      <c r="U957" s="68"/>
      <c r="V957" s="68"/>
      <c r="W957" s="68"/>
      <c r="X957" s="68"/>
      <c r="Y957" s="68"/>
      <c r="Z957" s="68"/>
      <c r="AA957" s="68"/>
      <c r="AB957" s="68"/>
      <c r="AC957" s="68"/>
      <c r="AD957" s="68"/>
    </row>
    <row r="958" ht="14.25" customHeight="1" spans="4:30">
      <c r="D958" s="93"/>
      <c r="E958" s="94"/>
      <c r="F958" s="95"/>
      <c r="G958" s="96"/>
      <c r="P958" s="68"/>
      <c r="Q958" s="68"/>
      <c r="R958" s="68"/>
      <c r="S958" s="68"/>
      <c r="T958" s="68"/>
      <c r="U958" s="68"/>
      <c r="V958" s="68"/>
      <c r="W958" s="68"/>
      <c r="X958" s="68"/>
      <c r="Y958" s="68"/>
      <c r="Z958" s="68"/>
      <c r="AA958" s="68"/>
      <c r="AB958" s="68"/>
      <c r="AC958" s="68"/>
      <c r="AD958" s="68"/>
    </row>
    <row r="959" ht="14.25" customHeight="1" spans="4:30">
      <c r="D959" s="93"/>
      <c r="E959" s="94"/>
      <c r="F959" s="95"/>
      <c r="G959" s="96"/>
      <c r="P959" s="68"/>
      <c r="Q959" s="68"/>
      <c r="R959" s="68"/>
      <c r="S959" s="68"/>
      <c r="T959" s="68"/>
      <c r="U959" s="68"/>
      <c r="V959" s="68"/>
      <c r="W959" s="68"/>
      <c r="X959" s="68"/>
      <c r="Y959" s="68"/>
      <c r="Z959" s="68"/>
      <c r="AA959" s="68"/>
      <c r="AB959" s="68"/>
      <c r="AC959" s="68"/>
      <c r="AD959" s="68"/>
    </row>
    <row r="960" ht="14.25" customHeight="1" spans="4:30">
      <c r="D960" s="93"/>
      <c r="E960" s="94"/>
      <c r="F960" s="95"/>
      <c r="G960" s="96"/>
      <c r="P960" s="68"/>
      <c r="Q960" s="68"/>
      <c r="R960" s="68"/>
      <c r="S960" s="68"/>
      <c r="T960" s="68"/>
      <c r="U960" s="68"/>
      <c r="V960" s="68"/>
      <c r="W960" s="68"/>
      <c r="X960" s="68"/>
      <c r="Y960" s="68"/>
      <c r="Z960" s="68"/>
      <c r="AA960" s="68"/>
      <c r="AB960" s="68"/>
      <c r="AC960" s="68"/>
      <c r="AD960" s="68"/>
    </row>
    <row r="961" ht="14.25" customHeight="1" spans="4:30">
      <c r="D961" s="93"/>
      <c r="E961" s="94"/>
      <c r="F961" s="95"/>
      <c r="G961" s="96"/>
      <c r="P961" s="68"/>
      <c r="Q961" s="68"/>
      <c r="R961" s="68"/>
      <c r="S961" s="68"/>
      <c r="T961" s="68"/>
      <c r="U961" s="68"/>
      <c r="V961" s="68"/>
      <c r="W961" s="68"/>
      <c r="X961" s="68"/>
      <c r="Y961" s="68"/>
      <c r="Z961" s="68"/>
      <c r="AA961" s="68"/>
      <c r="AB961" s="68"/>
      <c r="AC961" s="68"/>
      <c r="AD961" s="68"/>
    </row>
    <row r="962" ht="14.25" customHeight="1" spans="4:30">
      <c r="D962" s="93"/>
      <c r="E962" s="94"/>
      <c r="F962" s="95"/>
      <c r="G962" s="96"/>
      <c r="P962" s="68"/>
      <c r="Q962" s="68"/>
      <c r="R962" s="68"/>
      <c r="S962" s="68"/>
      <c r="T962" s="68"/>
      <c r="U962" s="68"/>
      <c r="V962" s="68"/>
      <c r="W962" s="68"/>
      <c r="X962" s="68"/>
      <c r="Y962" s="68"/>
      <c r="Z962" s="68"/>
      <c r="AA962" s="68"/>
      <c r="AB962" s="68"/>
      <c r="AC962" s="68"/>
      <c r="AD962" s="68"/>
    </row>
    <row r="963" ht="14.25" customHeight="1" spans="4:30">
      <c r="D963" s="93"/>
      <c r="E963" s="94"/>
      <c r="F963" s="95"/>
      <c r="G963" s="96"/>
      <c r="P963" s="68"/>
      <c r="Q963" s="68"/>
      <c r="R963" s="68"/>
      <c r="S963" s="68"/>
      <c r="T963" s="68"/>
      <c r="U963" s="68"/>
      <c r="V963" s="68"/>
      <c r="W963" s="68"/>
      <c r="X963" s="68"/>
      <c r="Y963" s="68"/>
      <c r="Z963" s="68"/>
      <c r="AA963" s="68"/>
      <c r="AB963" s="68"/>
      <c r="AC963" s="68"/>
      <c r="AD963" s="68"/>
    </row>
    <row r="964" ht="14.25" customHeight="1" spans="4:30">
      <c r="D964" s="93"/>
      <c r="E964" s="94"/>
      <c r="F964" s="95"/>
      <c r="G964" s="96"/>
      <c r="P964" s="68"/>
      <c r="Q964" s="68"/>
      <c r="R964" s="68"/>
      <c r="S964" s="68"/>
      <c r="T964" s="68"/>
      <c r="U964" s="68"/>
      <c r="V964" s="68"/>
      <c r="W964" s="68"/>
      <c r="X964" s="68"/>
      <c r="Y964" s="68"/>
      <c r="Z964" s="68"/>
      <c r="AA964" s="68"/>
      <c r="AB964" s="68"/>
      <c r="AC964" s="68"/>
      <c r="AD964" s="68"/>
    </row>
    <row r="965" ht="14.25" customHeight="1" spans="4:30">
      <c r="D965" s="93"/>
      <c r="E965" s="94"/>
      <c r="F965" s="95"/>
      <c r="G965" s="96"/>
      <c r="P965" s="68"/>
      <c r="Q965" s="68"/>
      <c r="R965" s="68"/>
      <c r="S965" s="68"/>
      <c r="T965" s="68"/>
      <c r="U965" s="68"/>
      <c r="V965" s="68"/>
      <c r="W965" s="68"/>
      <c r="X965" s="68"/>
      <c r="Y965" s="68"/>
      <c r="Z965" s="68"/>
      <c r="AA965" s="68"/>
      <c r="AB965" s="68"/>
      <c r="AC965" s="68"/>
      <c r="AD965" s="68"/>
    </row>
    <row r="966" ht="14.25" customHeight="1" spans="4:30">
      <c r="D966" s="93"/>
      <c r="E966" s="94"/>
      <c r="F966" s="95"/>
      <c r="G966" s="96"/>
      <c r="P966" s="68"/>
      <c r="Q966" s="68"/>
      <c r="R966" s="68"/>
      <c r="S966" s="68"/>
      <c r="T966" s="68"/>
      <c r="U966" s="68"/>
      <c r="V966" s="68"/>
      <c r="W966" s="68"/>
      <c r="X966" s="68"/>
      <c r="Y966" s="68"/>
      <c r="Z966" s="68"/>
      <c r="AA966" s="68"/>
      <c r="AB966" s="68"/>
      <c r="AC966" s="68"/>
      <c r="AD966" s="68"/>
    </row>
    <row r="967" ht="14.25" customHeight="1" spans="4:30">
      <c r="D967" s="93"/>
      <c r="E967" s="94"/>
      <c r="F967" s="95"/>
      <c r="G967" s="96"/>
      <c r="P967" s="68"/>
      <c r="Q967" s="68"/>
      <c r="R967" s="68"/>
      <c r="S967" s="68"/>
      <c r="T967" s="68"/>
      <c r="U967" s="68"/>
      <c r="V967" s="68"/>
      <c r="W967" s="68"/>
      <c r="X967" s="68"/>
      <c r="Y967" s="68"/>
      <c r="Z967" s="68"/>
      <c r="AA967" s="68"/>
      <c r="AB967" s="68"/>
      <c r="AC967" s="68"/>
      <c r="AD967" s="68"/>
    </row>
    <row r="968" ht="14.25" customHeight="1" spans="4:30">
      <c r="D968" s="93"/>
      <c r="E968" s="94"/>
      <c r="F968" s="95"/>
      <c r="G968" s="96"/>
      <c r="P968" s="68"/>
      <c r="Q968" s="68"/>
      <c r="R968" s="68"/>
      <c r="S968" s="68"/>
      <c r="T968" s="68"/>
      <c r="U968" s="68"/>
      <c r="V968" s="68"/>
      <c r="W968" s="68"/>
      <c r="X968" s="68"/>
      <c r="Y968" s="68"/>
      <c r="Z968" s="68"/>
      <c r="AA968" s="68"/>
      <c r="AB968" s="68"/>
      <c r="AC968" s="68"/>
      <c r="AD968" s="68"/>
    </row>
    <row r="969" ht="14.25" customHeight="1" spans="4:30">
      <c r="D969" s="93"/>
      <c r="E969" s="94"/>
      <c r="F969" s="95"/>
      <c r="G969" s="96"/>
      <c r="P969" s="68"/>
      <c r="Q969" s="68"/>
      <c r="R969" s="68"/>
      <c r="S969" s="68"/>
      <c r="T969" s="68"/>
      <c r="U969" s="68"/>
      <c r="V969" s="68"/>
      <c r="W969" s="68"/>
      <c r="X969" s="68"/>
      <c r="Y969" s="68"/>
      <c r="Z969" s="68"/>
      <c r="AA969" s="68"/>
      <c r="AB969" s="68"/>
      <c r="AC969" s="68"/>
      <c r="AD969" s="68"/>
    </row>
    <row r="970" ht="14.25" customHeight="1" spans="4:30">
      <c r="D970" s="93"/>
      <c r="E970" s="94"/>
      <c r="F970" s="95"/>
      <c r="G970" s="96"/>
      <c r="P970" s="68"/>
      <c r="Q970" s="68"/>
      <c r="R970" s="68"/>
      <c r="S970" s="68"/>
      <c r="T970" s="68"/>
      <c r="U970" s="68"/>
      <c r="V970" s="68"/>
      <c r="W970" s="68"/>
      <c r="X970" s="68"/>
      <c r="Y970" s="68"/>
      <c r="Z970" s="68"/>
      <c r="AA970" s="68"/>
      <c r="AB970" s="68"/>
      <c r="AC970" s="68"/>
      <c r="AD970" s="68"/>
    </row>
    <row r="971" ht="14.25" customHeight="1" spans="4:30">
      <c r="D971" s="93"/>
      <c r="E971" s="94"/>
      <c r="F971" s="95"/>
      <c r="G971" s="96"/>
      <c r="P971" s="68"/>
      <c r="Q971" s="68"/>
      <c r="R971" s="68"/>
      <c r="S971" s="68"/>
      <c r="T971" s="68"/>
      <c r="U971" s="68"/>
      <c r="V971" s="68"/>
      <c r="W971" s="68"/>
      <c r="X971" s="68"/>
      <c r="Y971" s="68"/>
      <c r="Z971" s="68"/>
      <c r="AA971" s="68"/>
      <c r="AB971" s="68"/>
      <c r="AC971" s="68"/>
      <c r="AD971" s="68"/>
    </row>
    <row r="972" ht="14.25" customHeight="1" spans="4:30">
      <c r="D972" s="93"/>
      <c r="E972" s="94"/>
      <c r="F972" s="95"/>
      <c r="G972" s="96"/>
      <c r="P972" s="68"/>
      <c r="Q972" s="68"/>
      <c r="R972" s="68"/>
      <c r="S972" s="68"/>
      <c r="T972" s="68"/>
      <c r="U972" s="68"/>
      <c r="V972" s="68"/>
      <c r="W972" s="68"/>
      <c r="X972" s="68"/>
      <c r="Y972" s="68"/>
      <c r="Z972" s="68"/>
      <c r="AA972" s="68"/>
      <c r="AB972" s="68"/>
      <c r="AC972" s="68"/>
      <c r="AD972" s="68"/>
    </row>
    <row r="973" ht="14.25" customHeight="1" spans="4:30">
      <c r="D973" s="93"/>
      <c r="E973" s="94"/>
      <c r="F973" s="95"/>
      <c r="G973" s="96"/>
      <c r="P973" s="68"/>
      <c r="Q973" s="68"/>
      <c r="R973" s="68"/>
      <c r="S973" s="68"/>
      <c r="T973" s="68"/>
      <c r="U973" s="68"/>
      <c r="V973" s="68"/>
      <c r="W973" s="68"/>
      <c r="X973" s="68"/>
      <c r="Y973" s="68"/>
      <c r="Z973" s="68"/>
      <c r="AA973" s="68"/>
      <c r="AB973" s="68"/>
      <c r="AC973" s="68"/>
      <c r="AD973" s="68"/>
    </row>
    <row r="974" ht="14.25" customHeight="1" spans="4:30">
      <c r="D974" s="93"/>
      <c r="E974" s="94"/>
      <c r="F974" s="95"/>
      <c r="G974" s="96"/>
      <c r="P974" s="68"/>
      <c r="Q974" s="68"/>
      <c r="R974" s="68"/>
      <c r="S974" s="68"/>
      <c r="T974" s="68"/>
      <c r="U974" s="68"/>
      <c r="V974" s="68"/>
      <c r="W974" s="68"/>
      <c r="X974" s="68"/>
      <c r="Y974" s="68"/>
      <c r="Z974" s="68"/>
      <c r="AA974" s="68"/>
      <c r="AB974" s="68"/>
      <c r="AC974" s="68"/>
      <c r="AD974" s="68"/>
    </row>
    <row r="975" ht="14.25" customHeight="1" spans="4:30">
      <c r="D975" s="93"/>
      <c r="E975" s="94"/>
      <c r="F975" s="95"/>
      <c r="G975" s="96"/>
      <c r="P975" s="68"/>
      <c r="Q975" s="68"/>
      <c r="R975" s="68"/>
      <c r="S975" s="68"/>
      <c r="T975" s="68"/>
      <c r="U975" s="68"/>
      <c r="V975" s="68"/>
      <c r="W975" s="68"/>
      <c r="X975" s="68"/>
      <c r="Y975" s="68"/>
      <c r="Z975" s="68"/>
      <c r="AA975" s="68"/>
      <c r="AB975" s="68"/>
      <c r="AC975" s="68"/>
      <c r="AD975" s="68"/>
    </row>
    <row r="976" ht="14.25" customHeight="1" spans="4:30">
      <c r="D976" s="93"/>
      <c r="E976" s="94"/>
      <c r="F976" s="95"/>
      <c r="G976" s="96"/>
      <c r="P976" s="68"/>
      <c r="Q976" s="68"/>
      <c r="R976" s="68"/>
      <c r="S976" s="68"/>
      <c r="T976" s="68"/>
      <c r="U976" s="68"/>
      <c r="V976" s="68"/>
      <c r="W976" s="68"/>
      <c r="X976" s="68"/>
      <c r="Y976" s="68"/>
      <c r="Z976" s="68"/>
      <c r="AA976" s="68"/>
      <c r="AB976" s="68"/>
      <c r="AC976" s="68"/>
      <c r="AD976" s="68"/>
    </row>
    <row r="977" ht="14.25" customHeight="1" spans="4:30">
      <c r="D977" s="93"/>
      <c r="E977" s="94"/>
      <c r="F977" s="95"/>
      <c r="G977" s="96"/>
      <c r="P977" s="68"/>
      <c r="Q977" s="68"/>
      <c r="R977" s="68"/>
      <c r="S977" s="68"/>
      <c r="T977" s="68"/>
      <c r="U977" s="68"/>
      <c r="V977" s="68"/>
      <c r="W977" s="68"/>
      <c r="X977" s="68"/>
      <c r="Y977" s="68"/>
      <c r="Z977" s="68"/>
      <c r="AA977" s="68"/>
      <c r="AB977" s="68"/>
      <c r="AC977" s="68"/>
      <c r="AD977" s="68"/>
    </row>
    <row r="978" ht="14.25" customHeight="1" spans="4:30">
      <c r="D978" s="93"/>
      <c r="E978" s="94"/>
      <c r="F978" s="95"/>
      <c r="G978" s="96"/>
      <c r="P978" s="68"/>
      <c r="Q978" s="68"/>
      <c r="R978" s="68"/>
      <c r="S978" s="68"/>
      <c r="T978" s="68"/>
      <c r="U978" s="68"/>
      <c r="V978" s="68"/>
      <c r="W978" s="68"/>
      <c r="X978" s="68"/>
      <c r="Y978" s="68"/>
      <c r="Z978" s="68"/>
      <c r="AA978" s="68"/>
      <c r="AB978" s="68"/>
      <c r="AC978" s="68"/>
      <c r="AD978" s="68"/>
    </row>
    <row r="979" ht="14.25" customHeight="1" spans="4:30">
      <c r="D979" s="93"/>
      <c r="E979" s="94"/>
      <c r="F979" s="95"/>
      <c r="G979" s="96"/>
      <c r="P979" s="68"/>
      <c r="Q979" s="68"/>
      <c r="R979" s="68"/>
      <c r="S979" s="68"/>
      <c r="T979" s="68"/>
      <c r="U979" s="68"/>
      <c r="V979" s="68"/>
      <c r="W979" s="68"/>
      <c r="X979" s="68"/>
      <c r="Y979" s="68"/>
      <c r="Z979" s="68"/>
      <c r="AA979" s="68"/>
      <c r="AB979" s="68"/>
      <c r="AC979" s="68"/>
      <c r="AD979" s="68"/>
    </row>
    <row r="980" ht="14.25" customHeight="1" spans="4:30">
      <c r="D980" s="93"/>
      <c r="E980" s="94"/>
      <c r="F980" s="95"/>
      <c r="G980" s="96"/>
      <c r="P980" s="68"/>
      <c r="Q980" s="68"/>
      <c r="R980" s="68"/>
      <c r="S980" s="68"/>
      <c r="T980" s="68"/>
      <c r="U980" s="68"/>
      <c r="V980" s="68"/>
      <c r="W980" s="68"/>
      <c r="X980" s="68"/>
      <c r="Y980" s="68"/>
      <c r="Z980" s="68"/>
      <c r="AA980" s="68"/>
      <c r="AB980" s="68"/>
      <c r="AC980" s="68"/>
      <c r="AD980" s="68"/>
    </row>
    <row r="981" ht="14.25" customHeight="1" spans="4:30">
      <c r="D981" s="93"/>
      <c r="E981" s="94"/>
      <c r="F981" s="95"/>
      <c r="G981" s="96"/>
      <c r="P981" s="68"/>
      <c r="Q981" s="68"/>
      <c r="R981" s="68"/>
      <c r="S981" s="68"/>
      <c r="T981" s="68"/>
      <c r="U981" s="68"/>
      <c r="V981" s="68"/>
      <c r="W981" s="68"/>
      <c r="X981" s="68"/>
      <c r="Y981" s="68"/>
      <c r="Z981" s="68"/>
      <c r="AA981" s="68"/>
      <c r="AB981" s="68"/>
      <c r="AC981" s="68"/>
      <c r="AD981" s="68"/>
    </row>
    <row r="982" ht="14.25" customHeight="1" spans="4:30">
      <c r="D982" s="93"/>
      <c r="E982" s="94"/>
      <c r="F982" s="95"/>
      <c r="G982" s="96"/>
      <c r="P982" s="68"/>
      <c r="Q982" s="68"/>
      <c r="R982" s="68"/>
      <c r="S982" s="68"/>
      <c r="T982" s="68"/>
      <c r="U982" s="68"/>
      <c r="V982" s="68"/>
      <c r="W982" s="68"/>
      <c r="X982" s="68"/>
      <c r="Y982" s="68"/>
      <c r="Z982" s="68"/>
      <c r="AA982" s="68"/>
      <c r="AB982" s="68"/>
      <c r="AC982" s="68"/>
      <c r="AD982" s="68"/>
    </row>
    <row r="983" ht="14.25" customHeight="1" spans="4:30">
      <c r="D983" s="93"/>
      <c r="E983" s="94"/>
      <c r="F983" s="95"/>
      <c r="G983" s="96"/>
      <c r="P983" s="68"/>
      <c r="Q983" s="68"/>
      <c r="R983" s="68"/>
      <c r="S983" s="68"/>
      <c r="T983" s="68"/>
      <c r="U983" s="68"/>
      <c r="V983" s="68"/>
      <c r="W983" s="68"/>
      <c r="X983" s="68"/>
      <c r="Y983" s="68"/>
      <c r="Z983" s="68"/>
      <c r="AA983" s="68"/>
      <c r="AB983" s="68"/>
      <c r="AC983" s="68"/>
      <c r="AD983" s="68"/>
    </row>
    <row r="984" ht="14.25" customHeight="1" spans="4:30">
      <c r="D984" s="93"/>
      <c r="E984" s="94"/>
      <c r="F984" s="95"/>
      <c r="G984" s="96"/>
      <c r="P984" s="68"/>
      <c r="Q984" s="68"/>
      <c r="R984" s="68"/>
      <c r="S984" s="68"/>
      <c r="T984" s="68"/>
      <c r="U984" s="68"/>
      <c r="V984" s="68"/>
      <c r="W984" s="68"/>
      <c r="X984" s="68"/>
      <c r="Y984" s="68"/>
      <c r="Z984" s="68"/>
      <c r="AA984" s="68"/>
      <c r="AB984" s="68"/>
      <c r="AC984" s="68"/>
      <c r="AD984" s="68"/>
    </row>
    <row r="985" ht="14.25" customHeight="1" spans="4:30">
      <c r="D985" s="93"/>
      <c r="E985" s="94"/>
      <c r="F985" s="95"/>
      <c r="G985" s="96"/>
      <c r="P985" s="68"/>
      <c r="Q985" s="68"/>
      <c r="R985" s="68"/>
      <c r="S985" s="68"/>
      <c r="T985" s="68"/>
      <c r="U985" s="68"/>
      <c r="V985" s="68"/>
      <c r="W985" s="68"/>
      <c r="X985" s="68"/>
      <c r="Y985" s="68"/>
      <c r="Z985" s="68"/>
      <c r="AA985" s="68"/>
      <c r="AB985" s="68"/>
      <c r="AC985" s="68"/>
      <c r="AD985" s="68"/>
    </row>
    <row r="986" ht="14.25" customHeight="1" spans="4:30">
      <c r="D986" s="93"/>
      <c r="E986" s="94"/>
      <c r="F986" s="95"/>
      <c r="G986" s="96"/>
      <c r="P986" s="68"/>
      <c r="Q986" s="68"/>
      <c r="R986" s="68"/>
      <c r="S986" s="68"/>
      <c r="T986" s="68"/>
      <c r="U986" s="68"/>
      <c r="V986" s="68"/>
      <c r="W986" s="68"/>
      <c r="X986" s="68"/>
      <c r="Y986" s="68"/>
      <c r="Z986" s="68"/>
      <c r="AA986" s="68"/>
      <c r="AB986" s="68"/>
      <c r="AC986" s="68"/>
      <c r="AD986" s="68"/>
    </row>
    <row r="987" ht="14.25" customHeight="1" spans="4:30">
      <c r="D987" s="93"/>
      <c r="E987" s="94"/>
      <c r="F987" s="95"/>
      <c r="G987" s="96"/>
      <c r="P987" s="68"/>
      <c r="Q987" s="68"/>
      <c r="R987" s="68"/>
      <c r="S987" s="68"/>
      <c r="T987" s="68"/>
      <c r="U987" s="68"/>
      <c r="V987" s="68"/>
      <c r="W987" s="68"/>
      <c r="X987" s="68"/>
      <c r="Y987" s="68"/>
      <c r="Z987" s="68"/>
      <c r="AA987" s="68"/>
      <c r="AB987" s="68"/>
      <c r="AC987" s="68"/>
      <c r="AD987" s="68"/>
    </row>
    <row r="988" ht="14.25" customHeight="1" spans="4:30">
      <c r="D988" s="93"/>
      <c r="E988" s="94"/>
      <c r="F988" s="95"/>
      <c r="G988" s="96"/>
      <c r="P988" s="68"/>
      <c r="Q988" s="68"/>
      <c r="R988" s="68"/>
      <c r="S988" s="68"/>
      <c r="T988" s="68"/>
      <c r="U988" s="68"/>
      <c r="V988" s="68"/>
      <c r="W988" s="68"/>
      <c r="X988" s="68"/>
      <c r="Y988" s="68"/>
      <c r="Z988" s="68"/>
      <c r="AA988" s="68"/>
      <c r="AB988" s="68"/>
      <c r="AC988" s="68"/>
      <c r="AD988" s="68"/>
    </row>
    <row r="989" ht="14.25" customHeight="1" spans="4:30">
      <c r="D989" s="93"/>
      <c r="E989" s="94"/>
      <c r="F989" s="95"/>
      <c r="G989" s="96"/>
      <c r="P989" s="68"/>
      <c r="Q989" s="68"/>
      <c r="R989" s="68"/>
      <c r="S989" s="68"/>
      <c r="T989" s="68"/>
      <c r="U989" s="68"/>
      <c r="V989" s="68"/>
      <c r="W989" s="68"/>
      <c r="X989" s="68"/>
      <c r="Y989" s="68"/>
      <c r="Z989" s="68"/>
      <c r="AA989" s="68"/>
      <c r="AB989" s="68"/>
      <c r="AC989" s="68"/>
      <c r="AD989" s="68"/>
    </row>
    <row r="990" ht="14.25" customHeight="1" spans="4:30">
      <c r="D990" s="93"/>
      <c r="E990" s="94"/>
      <c r="F990" s="95"/>
      <c r="G990" s="96"/>
      <c r="P990" s="68"/>
      <c r="Q990" s="68"/>
      <c r="R990" s="68"/>
      <c r="S990" s="68"/>
      <c r="T990" s="68"/>
      <c r="U990" s="68"/>
      <c r="V990" s="68"/>
      <c r="W990" s="68"/>
      <c r="X990" s="68"/>
      <c r="Y990" s="68"/>
      <c r="Z990" s="68"/>
      <c r="AA990" s="68"/>
      <c r="AB990" s="68"/>
      <c r="AC990" s="68"/>
      <c r="AD990" s="68"/>
    </row>
    <row r="991" ht="14.25" customHeight="1" spans="4:30">
      <c r="D991" s="93"/>
      <c r="E991" s="94"/>
      <c r="F991" s="95"/>
      <c r="G991" s="96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  <c r="AA991" s="68"/>
      <c r="AB991" s="68"/>
      <c r="AC991" s="68"/>
      <c r="AD991" s="68"/>
    </row>
    <row r="992" ht="14.25" customHeight="1" spans="4:30">
      <c r="D992" s="93"/>
      <c r="E992" s="94"/>
      <c r="F992" s="95"/>
      <c r="G992" s="96"/>
      <c r="P992" s="68"/>
      <c r="Q992" s="68"/>
      <c r="R992" s="68"/>
      <c r="S992" s="68"/>
      <c r="T992" s="68"/>
      <c r="U992" s="68"/>
      <c r="V992" s="68"/>
      <c r="W992" s="68"/>
      <c r="X992" s="68"/>
      <c r="Y992" s="68"/>
      <c r="Z992" s="68"/>
      <c r="AA992" s="68"/>
      <c r="AB992" s="68"/>
      <c r="AC992" s="68"/>
      <c r="AD992" s="68"/>
    </row>
    <row r="993" ht="14.25" customHeight="1" spans="4:30">
      <c r="D993" s="93"/>
      <c r="E993" s="94"/>
      <c r="F993" s="95"/>
      <c r="G993" s="96"/>
      <c r="P993" s="68"/>
      <c r="Q993" s="68"/>
      <c r="R993" s="68"/>
      <c r="S993" s="68"/>
      <c r="T993" s="68"/>
      <c r="U993" s="68"/>
      <c r="V993" s="68"/>
      <c r="W993" s="68"/>
      <c r="X993" s="68"/>
      <c r="Y993" s="68"/>
      <c r="Z993" s="68"/>
      <c r="AA993" s="68"/>
      <c r="AB993" s="68"/>
      <c r="AC993" s="68"/>
      <c r="AD993" s="68"/>
    </row>
    <row r="994" ht="14.25" customHeight="1" spans="4:30">
      <c r="D994" s="93"/>
      <c r="E994" s="94"/>
      <c r="F994" s="95"/>
      <c r="G994" s="96"/>
      <c r="P994" s="68"/>
      <c r="Q994" s="68"/>
      <c r="R994" s="68"/>
      <c r="S994" s="68"/>
      <c r="T994" s="68"/>
      <c r="U994" s="68"/>
      <c r="V994" s="68"/>
      <c r="W994" s="68"/>
      <c r="X994" s="68"/>
      <c r="Y994" s="68"/>
      <c r="Z994" s="68"/>
      <c r="AA994" s="68"/>
      <c r="AB994" s="68"/>
      <c r="AC994" s="68"/>
      <c r="AD994" s="68"/>
    </row>
    <row r="995" ht="14.25" customHeight="1" spans="4:30">
      <c r="D995" s="93"/>
      <c r="E995" s="94"/>
      <c r="F995" s="95"/>
      <c r="G995" s="96"/>
      <c r="P995" s="68"/>
      <c r="Q995" s="68"/>
      <c r="R995" s="68"/>
      <c r="S995" s="68"/>
      <c r="T995" s="68"/>
      <c r="U995" s="68"/>
      <c r="V995" s="68"/>
      <c r="W995" s="68"/>
      <c r="X995" s="68"/>
      <c r="Y995" s="68"/>
      <c r="Z995" s="68"/>
      <c r="AA995" s="68"/>
      <c r="AB995" s="68"/>
      <c r="AC995" s="68"/>
      <c r="AD995" s="68"/>
    </row>
    <row r="996" ht="14.25" customHeight="1" spans="4:30">
      <c r="D996" s="93"/>
      <c r="E996" s="94"/>
      <c r="F996" s="95"/>
      <c r="G996" s="96"/>
      <c r="P996" s="68"/>
      <c r="Q996" s="68"/>
      <c r="R996" s="68"/>
      <c r="S996" s="68"/>
      <c r="T996" s="68"/>
      <c r="U996" s="68"/>
      <c r="V996" s="68"/>
      <c r="W996" s="68"/>
      <c r="X996" s="68"/>
      <c r="Y996" s="68"/>
      <c r="Z996" s="68"/>
      <c r="AA996" s="68"/>
      <c r="AB996" s="68"/>
      <c r="AC996" s="68"/>
      <c r="AD996" s="68"/>
    </row>
    <row r="997" ht="14.25" customHeight="1" spans="4:30">
      <c r="D997" s="93"/>
      <c r="E997" s="94"/>
      <c r="F997" s="95"/>
      <c r="G997" s="96"/>
      <c r="P997" s="68"/>
      <c r="Q997" s="68"/>
      <c r="R997" s="68"/>
      <c r="S997" s="68"/>
      <c r="T997" s="68"/>
      <c r="U997" s="68"/>
      <c r="V997" s="68"/>
      <c r="W997" s="68"/>
      <c r="X997" s="68"/>
      <c r="Y997" s="68"/>
      <c r="Z997" s="68"/>
      <c r="AA997" s="68"/>
      <c r="AB997" s="68"/>
      <c r="AC997" s="68"/>
      <c r="AD997" s="68"/>
    </row>
    <row r="998" ht="14.25" customHeight="1" spans="4:30">
      <c r="D998" s="93"/>
      <c r="E998" s="94"/>
      <c r="F998" s="95"/>
      <c r="G998" s="96"/>
      <c r="P998" s="68"/>
      <c r="Q998" s="68"/>
      <c r="R998" s="68"/>
      <c r="S998" s="68"/>
      <c r="T998" s="68"/>
      <c r="U998" s="68"/>
      <c r="V998" s="68"/>
      <c r="W998" s="68"/>
      <c r="X998" s="68"/>
      <c r="Y998" s="68"/>
      <c r="Z998" s="68"/>
      <c r="AA998" s="68"/>
      <c r="AB998" s="68"/>
      <c r="AC998" s="68"/>
      <c r="AD998" s="68"/>
    </row>
    <row r="999" ht="14.25" customHeight="1" spans="4:30">
      <c r="D999" s="93"/>
      <c r="E999" s="94"/>
      <c r="F999" s="95"/>
      <c r="G999" s="96"/>
      <c r="P999" s="68"/>
      <c r="Q999" s="68"/>
      <c r="R999" s="68"/>
      <c r="S999" s="68"/>
      <c r="T999" s="68"/>
      <c r="U999" s="68"/>
      <c r="V999" s="68"/>
      <c r="W999" s="68"/>
      <c r="X999" s="68"/>
      <c r="Y999" s="68"/>
      <c r="Z999" s="68"/>
      <c r="AA999" s="68"/>
      <c r="AB999" s="68"/>
      <c r="AC999" s="68"/>
      <c r="AD999" s="68"/>
    </row>
    <row r="1000" ht="14.25" customHeight="1" spans="4:30">
      <c r="D1000" s="93"/>
      <c r="E1000" s="94"/>
      <c r="F1000" s="95"/>
      <c r="G1000" s="96"/>
      <c r="P1000" s="68"/>
      <c r="Q1000" s="68"/>
      <c r="R1000" s="68"/>
      <c r="S1000" s="68"/>
      <c r="T1000" s="68"/>
      <c r="U1000" s="68"/>
      <c r="V1000" s="68"/>
      <c r="W1000" s="68"/>
      <c r="X1000" s="68"/>
      <c r="Y1000" s="68"/>
      <c r="Z1000" s="68"/>
      <c r="AA1000" s="68"/>
      <c r="AB1000" s="68"/>
      <c r="AC1000" s="68"/>
      <c r="AD1000" s="68"/>
    </row>
    <row r="1001" ht="14.25" customHeight="1" spans="4:30">
      <c r="D1001" s="93"/>
      <c r="E1001" s="94"/>
      <c r="F1001" s="95"/>
      <c r="G1001" s="96"/>
      <c r="P1001" s="68"/>
      <c r="Q1001" s="68"/>
      <c r="R1001" s="68"/>
      <c r="S1001" s="68"/>
      <c r="T1001" s="68"/>
      <c r="U1001" s="68"/>
      <c r="V1001" s="68"/>
      <c r="W1001" s="68"/>
      <c r="X1001" s="68"/>
      <c r="Y1001" s="68"/>
      <c r="Z1001" s="68"/>
      <c r="AA1001" s="68"/>
      <c r="AB1001" s="68"/>
      <c r="AC1001" s="68"/>
      <c r="AD1001" s="68"/>
    </row>
    <row r="1002" ht="14.25" customHeight="1" spans="4:30">
      <c r="D1002" s="93"/>
      <c r="E1002" s="94"/>
      <c r="F1002" s="95"/>
      <c r="G1002" s="96"/>
      <c r="P1002" s="68"/>
      <c r="Q1002" s="68"/>
      <c r="R1002" s="68"/>
      <c r="S1002" s="68"/>
      <c r="T1002" s="68"/>
      <c r="U1002" s="68"/>
      <c r="V1002" s="68"/>
      <c r="W1002" s="68"/>
      <c r="X1002" s="68"/>
      <c r="Y1002" s="68"/>
      <c r="Z1002" s="68"/>
      <c r="AA1002" s="68"/>
      <c r="AB1002" s="68"/>
      <c r="AC1002" s="68"/>
      <c r="AD1002" s="68"/>
    </row>
    <row r="1003" ht="14.25" customHeight="1" spans="4:30">
      <c r="D1003" s="93"/>
      <c r="E1003" s="94"/>
      <c r="F1003" s="95"/>
      <c r="G1003" s="96"/>
      <c r="P1003" s="68"/>
      <c r="Q1003" s="68"/>
      <c r="R1003" s="68"/>
      <c r="S1003" s="68"/>
      <c r="T1003" s="68"/>
      <c r="U1003" s="68"/>
      <c r="V1003" s="68"/>
      <c r="W1003" s="68"/>
      <c r="X1003" s="68"/>
      <c r="Y1003" s="68"/>
      <c r="Z1003" s="68"/>
      <c r="AA1003" s="68"/>
      <c r="AB1003" s="68"/>
      <c r="AC1003" s="68"/>
      <c r="AD1003" s="68"/>
    </row>
    <row r="1004" ht="14.25" customHeight="1" spans="4:30">
      <c r="D1004" s="93"/>
      <c r="E1004" s="94"/>
      <c r="F1004" s="95"/>
      <c r="G1004" s="96"/>
      <c r="P1004" s="68"/>
      <c r="Q1004" s="68"/>
      <c r="R1004" s="68"/>
      <c r="S1004" s="68"/>
      <c r="T1004" s="68"/>
      <c r="U1004" s="68"/>
      <c r="V1004" s="68"/>
      <c r="W1004" s="68"/>
      <c r="X1004" s="68"/>
      <c r="Y1004" s="68"/>
      <c r="Z1004" s="68"/>
      <c r="AA1004" s="68"/>
      <c r="AB1004" s="68"/>
      <c r="AC1004" s="68"/>
      <c r="AD1004" s="68"/>
    </row>
    <row r="1005" ht="14.25" customHeight="1" spans="4:30">
      <c r="D1005" s="93"/>
      <c r="E1005" s="94"/>
      <c r="F1005" s="95"/>
      <c r="G1005" s="96"/>
      <c r="P1005" s="68"/>
      <c r="Q1005" s="68"/>
      <c r="R1005" s="68"/>
      <c r="S1005" s="68"/>
      <c r="T1005" s="68"/>
      <c r="U1005" s="68"/>
      <c r="V1005" s="68"/>
      <c r="W1005" s="68"/>
      <c r="X1005" s="68"/>
      <c r="Y1005" s="68"/>
      <c r="Z1005" s="68"/>
      <c r="AA1005" s="68"/>
      <c r="AB1005" s="68"/>
      <c r="AC1005" s="68"/>
      <c r="AD1005" s="68"/>
    </row>
    <row r="1006" ht="14.25" customHeight="1" spans="4:30">
      <c r="D1006" s="93"/>
      <c r="E1006" s="94"/>
      <c r="F1006" s="95"/>
      <c r="G1006" s="96"/>
      <c r="P1006" s="68"/>
      <c r="Q1006" s="68"/>
      <c r="R1006" s="68"/>
      <c r="S1006" s="68"/>
      <c r="T1006" s="68"/>
      <c r="U1006" s="68"/>
      <c r="V1006" s="68"/>
      <c r="W1006" s="68"/>
      <c r="X1006" s="68"/>
      <c r="Y1006" s="68"/>
      <c r="Z1006" s="68"/>
      <c r="AA1006" s="68"/>
      <c r="AB1006" s="68"/>
      <c r="AC1006" s="68"/>
      <c r="AD1006" s="68"/>
    </row>
    <row r="1007" ht="14.25" customHeight="1" spans="4:30">
      <c r="D1007" s="93"/>
      <c r="E1007" s="94"/>
      <c r="F1007" s="95"/>
      <c r="G1007" s="96"/>
      <c r="P1007" s="68"/>
      <c r="Q1007" s="68"/>
      <c r="R1007" s="68"/>
      <c r="S1007" s="68"/>
      <c r="T1007" s="68"/>
      <c r="U1007" s="68"/>
      <c r="V1007" s="68"/>
      <c r="W1007" s="68"/>
      <c r="X1007" s="68"/>
      <c r="Y1007" s="68"/>
      <c r="Z1007" s="68"/>
      <c r="AA1007" s="68"/>
      <c r="AB1007" s="68"/>
      <c r="AC1007" s="68"/>
      <c r="AD1007" s="68"/>
    </row>
    <row r="1008" ht="14.25" customHeight="1" spans="4:30">
      <c r="D1008" s="93"/>
      <c r="E1008" s="94"/>
      <c r="F1008" s="95"/>
      <c r="G1008" s="96"/>
      <c r="P1008" s="68"/>
      <c r="Q1008" s="68"/>
      <c r="R1008" s="68"/>
      <c r="S1008" s="68"/>
      <c r="T1008" s="68"/>
      <c r="U1008" s="68"/>
      <c r="V1008" s="68"/>
      <c r="W1008" s="68"/>
      <c r="X1008" s="68"/>
      <c r="Y1008" s="68"/>
      <c r="Z1008" s="68"/>
      <c r="AA1008" s="68"/>
      <c r="AB1008" s="68"/>
      <c r="AC1008" s="68"/>
      <c r="AD1008" s="68"/>
    </row>
    <row r="1009" ht="14.25" customHeight="1" spans="16:30">
      <c r="P1009" s="68"/>
      <c r="Q1009" s="68"/>
      <c r="R1009" s="68"/>
      <c r="S1009" s="68"/>
      <c r="T1009" s="68"/>
      <c r="U1009" s="68"/>
      <c r="V1009" s="68"/>
      <c r="W1009" s="68"/>
      <c r="X1009" s="68"/>
      <c r="Y1009" s="68"/>
      <c r="Z1009" s="68"/>
      <c r="AA1009" s="68"/>
      <c r="AB1009" s="68"/>
      <c r="AC1009" s="68"/>
      <c r="AD1009" s="68"/>
    </row>
    <row r="1010" ht="14.25" customHeight="1" spans="16:30">
      <c r="P1010" s="68"/>
      <c r="Q1010" s="68"/>
      <c r="R1010" s="68"/>
      <c r="S1010" s="68"/>
      <c r="T1010" s="68"/>
      <c r="U1010" s="68"/>
      <c r="V1010" s="68"/>
      <c r="W1010" s="68"/>
      <c r="X1010" s="68"/>
      <c r="Y1010" s="68"/>
      <c r="Z1010" s="68"/>
      <c r="AA1010" s="68"/>
      <c r="AB1010" s="68"/>
      <c r="AC1010" s="68"/>
      <c r="AD1010" s="68"/>
    </row>
  </sheetData>
  <mergeCells count="13">
    <mergeCell ref="D1:G1"/>
    <mergeCell ref="H1:K1"/>
    <mergeCell ref="L1:O1"/>
    <mergeCell ref="D4:O4"/>
    <mergeCell ref="A13:O13"/>
    <mergeCell ref="A22:O22"/>
    <mergeCell ref="D42:G42"/>
    <mergeCell ref="H42:K42"/>
    <mergeCell ref="L42:O42"/>
    <mergeCell ref="A5:A12"/>
    <mergeCell ref="A14:A21"/>
    <mergeCell ref="A23:A31"/>
    <mergeCell ref="A1:B3"/>
  </mergeCells>
  <pageMargins left="0.7" right="0.7" top="0.75" bottom="0.75" header="0" footer="0"/>
  <pageSetup paperSize="1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010"/>
  <sheetViews>
    <sheetView topLeftCell="A26" workbookViewId="0">
      <selection activeCell="C37" sqref="C37:C40"/>
    </sheetView>
  </sheetViews>
  <sheetFormatPr defaultColWidth="14.4285714285714" defaultRowHeight="15" customHeight="1"/>
  <cols>
    <col min="1" max="2" width="10.7142857142857" customWidth="1"/>
    <col min="3" max="3" width="55.2857142857143" customWidth="1"/>
    <col min="4" max="32" width="9.42857142857143" customWidth="1"/>
  </cols>
  <sheetData>
    <row r="1" ht="14.25" customHeight="1" spans="1:32">
      <c r="A1" s="17"/>
      <c r="B1" s="18"/>
      <c r="C1" s="19" t="s">
        <v>0</v>
      </c>
      <c r="D1" s="20">
        <v>2022</v>
      </c>
      <c r="E1" s="3"/>
      <c r="F1" s="3"/>
      <c r="G1" s="4"/>
      <c r="H1" s="20">
        <v>2023</v>
      </c>
      <c r="I1" s="3"/>
      <c r="J1" s="3"/>
      <c r="K1" s="4"/>
      <c r="L1" s="20">
        <v>2024</v>
      </c>
      <c r="M1" s="3"/>
      <c r="N1" s="3"/>
      <c r="O1" s="4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</row>
    <row r="2" ht="14.25" customHeight="1" spans="1:32">
      <c r="A2" s="21"/>
      <c r="B2" s="22"/>
      <c r="C2" s="19" t="s">
        <v>1</v>
      </c>
      <c r="D2" s="23" t="s">
        <v>2</v>
      </c>
      <c r="E2" s="24" t="s">
        <v>3</v>
      </c>
      <c r="F2" s="25" t="s">
        <v>4</v>
      </c>
      <c r="G2" s="26" t="s">
        <v>5</v>
      </c>
      <c r="H2" s="23" t="s">
        <v>2</v>
      </c>
      <c r="I2" s="24" t="s">
        <v>3</v>
      </c>
      <c r="J2" s="25" t="s">
        <v>4</v>
      </c>
      <c r="K2" s="26" t="s">
        <v>5</v>
      </c>
      <c r="L2" s="23" t="s">
        <v>2</v>
      </c>
      <c r="M2" s="24" t="s">
        <v>3</v>
      </c>
      <c r="N2" s="25" t="s">
        <v>4</v>
      </c>
      <c r="O2" s="26" t="s">
        <v>5</v>
      </c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</row>
    <row r="3" ht="14.25" customHeight="1" spans="1:32">
      <c r="A3" s="27"/>
      <c r="B3" s="28"/>
      <c r="C3" s="29" t="s">
        <v>6</v>
      </c>
      <c r="D3" s="30" t="s">
        <v>59</v>
      </c>
      <c r="E3" s="31" t="s">
        <v>59</v>
      </c>
      <c r="F3" s="32">
        <v>44868</v>
      </c>
      <c r="G3" s="33">
        <v>44981</v>
      </c>
      <c r="H3" s="34">
        <v>45089</v>
      </c>
      <c r="I3" s="82">
        <v>45195</v>
      </c>
      <c r="J3" s="32">
        <v>45300</v>
      </c>
      <c r="K3" s="33">
        <v>45370</v>
      </c>
      <c r="L3" s="30"/>
      <c r="M3" s="31"/>
      <c r="N3" s="84"/>
      <c r="O3" s="85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</row>
    <row r="4" ht="14.25" customHeight="1" spans="1:32">
      <c r="A4" s="35" t="s">
        <v>7</v>
      </c>
      <c r="B4" s="35" t="s">
        <v>8</v>
      </c>
      <c r="C4" s="35" t="s">
        <v>9</v>
      </c>
      <c r="D4" s="36"/>
      <c r="E4" s="3"/>
      <c r="F4" s="3"/>
      <c r="G4" s="3"/>
      <c r="H4" s="3"/>
      <c r="I4" s="3"/>
      <c r="J4" s="3"/>
      <c r="K4" s="3"/>
      <c r="L4" s="3"/>
      <c r="M4" s="3"/>
      <c r="N4" s="3"/>
      <c r="O4" s="4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</row>
    <row r="5" ht="23.25" customHeight="1" spans="1:32">
      <c r="A5" s="37" t="s">
        <v>10</v>
      </c>
      <c r="B5" s="38" t="s">
        <v>11</v>
      </c>
      <c r="C5" s="38" t="s">
        <v>12</v>
      </c>
      <c r="D5" s="39" t="s">
        <v>59</v>
      </c>
      <c r="E5" s="40" t="s">
        <v>59</v>
      </c>
      <c r="F5" s="41">
        <v>3</v>
      </c>
      <c r="G5" s="42">
        <v>0</v>
      </c>
      <c r="H5" s="39">
        <v>3</v>
      </c>
      <c r="I5" s="40">
        <v>0</v>
      </c>
      <c r="J5" s="41">
        <v>0</v>
      </c>
      <c r="K5" s="42">
        <v>0</v>
      </c>
      <c r="L5" s="39"/>
      <c r="M5" s="40"/>
      <c r="N5" s="41"/>
      <c r="O5" s="42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</row>
    <row r="6" ht="22.5" customHeight="1" spans="1:32">
      <c r="A6" s="43"/>
      <c r="B6" s="44" t="s">
        <v>13</v>
      </c>
      <c r="C6" s="44" t="s">
        <v>14</v>
      </c>
      <c r="D6" s="6" t="s">
        <v>59</v>
      </c>
      <c r="E6" s="7" t="s">
        <v>59</v>
      </c>
      <c r="F6" s="25">
        <v>0</v>
      </c>
      <c r="G6" s="26">
        <v>0</v>
      </c>
      <c r="H6" s="6">
        <v>0</v>
      </c>
      <c r="I6" s="7">
        <v>0</v>
      </c>
      <c r="J6" s="25">
        <v>0</v>
      </c>
      <c r="K6" s="26">
        <v>0</v>
      </c>
      <c r="L6" s="6"/>
      <c r="M6" s="7"/>
      <c r="N6" s="25"/>
      <c r="O6" s="26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</row>
    <row r="7" ht="22.5" customHeight="1" spans="1:32">
      <c r="A7" s="43"/>
      <c r="B7" s="38" t="s">
        <v>15</v>
      </c>
      <c r="C7" s="38" t="s">
        <v>16</v>
      </c>
      <c r="D7" s="39" t="s">
        <v>59</v>
      </c>
      <c r="E7" s="40" t="s">
        <v>59</v>
      </c>
      <c r="F7" s="41">
        <v>0</v>
      </c>
      <c r="G7" s="42">
        <v>1</v>
      </c>
      <c r="H7" s="39">
        <v>1</v>
      </c>
      <c r="I7" s="40">
        <v>0</v>
      </c>
      <c r="J7" s="41">
        <v>0</v>
      </c>
      <c r="K7" s="42">
        <v>0</v>
      </c>
      <c r="L7" s="39"/>
      <c r="M7" s="40"/>
      <c r="N7" s="41"/>
      <c r="O7" s="42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</row>
    <row r="8" ht="22.5" customHeight="1" spans="1:32">
      <c r="A8" s="43"/>
      <c r="B8" s="44" t="s">
        <v>17</v>
      </c>
      <c r="C8" s="44" t="s">
        <v>18</v>
      </c>
      <c r="D8" s="6" t="s">
        <v>59</v>
      </c>
      <c r="E8" s="7" t="s">
        <v>59</v>
      </c>
      <c r="F8" s="25">
        <v>0</v>
      </c>
      <c r="G8" s="26">
        <v>2</v>
      </c>
      <c r="H8" s="6">
        <v>0</v>
      </c>
      <c r="I8" s="7">
        <v>0</v>
      </c>
      <c r="J8" s="25">
        <v>0</v>
      </c>
      <c r="K8" s="26">
        <v>0</v>
      </c>
      <c r="L8" s="6"/>
      <c r="M8" s="7"/>
      <c r="N8" s="25"/>
      <c r="O8" s="26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</row>
    <row r="9" ht="22.5" customHeight="1" spans="1:32">
      <c r="A9" s="43"/>
      <c r="B9" s="38" t="s">
        <v>19</v>
      </c>
      <c r="C9" s="38" t="s">
        <v>20</v>
      </c>
      <c r="D9" s="39" t="s">
        <v>59</v>
      </c>
      <c r="E9" s="40" t="s">
        <v>59</v>
      </c>
      <c r="F9" s="41">
        <v>8</v>
      </c>
      <c r="G9" s="42">
        <v>12</v>
      </c>
      <c r="H9" s="39">
        <v>3</v>
      </c>
      <c r="I9" s="40">
        <v>9</v>
      </c>
      <c r="J9" s="41">
        <v>5</v>
      </c>
      <c r="K9" s="42">
        <v>3</v>
      </c>
      <c r="L9" s="39"/>
      <c r="M9" s="40"/>
      <c r="N9" s="41"/>
      <c r="O9" s="42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</row>
    <row r="10" ht="23.25" customHeight="1" spans="1:32">
      <c r="A10" s="43"/>
      <c r="B10" s="44" t="s">
        <v>21</v>
      </c>
      <c r="C10" s="44" t="s">
        <v>22</v>
      </c>
      <c r="D10" s="6" t="s">
        <v>59</v>
      </c>
      <c r="E10" s="7" t="s">
        <v>59</v>
      </c>
      <c r="F10" s="25">
        <v>13</v>
      </c>
      <c r="G10" s="26">
        <v>16</v>
      </c>
      <c r="H10" s="6">
        <v>7</v>
      </c>
      <c r="I10" s="7">
        <v>29</v>
      </c>
      <c r="J10" s="25">
        <v>11</v>
      </c>
      <c r="K10" s="26">
        <v>4</v>
      </c>
      <c r="L10" s="6"/>
      <c r="M10" s="7"/>
      <c r="N10" s="25"/>
      <c r="O10" s="26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</row>
    <row r="11" ht="24" customHeight="1" spans="1:32">
      <c r="A11" s="43"/>
      <c r="B11" s="38" t="s">
        <v>23</v>
      </c>
      <c r="C11" s="38" t="s">
        <v>24</v>
      </c>
      <c r="D11" s="39" t="s">
        <v>59</v>
      </c>
      <c r="E11" s="40" t="s">
        <v>59</v>
      </c>
      <c r="F11" s="41">
        <v>0</v>
      </c>
      <c r="G11" s="42">
        <v>1</v>
      </c>
      <c r="H11" s="39">
        <v>0</v>
      </c>
      <c r="I11" s="40">
        <v>4</v>
      </c>
      <c r="J11" s="41">
        <v>1</v>
      </c>
      <c r="K11" s="42">
        <v>0</v>
      </c>
      <c r="L11" s="39"/>
      <c r="M11" s="40"/>
      <c r="N11" s="41"/>
      <c r="O11" s="42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</row>
    <row r="12" ht="24.75" customHeight="1" spans="1:32">
      <c r="A12" s="5"/>
      <c r="B12" s="44" t="s">
        <v>25</v>
      </c>
      <c r="C12" s="44" t="s">
        <v>26</v>
      </c>
      <c r="D12" s="6" t="s">
        <v>59</v>
      </c>
      <c r="E12" s="7" t="s">
        <v>59</v>
      </c>
      <c r="F12" s="25">
        <v>0</v>
      </c>
      <c r="G12" s="26">
        <v>0</v>
      </c>
      <c r="H12" s="6">
        <v>0</v>
      </c>
      <c r="I12" s="7">
        <v>0</v>
      </c>
      <c r="J12" s="25">
        <v>1</v>
      </c>
      <c r="K12" s="26">
        <v>0</v>
      </c>
      <c r="L12" s="6"/>
      <c r="M12" s="7"/>
      <c r="N12" s="25"/>
      <c r="O12" s="26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</row>
    <row r="13" ht="6" customHeight="1" spans="1:32">
      <c r="A13" s="45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4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</row>
    <row r="14" ht="24.75" customHeight="1" spans="1:32">
      <c r="A14" s="46" t="s">
        <v>27</v>
      </c>
      <c r="B14" s="38" t="s">
        <v>11</v>
      </c>
      <c r="C14" s="38" t="s">
        <v>12</v>
      </c>
      <c r="D14" s="39" t="s">
        <v>59</v>
      </c>
      <c r="E14" s="40" t="s">
        <v>59</v>
      </c>
      <c r="F14" s="47">
        <v>0</v>
      </c>
      <c r="G14" s="48">
        <v>0</v>
      </c>
      <c r="H14" s="39">
        <v>0</v>
      </c>
      <c r="I14" s="40">
        <v>0</v>
      </c>
      <c r="J14" s="47">
        <v>0</v>
      </c>
      <c r="K14" s="48">
        <v>0</v>
      </c>
      <c r="L14" s="39"/>
      <c r="M14" s="40"/>
      <c r="N14" s="47"/>
      <c r="O14" s="48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</row>
    <row r="15" ht="25.5" customHeight="1" spans="1:32">
      <c r="A15" s="43"/>
      <c r="B15" s="44" t="s">
        <v>28</v>
      </c>
      <c r="C15" s="44" t="s">
        <v>29</v>
      </c>
      <c r="D15" s="6" t="s">
        <v>59</v>
      </c>
      <c r="E15" s="7" t="s">
        <v>59</v>
      </c>
      <c r="F15" s="8">
        <v>25</v>
      </c>
      <c r="G15" s="9">
        <v>15</v>
      </c>
      <c r="H15" s="6">
        <v>1</v>
      </c>
      <c r="I15" s="7">
        <v>30</v>
      </c>
      <c r="J15" s="8">
        <v>18</v>
      </c>
      <c r="K15" s="9">
        <v>26</v>
      </c>
      <c r="L15" s="6"/>
      <c r="M15" s="7"/>
      <c r="N15" s="8"/>
      <c r="O15" s="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</row>
    <row r="16" ht="23.25" customHeight="1" spans="1:32">
      <c r="A16" s="43"/>
      <c r="B16" s="38" t="s">
        <v>15</v>
      </c>
      <c r="C16" s="38" t="s">
        <v>16</v>
      </c>
      <c r="D16" s="39" t="s">
        <v>59</v>
      </c>
      <c r="E16" s="49" t="s">
        <v>59</v>
      </c>
      <c r="F16" s="47">
        <v>4</v>
      </c>
      <c r="G16" s="48">
        <v>5</v>
      </c>
      <c r="H16" s="39">
        <v>0</v>
      </c>
      <c r="I16" s="40">
        <v>0</v>
      </c>
      <c r="J16" s="47">
        <v>0</v>
      </c>
      <c r="K16" s="48">
        <v>0</v>
      </c>
      <c r="L16" s="39"/>
      <c r="M16" s="40"/>
      <c r="N16" s="47"/>
      <c r="O16" s="48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</row>
    <row r="17" ht="25.5" customHeight="1" spans="1:32">
      <c r="A17" s="43"/>
      <c r="B17" s="44" t="s">
        <v>17</v>
      </c>
      <c r="C17" s="44" t="s">
        <v>18</v>
      </c>
      <c r="D17" s="6" t="s">
        <v>59</v>
      </c>
      <c r="E17" s="7" t="s">
        <v>59</v>
      </c>
      <c r="F17" s="8">
        <v>2</v>
      </c>
      <c r="G17" s="9">
        <v>2</v>
      </c>
      <c r="H17" s="6">
        <v>0</v>
      </c>
      <c r="I17" s="7">
        <v>0</v>
      </c>
      <c r="J17" s="8">
        <v>0</v>
      </c>
      <c r="K17" s="9">
        <v>0</v>
      </c>
      <c r="L17" s="6"/>
      <c r="M17" s="7"/>
      <c r="N17" s="8"/>
      <c r="O17" s="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</row>
    <row r="18" ht="22.5" customHeight="1" spans="1:32">
      <c r="A18" s="43"/>
      <c r="B18" s="38" t="s">
        <v>19</v>
      </c>
      <c r="C18" s="38" t="s">
        <v>20</v>
      </c>
      <c r="D18" s="39" t="s">
        <v>59</v>
      </c>
      <c r="E18" s="49" t="s">
        <v>59</v>
      </c>
      <c r="F18" s="47">
        <v>8</v>
      </c>
      <c r="G18" s="48">
        <v>14</v>
      </c>
      <c r="H18" s="39">
        <v>3</v>
      </c>
      <c r="I18" s="40">
        <v>9</v>
      </c>
      <c r="J18" s="47">
        <v>13</v>
      </c>
      <c r="K18" s="48">
        <v>6</v>
      </c>
      <c r="L18" s="39"/>
      <c r="M18" s="40"/>
      <c r="N18" s="47"/>
      <c r="O18" s="48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</row>
    <row r="19" ht="24" customHeight="1" spans="1:32">
      <c r="A19" s="43"/>
      <c r="B19" s="44" t="s">
        <v>21</v>
      </c>
      <c r="C19" s="44" t="s">
        <v>22</v>
      </c>
      <c r="D19" s="6" t="s">
        <v>59</v>
      </c>
      <c r="E19" s="50" t="s">
        <v>59</v>
      </c>
      <c r="F19" s="8">
        <v>152</v>
      </c>
      <c r="G19" s="9">
        <v>109</v>
      </c>
      <c r="H19" s="6">
        <v>23</v>
      </c>
      <c r="I19" s="7">
        <v>101</v>
      </c>
      <c r="J19" s="8">
        <v>42</v>
      </c>
      <c r="K19" s="9">
        <v>14</v>
      </c>
      <c r="L19" s="6"/>
      <c r="M19" s="7"/>
      <c r="N19" s="8"/>
      <c r="O19" s="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</row>
    <row r="20" ht="25.5" customHeight="1" spans="1:32">
      <c r="A20" s="43"/>
      <c r="B20" s="38" t="s">
        <v>23</v>
      </c>
      <c r="C20" s="38" t="s">
        <v>24</v>
      </c>
      <c r="D20" s="39" t="s">
        <v>59</v>
      </c>
      <c r="E20" s="40" t="s">
        <v>59</v>
      </c>
      <c r="F20" s="47">
        <v>2</v>
      </c>
      <c r="G20" s="48">
        <v>2</v>
      </c>
      <c r="H20" s="39">
        <v>0</v>
      </c>
      <c r="I20" s="40">
        <v>8</v>
      </c>
      <c r="J20" s="47">
        <v>0</v>
      </c>
      <c r="K20" s="48">
        <v>0</v>
      </c>
      <c r="L20" s="39"/>
      <c r="M20" s="40"/>
      <c r="N20" s="47"/>
      <c r="O20" s="48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</row>
    <row r="21" ht="25.5" customHeight="1" spans="1:32">
      <c r="A21" s="5"/>
      <c r="B21" s="44" t="s">
        <v>25</v>
      </c>
      <c r="C21" s="44" t="s">
        <v>26</v>
      </c>
      <c r="D21" s="6" t="s">
        <v>59</v>
      </c>
      <c r="E21" s="7" t="s">
        <v>59</v>
      </c>
      <c r="F21" s="8">
        <v>12</v>
      </c>
      <c r="G21" s="9">
        <v>3</v>
      </c>
      <c r="H21" s="6">
        <v>0</v>
      </c>
      <c r="I21" s="7">
        <v>3</v>
      </c>
      <c r="J21" s="8">
        <v>0</v>
      </c>
      <c r="K21" s="9">
        <v>32</v>
      </c>
      <c r="L21" s="6"/>
      <c r="M21" s="7"/>
      <c r="N21" s="8"/>
      <c r="O21" s="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</row>
    <row r="22" ht="6" customHeight="1" spans="1:32">
      <c r="A22" s="45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4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</row>
    <row r="23" ht="22.5" customHeight="1" spans="1:32">
      <c r="A23" s="51" t="s">
        <v>30</v>
      </c>
      <c r="B23" s="52" t="s">
        <v>11</v>
      </c>
      <c r="C23" s="52" t="s">
        <v>12</v>
      </c>
      <c r="D23" s="39" t="s">
        <v>59</v>
      </c>
      <c r="E23" s="40" t="s">
        <v>59</v>
      </c>
      <c r="F23" s="47">
        <f t="shared" ref="F23:O23" si="0">SUM(F5+F14)</f>
        <v>3</v>
      </c>
      <c r="G23" s="48">
        <f t="shared" si="0"/>
        <v>0</v>
      </c>
      <c r="H23" s="39">
        <f t="shared" si="0"/>
        <v>3</v>
      </c>
      <c r="I23" s="40">
        <f t="shared" si="0"/>
        <v>0</v>
      </c>
      <c r="J23" s="47">
        <f t="shared" si="0"/>
        <v>0</v>
      </c>
      <c r="K23" s="48">
        <f t="shared" si="0"/>
        <v>0</v>
      </c>
      <c r="L23" s="39">
        <f t="shared" si="0"/>
        <v>0</v>
      </c>
      <c r="M23" s="40">
        <f t="shared" si="0"/>
        <v>0</v>
      </c>
      <c r="N23" s="47">
        <f t="shared" si="0"/>
        <v>0</v>
      </c>
      <c r="O23" s="48">
        <f t="shared" si="0"/>
        <v>0</v>
      </c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</row>
    <row r="24" ht="22.5" customHeight="1" spans="1:32">
      <c r="A24" s="43"/>
      <c r="B24" s="44" t="s">
        <v>13</v>
      </c>
      <c r="C24" s="44" t="s">
        <v>14</v>
      </c>
      <c r="D24" s="6" t="s">
        <v>59</v>
      </c>
      <c r="E24" s="7" t="s">
        <v>59</v>
      </c>
      <c r="F24" s="8">
        <f>SUM(F6)</f>
        <v>0</v>
      </c>
      <c r="G24" s="9">
        <f t="shared" ref="G24:O24" si="1">SUM(G5+G14)</f>
        <v>0</v>
      </c>
      <c r="H24" s="6">
        <f t="shared" si="1"/>
        <v>3</v>
      </c>
      <c r="I24" s="7">
        <f t="shared" si="1"/>
        <v>0</v>
      </c>
      <c r="J24" s="8">
        <f t="shared" si="1"/>
        <v>0</v>
      </c>
      <c r="K24" s="9">
        <f t="shared" si="1"/>
        <v>0</v>
      </c>
      <c r="L24" s="6">
        <f t="shared" si="1"/>
        <v>0</v>
      </c>
      <c r="M24" s="7">
        <f t="shared" si="1"/>
        <v>0</v>
      </c>
      <c r="N24" s="8">
        <f t="shared" si="1"/>
        <v>0</v>
      </c>
      <c r="O24" s="9">
        <f t="shared" si="1"/>
        <v>0</v>
      </c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</row>
    <row r="25" ht="25.5" customHeight="1" spans="1:32">
      <c r="A25" s="43"/>
      <c r="B25" s="52" t="s">
        <v>28</v>
      </c>
      <c r="C25" s="52" t="s">
        <v>29</v>
      </c>
      <c r="D25" s="39" t="s">
        <v>59</v>
      </c>
      <c r="E25" s="40" t="s">
        <v>59</v>
      </c>
      <c r="F25" s="47">
        <f t="shared" ref="F25:H25" si="2">SUM(F7+F16)</f>
        <v>4</v>
      </c>
      <c r="G25" s="48">
        <f t="shared" si="2"/>
        <v>6</v>
      </c>
      <c r="H25" s="39">
        <f t="shared" si="2"/>
        <v>1</v>
      </c>
      <c r="I25" s="40">
        <f>SUM(I6+I15)</f>
        <v>30</v>
      </c>
      <c r="J25" s="47">
        <v>15</v>
      </c>
      <c r="K25" s="48">
        <f t="shared" ref="K25:L25" si="3">SUM(K7+K16)</f>
        <v>0</v>
      </c>
      <c r="L25" s="39">
        <f t="shared" si="3"/>
        <v>0</v>
      </c>
      <c r="M25" s="40">
        <f>SUM(M6+M15)</f>
        <v>0</v>
      </c>
      <c r="N25" s="47">
        <v>0</v>
      </c>
      <c r="O25" s="48">
        <f>SUM(O7+O16)</f>
        <v>0</v>
      </c>
      <c r="P25" s="89">
        <f>SUM(D25:J25)</f>
        <v>56</v>
      </c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</row>
    <row r="26" ht="24.75" customHeight="1" spans="1:32">
      <c r="A26" s="43"/>
      <c r="B26" s="44" t="s">
        <v>15</v>
      </c>
      <c r="C26" s="44" t="s">
        <v>16</v>
      </c>
      <c r="D26" s="6" t="s">
        <v>59</v>
      </c>
      <c r="E26" s="7" t="s">
        <v>59</v>
      </c>
      <c r="F26" s="8">
        <f t="shared" ref="F26:O26" si="4">SUM(F7+F16)</f>
        <v>4</v>
      </c>
      <c r="G26" s="9">
        <f t="shared" si="4"/>
        <v>6</v>
      </c>
      <c r="H26" s="6">
        <f t="shared" si="4"/>
        <v>1</v>
      </c>
      <c r="I26" s="7">
        <f t="shared" si="4"/>
        <v>0</v>
      </c>
      <c r="J26" s="8">
        <f t="shared" si="4"/>
        <v>0</v>
      </c>
      <c r="K26" s="9">
        <f t="shared" si="4"/>
        <v>0</v>
      </c>
      <c r="L26" s="6">
        <f t="shared" si="4"/>
        <v>0</v>
      </c>
      <c r="M26" s="7">
        <f t="shared" si="4"/>
        <v>0</v>
      </c>
      <c r="N26" s="8">
        <f t="shared" si="4"/>
        <v>0</v>
      </c>
      <c r="O26" s="9">
        <f t="shared" si="4"/>
        <v>0</v>
      </c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</row>
    <row r="27" ht="23.25" customHeight="1" spans="1:32">
      <c r="A27" s="43"/>
      <c r="B27" s="52" t="s">
        <v>17</v>
      </c>
      <c r="C27" s="52" t="s">
        <v>18</v>
      </c>
      <c r="D27" s="39" t="s">
        <v>59</v>
      </c>
      <c r="E27" s="40" t="s">
        <v>59</v>
      </c>
      <c r="F27" s="47">
        <f t="shared" ref="F27:O27" si="5">SUM(F8+F17)</f>
        <v>2</v>
      </c>
      <c r="G27" s="48">
        <f t="shared" si="5"/>
        <v>4</v>
      </c>
      <c r="H27" s="39">
        <f t="shared" si="5"/>
        <v>0</v>
      </c>
      <c r="I27" s="40">
        <f t="shared" si="5"/>
        <v>0</v>
      </c>
      <c r="J27" s="47">
        <f t="shared" si="5"/>
        <v>0</v>
      </c>
      <c r="K27" s="48">
        <f t="shared" si="5"/>
        <v>0</v>
      </c>
      <c r="L27" s="39">
        <f t="shared" si="5"/>
        <v>0</v>
      </c>
      <c r="M27" s="40">
        <f t="shared" si="5"/>
        <v>0</v>
      </c>
      <c r="N27" s="47">
        <f t="shared" si="5"/>
        <v>0</v>
      </c>
      <c r="O27" s="48">
        <f t="shared" si="5"/>
        <v>0</v>
      </c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</row>
    <row r="28" ht="22.5" customHeight="1" spans="1:32">
      <c r="A28" s="43"/>
      <c r="B28" s="44" t="s">
        <v>19</v>
      </c>
      <c r="C28" s="44" t="s">
        <v>20</v>
      </c>
      <c r="D28" s="6" t="s">
        <v>59</v>
      </c>
      <c r="E28" s="7" t="s">
        <v>59</v>
      </c>
      <c r="F28" s="8">
        <f t="shared" ref="F28:O28" si="6">SUM(F9+F18)</f>
        <v>16</v>
      </c>
      <c r="G28" s="9">
        <f t="shared" si="6"/>
        <v>26</v>
      </c>
      <c r="H28" s="6">
        <f t="shared" si="6"/>
        <v>6</v>
      </c>
      <c r="I28" s="7">
        <f t="shared" si="6"/>
        <v>18</v>
      </c>
      <c r="J28" s="8">
        <f t="shared" si="6"/>
        <v>18</v>
      </c>
      <c r="K28" s="9">
        <f t="shared" si="6"/>
        <v>9</v>
      </c>
      <c r="L28" s="6">
        <f t="shared" si="6"/>
        <v>0</v>
      </c>
      <c r="M28" s="7">
        <f t="shared" si="6"/>
        <v>0</v>
      </c>
      <c r="N28" s="8">
        <f t="shared" si="6"/>
        <v>0</v>
      </c>
      <c r="O28" s="9">
        <f t="shared" si="6"/>
        <v>0</v>
      </c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</row>
    <row r="29" ht="24.75" customHeight="1" spans="1:32">
      <c r="A29" s="43"/>
      <c r="B29" s="52" t="s">
        <v>21</v>
      </c>
      <c r="C29" s="52" t="s">
        <v>22</v>
      </c>
      <c r="D29" s="39" t="s">
        <v>59</v>
      </c>
      <c r="E29" s="40" t="s">
        <v>59</v>
      </c>
      <c r="F29" s="47">
        <f t="shared" ref="F29:O29" si="7">SUM(F10+F19)</f>
        <v>165</v>
      </c>
      <c r="G29" s="48">
        <f t="shared" si="7"/>
        <v>125</v>
      </c>
      <c r="H29" s="39">
        <f t="shared" si="7"/>
        <v>30</v>
      </c>
      <c r="I29" s="40">
        <f t="shared" si="7"/>
        <v>130</v>
      </c>
      <c r="J29" s="47">
        <f t="shared" si="7"/>
        <v>53</v>
      </c>
      <c r="K29" s="48">
        <f t="shared" si="7"/>
        <v>18</v>
      </c>
      <c r="L29" s="39">
        <f t="shared" si="7"/>
        <v>0</v>
      </c>
      <c r="M29" s="40">
        <f t="shared" si="7"/>
        <v>0</v>
      </c>
      <c r="N29" s="47">
        <f t="shared" si="7"/>
        <v>0</v>
      </c>
      <c r="O29" s="48">
        <f t="shared" si="7"/>
        <v>0</v>
      </c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</row>
    <row r="30" ht="24.75" customHeight="1" spans="1:32">
      <c r="A30" s="43"/>
      <c r="B30" s="44" t="s">
        <v>23</v>
      </c>
      <c r="C30" s="44" t="s">
        <v>24</v>
      </c>
      <c r="D30" s="6" t="s">
        <v>59</v>
      </c>
      <c r="E30" s="7" t="s">
        <v>59</v>
      </c>
      <c r="F30" s="8">
        <f t="shared" ref="F30:O30" si="8">SUM(F11+F20)</f>
        <v>2</v>
      </c>
      <c r="G30" s="9">
        <f t="shared" si="8"/>
        <v>3</v>
      </c>
      <c r="H30" s="6">
        <f t="shared" si="8"/>
        <v>0</v>
      </c>
      <c r="I30" s="7">
        <f t="shared" si="8"/>
        <v>12</v>
      </c>
      <c r="J30" s="8">
        <f t="shared" si="8"/>
        <v>1</v>
      </c>
      <c r="K30" s="9">
        <f t="shared" si="8"/>
        <v>0</v>
      </c>
      <c r="L30" s="6">
        <f t="shared" si="8"/>
        <v>0</v>
      </c>
      <c r="M30" s="7">
        <f t="shared" si="8"/>
        <v>0</v>
      </c>
      <c r="N30" s="8">
        <f t="shared" si="8"/>
        <v>0</v>
      </c>
      <c r="O30" s="9">
        <f t="shared" si="8"/>
        <v>0</v>
      </c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</row>
    <row r="31" ht="25.5" customHeight="1" spans="1:32">
      <c r="A31" s="5"/>
      <c r="B31" s="52" t="s">
        <v>25</v>
      </c>
      <c r="C31" s="52" t="s">
        <v>26</v>
      </c>
      <c r="D31" s="39" t="s">
        <v>59</v>
      </c>
      <c r="E31" s="40" t="s">
        <v>59</v>
      </c>
      <c r="F31" s="47">
        <f t="shared" ref="F31:O31" si="9">SUM(F12+F21)</f>
        <v>12</v>
      </c>
      <c r="G31" s="48">
        <f t="shared" si="9"/>
        <v>3</v>
      </c>
      <c r="H31" s="39">
        <f t="shared" si="9"/>
        <v>0</v>
      </c>
      <c r="I31" s="40">
        <f t="shared" si="9"/>
        <v>3</v>
      </c>
      <c r="J31" s="47">
        <f t="shared" si="9"/>
        <v>1</v>
      </c>
      <c r="K31" s="48">
        <f t="shared" si="9"/>
        <v>32</v>
      </c>
      <c r="L31" s="39">
        <f t="shared" si="9"/>
        <v>0</v>
      </c>
      <c r="M31" s="40">
        <f t="shared" si="9"/>
        <v>0</v>
      </c>
      <c r="N31" s="47">
        <f t="shared" si="9"/>
        <v>0</v>
      </c>
      <c r="O31" s="48">
        <f t="shared" si="9"/>
        <v>0</v>
      </c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</row>
    <row r="32" ht="21.75" customHeight="1" spans="1:32">
      <c r="A32" s="53"/>
      <c r="B32" s="53"/>
      <c r="C32" s="54" t="s">
        <v>30</v>
      </c>
      <c r="D32" s="55" t="s">
        <v>59</v>
      </c>
      <c r="E32" s="56" t="s">
        <v>59</v>
      </c>
      <c r="F32" s="90">
        <f t="shared" ref="F32:O32" si="10">SUM(F23:F31)</f>
        <v>208</v>
      </c>
      <c r="G32" s="57">
        <f t="shared" si="10"/>
        <v>173</v>
      </c>
      <c r="H32" s="55">
        <f t="shared" si="10"/>
        <v>44</v>
      </c>
      <c r="I32" s="56">
        <f t="shared" si="10"/>
        <v>193</v>
      </c>
      <c r="J32" s="90">
        <f t="shared" si="10"/>
        <v>88</v>
      </c>
      <c r="K32" s="57">
        <f t="shared" si="10"/>
        <v>59</v>
      </c>
      <c r="L32" s="55">
        <f t="shared" si="10"/>
        <v>0</v>
      </c>
      <c r="M32" s="56">
        <f t="shared" si="10"/>
        <v>0</v>
      </c>
      <c r="N32" s="90">
        <f t="shared" si="10"/>
        <v>0</v>
      </c>
      <c r="O32" s="57">
        <f t="shared" si="10"/>
        <v>0</v>
      </c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</row>
    <row r="33" ht="24.75" customHeight="1" spans="1:32">
      <c r="A33" s="58"/>
      <c r="B33" s="58"/>
      <c r="C33" s="54" t="s">
        <v>31</v>
      </c>
      <c r="D33" s="59" t="s">
        <v>59</v>
      </c>
      <c r="E33" s="60" t="s">
        <v>59</v>
      </c>
      <c r="F33" s="61">
        <f>F32*40</f>
        <v>8320</v>
      </c>
      <c r="G33" s="62">
        <f t="shared" ref="F33:O33" si="11">G32*40</f>
        <v>6920</v>
      </c>
      <c r="H33" s="59">
        <f t="shared" si="11"/>
        <v>1760</v>
      </c>
      <c r="I33" s="60">
        <f t="shared" si="11"/>
        <v>7720</v>
      </c>
      <c r="J33" s="61">
        <f t="shared" si="11"/>
        <v>3520</v>
      </c>
      <c r="K33" s="62">
        <f t="shared" si="11"/>
        <v>2360</v>
      </c>
      <c r="L33" s="59">
        <f t="shared" si="11"/>
        <v>0</v>
      </c>
      <c r="M33" s="60">
        <f t="shared" si="11"/>
        <v>0</v>
      </c>
      <c r="N33" s="61">
        <f t="shared" si="11"/>
        <v>0</v>
      </c>
      <c r="O33" s="62">
        <f t="shared" si="11"/>
        <v>0</v>
      </c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</row>
    <row r="34" ht="27.75" customHeight="1" spans="1:32">
      <c r="A34" s="58"/>
      <c r="C34" s="63" t="s">
        <v>37</v>
      </c>
      <c r="D34" s="64"/>
      <c r="E34" s="64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8"/>
      <c r="Q34" s="68"/>
      <c r="R34" s="68"/>
      <c r="S34" s="68"/>
      <c r="T34" s="68"/>
      <c r="U34" s="68"/>
      <c r="V34" s="68"/>
      <c r="W34" s="68"/>
      <c r="X34" s="89"/>
      <c r="Y34" s="89"/>
      <c r="Z34" s="89"/>
      <c r="AA34" s="89"/>
      <c r="AB34" s="89"/>
      <c r="AC34" s="89"/>
      <c r="AD34" s="89"/>
      <c r="AE34" s="89"/>
      <c r="AF34" s="89"/>
    </row>
    <row r="35" customHeight="1" spans="4:32">
      <c r="D35" s="67"/>
      <c r="E35" s="67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</row>
    <row r="36" customHeight="1" spans="2:32">
      <c r="B36" s="69" t="s">
        <v>32</v>
      </c>
      <c r="C36" s="70"/>
      <c r="D36" s="67"/>
      <c r="E36" s="67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</row>
    <row r="37" ht="18.75" customHeight="1" spans="2:32">
      <c r="B37" s="71" t="s">
        <v>33</v>
      </c>
      <c r="C37" s="97" t="s">
        <v>74</v>
      </c>
      <c r="D37" s="67"/>
      <c r="E37" s="67"/>
      <c r="F37" s="68"/>
      <c r="G37" s="68"/>
      <c r="H37" s="68"/>
      <c r="I37" s="68"/>
      <c r="J37" s="68"/>
      <c r="K37" s="68"/>
      <c r="L37" s="68"/>
      <c r="M37" s="68"/>
      <c r="N37" s="68"/>
      <c r="O37" s="67"/>
      <c r="P37" s="67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</row>
    <row r="38" ht="17.25" customHeight="1" spans="2:32">
      <c r="B38" s="71" t="s">
        <v>34</v>
      </c>
      <c r="C38" s="97" t="s">
        <v>75</v>
      </c>
      <c r="D38" s="67"/>
      <c r="E38" s="67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</row>
    <row r="39" customHeight="1" spans="1:32">
      <c r="A39" s="58"/>
      <c r="B39" s="71" t="s">
        <v>35</v>
      </c>
      <c r="C39" s="97" t="s">
        <v>76</v>
      </c>
      <c r="D39" s="67"/>
      <c r="E39" s="67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</row>
    <row r="40" customHeight="1" spans="1:32">
      <c r="A40" s="58"/>
      <c r="B40" s="71" t="s">
        <v>36</v>
      </c>
      <c r="C40" s="97" t="s">
        <v>77</v>
      </c>
      <c r="D40" s="67"/>
      <c r="E40" s="67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</row>
    <row r="41" customHeight="1" spans="1:32">
      <c r="A41" s="58"/>
      <c r="B41" s="58"/>
      <c r="C41" s="58"/>
      <c r="D41" s="67"/>
      <c r="E41" s="67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</row>
    <row r="42" customHeight="1" spans="1:32">
      <c r="A42" s="58"/>
      <c r="B42" s="58"/>
      <c r="C42" s="58"/>
      <c r="D42" s="73">
        <v>2022</v>
      </c>
      <c r="E42" s="3"/>
      <c r="F42" s="3"/>
      <c r="G42" s="4"/>
      <c r="H42" s="74">
        <v>2023</v>
      </c>
      <c r="I42" s="3"/>
      <c r="J42" s="3"/>
      <c r="K42" s="4"/>
      <c r="L42" s="74">
        <v>2024</v>
      </c>
      <c r="M42" s="3"/>
      <c r="N42" s="3"/>
      <c r="O42" s="4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91"/>
      <c r="AE42" s="91"/>
      <c r="AF42" s="91"/>
    </row>
    <row r="43" ht="23.25" customHeight="1" spans="3:32">
      <c r="C43" s="58"/>
      <c r="D43" s="75" t="s">
        <v>42</v>
      </c>
      <c r="E43" s="76" t="s">
        <v>43</v>
      </c>
      <c r="F43" s="77" t="s">
        <v>44</v>
      </c>
      <c r="G43" s="78" t="s">
        <v>45</v>
      </c>
      <c r="H43" s="79" t="s">
        <v>46</v>
      </c>
      <c r="I43" s="76" t="s">
        <v>47</v>
      </c>
      <c r="J43" s="77" t="s">
        <v>48</v>
      </c>
      <c r="K43" s="78" t="s">
        <v>49</v>
      </c>
      <c r="L43" s="79" t="s">
        <v>50</v>
      </c>
      <c r="M43" s="76" t="s">
        <v>51</v>
      </c>
      <c r="N43" s="77" t="s">
        <v>52</v>
      </c>
      <c r="O43" s="78" t="s">
        <v>53</v>
      </c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</row>
    <row r="44" ht="14.25" customHeight="1" spans="3:32">
      <c r="C44" s="52" t="s">
        <v>11</v>
      </c>
      <c r="D44" s="11"/>
      <c r="E44" s="11"/>
      <c r="F44" s="11">
        <f t="shared" ref="F44:O44" si="12">F23/5*100</f>
        <v>60</v>
      </c>
      <c r="G44" s="11">
        <f t="shared" si="12"/>
        <v>0</v>
      </c>
      <c r="H44" s="11">
        <f t="shared" si="12"/>
        <v>60</v>
      </c>
      <c r="I44" s="11">
        <f t="shared" si="12"/>
        <v>0</v>
      </c>
      <c r="J44" s="11">
        <f t="shared" si="12"/>
        <v>0</v>
      </c>
      <c r="K44" s="11">
        <f t="shared" si="12"/>
        <v>0</v>
      </c>
      <c r="L44" s="11">
        <f t="shared" si="12"/>
        <v>0</v>
      </c>
      <c r="M44" s="11">
        <f t="shared" si="12"/>
        <v>0</v>
      </c>
      <c r="N44" s="11">
        <f t="shared" si="12"/>
        <v>0</v>
      </c>
      <c r="O44" s="11">
        <f t="shared" si="12"/>
        <v>0</v>
      </c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</row>
    <row r="45" ht="14.25" customHeight="1" spans="3:32">
      <c r="C45" s="44" t="s">
        <v>13</v>
      </c>
      <c r="D45" s="11"/>
      <c r="E45" s="11"/>
      <c r="F45" s="11">
        <f t="shared" ref="F45:O45" si="13">F24/5*100</f>
        <v>0</v>
      </c>
      <c r="G45" s="11">
        <f t="shared" si="13"/>
        <v>0</v>
      </c>
      <c r="H45" s="11">
        <f t="shared" si="13"/>
        <v>60</v>
      </c>
      <c r="I45" s="11">
        <f t="shared" si="13"/>
        <v>0</v>
      </c>
      <c r="J45" s="11">
        <f t="shared" si="13"/>
        <v>0</v>
      </c>
      <c r="K45" s="11">
        <f t="shared" si="13"/>
        <v>0</v>
      </c>
      <c r="L45" s="11">
        <f t="shared" si="13"/>
        <v>0</v>
      </c>
      <c r="M45" s="11">
        <f t="shared" si="13"/>
        <v>0</v>
      </c>
      <c r="N45" s="11">
        <f t="shared" si="13"/>
        <v>0</v>
      </c>
      <c r="O45" s="11">
        <f t="shared" si="13"/>
        <v>0</v>
      </c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</row>
    <row r="46" ht="14.25" customHeight="1" spans="3:32">
      <c r="C46" s="52" t="s">
        <v>28</v>
      </c>
      <c r="D46" s="11"/>
      <c r="E46" s="11"/>
      <c r="F46" s="11">
        <f t="shared" ref="F46:O46" si="14">F25/5*100</f>
        <v>80</v>
      </c>
      <c r="G46" s="11">
        <f t="shared" si="14"/>
        <v>120</v>
      </c>
      <c r="H46" s="11">
        <f t="shared" si="14"/>
        <v>20</v>
      </c>
      <c r="I46" s="11">
        <f t="shared" si="14"/>
        <v>600</v>
      </c>
      <c r="J46" s="11">
        <f t="shared" si="14"/>
        <v>300</v>
      </c>
      <c r="K46" s="11">
        <f t="shared" si="14"/>
        <v>0</v>
      </c>
      <c r="L46" s="11">
        <f t="shared" si="14"/>
        <v>0</v>
      </c>
      <c r="M46" s="11">
        <f t="shared" si="14"/>
        <v>0</v>
      </c>
      <c r="N46" s="11">
        <f t="shared" si="14"/>
        <v>0</v>
      </c>
      <c r="O46" s="11">
        <f t="shared" si="14"/>
        <v>0</v>
      </c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</row>
    <row r="47" ht="14.25" customHeight="1" spans="3:32">
      <c r="C47" s="44" t="s">
        <v>15</v>
      </c>
      <c r="D47" s="11"/>
      <c r="E47" s="11"/>
      <c r="F47" s="11">
        <f t="shared" ref="F47:O47" si="15">F26/5*100</f>
        <v>80</v>
      </c>
      <c r="G47" s="11">
        <f t="shared" si="15"/>
        <v>120</v>
      </c>
      <c r="H47" s="11">
        <f t="shared" si="15"/>
        <v>20</v>
      </c>
      <c r="I47" s="11">
        <f t="shared" si="15"/>
        <v>0</v>
      </c>
      <c r="J47" s="11">
        <f t="shared" si="15"/>
        <v>0</v>
      </c>
      <c r="K47" s="11">
        <f t="shared" si="15"/>
        <v>0</v>
      </c>
      <c r="L47" s="11">
        <f t="shared" si="15"/>
        <v>0</v>
      </c>
      <c r="M47" s="11">
        <f t="shared" si="15"/>
        <v>0</v>
      </c>
      <c r="N47" s="11">
        <f t="shared" si="15"/>
        <v>0</v>
      </c>
      <c r="O47" s="11">
        <f t="shared" si="15"/>
        <v>0</v>
      </c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</row>
    <row r="48" ht="14.25" customHeight="1" spans="3:32">
      <c r="C48" s="52" t="s">
        <v>17</v>
      </c>
      <c r="D48" s="11"/>
      <c r="E48" s="11"/>
      <c r="F48" s="11">
        <f t="shared" ref="F48:O48" si="16">F27/5*100</f>
        <v>40</v>
      </c>
      <c r="G48" s="11">
        <f t="shared" si="16"/>
        <v>80</v>
      </c>
      <c r="H48" s="11">
        <f t="shared" si="16"/>
        <v>0</v>
      </c>
      <c r="I48" s="11">
        <f t="shared" si="16"/>
        <v>0</v>
      </c>
      <c r="J48" s="11">
        <f t="shared" si="16"/>
        <v>0</v>
      </c>
      <c r="K48" s="11">
        <f t="shared" si="16"/>
        <v>0</v>
      </c>
      <c r="L48" s="11">
        <f t="shared" si="16"/>
        <v>0</v>
      </c>
      <c r="M48" s="11">
        <f t="shared" si="16"/>
        <v>0</v>
      </c>
      <c r="N48" s="11">
        <f t="shared" si="16"/>
        <v>0</v>
      </c>
      <c r="O48" s="11">
        <f t="shared" si="16"/>
        <v>0</v>
      </c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</row>
    <row r="49" ht="14.25" customHeight="1" spans="3:32">
      <c r="C49" s="44" t="s">
        <v>19</v>
      </c>
      <c r="D49" s="11"/>
      <c r="E49" s="11"/>
      <c r="F49" s="11">
        <f t="shared" ref="F49:O49" si="17">F28/5*100</f>
        <v>320</v>
      </c>
      <c r="G49" s="11">
        <f t="shared" si="17"/>
        <v>520</v>
      </c>
      <c r="H49" s="11">
        <f t="shared" si="17"/>
        <v>120</v>
      </c>
      <c r="I49" s="11">
        <f t="shared" si="17"/>
        <v>360</v>
      </c>
      <c r="J49" s="11">
        <f t="shared" si="17"/>
        <v>360</v>
      </c>
      <c r="K49" s="11">
        <f t="shared" si="17"/>
        <v>180</v>
      </c>
      <c r="L49" s="11">
        <f t="shared" si="17"/>
        <v>0</v>
      </c>
      <c r="M49" s="11">
        <f t="shared" si="17"/>
        <v>0</v>
      </c>
      <c r="N49" s="11">
        <f t="shared" si="17"/>
        <v>0</v>
      </c>
      <c r="O49" s="11">
        <f t="shared" si="17"/>
        <v>0</v>
      </c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</row>
    <row r="50" ht="14.25" customHeight="1" spans="3:32">
      <c r="C50" s="52" t="s">
        <v>21</v>
      </c>
      <c r="D50" s="11"/>
      <c r="E50" s="11"/>
      <c r="F50" s="11">
        <f t="shared" ref="F50:O50" si="18">F29/5*100</f>
        <v>3300</v>
      </c>
      <c r="G50" s="11">
        <f t="shared" si="18"/>
        <v>2500</v>
      </c>
      <c r="H50" s="11">
        <f t="shared" si="18"/>
        <v>600</v>
      </c>
      <c r="I50" s="11">
        <f t="shared" si="18"/>
        <v>2600</v>
      </c>
      <c r="J50" s="11">
        <f t="shared" si="18"/>
        <v>1060</v>
      </c>
      <c r="K50" s="11">
        <f t="shared" si="18"/>
        <v>360</v>
      </c>
      <c r="L50" s="11">
        <f t="shared" si="18"/>
        <v>0</v>
      </c>
      <c r="M50" s="11">
        <f t="shared" si="18"/>
        <v>0</v>
      </c>
      <c r="N50" s="11">
        <f t="shared" si="18"/>
        <v>0</v>
      </c>
      <c r="O50" s="11">
        <f t="shared" si="18"/>
        <v>0</v>
      </c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</row>
    <row r="51" ht="14.25" customHeight="1" spans="3:32">
      <c r="C51" s="44" t="s">
        <v>23</v>
      </c>
      <c r="D51" s="11"/>
      <c r="E51" s="11"/>
      <c r="F51" s="11">
        <f t="shared" ref="F51:O51" si="19">F30/5*100</f>
        <v>40</v>
      </c>
      <c r="G51" s="11">
        <f t="shared" si="19"/>
        <v>60</v>
      </c>
      <c r="H51" s="11">
        <f t="shared" si="19"/>
        <v>0</v>
      </c>
      <c r="I51" s="11">
        <f t="shared" si="19"/>
        <v>240</v>
      </c>
      <c r="J51" s="11">
        <f t="shared" si="19"/>
        <v>20</v>
      </c>
      <c r="K51" s="11">
        <f t="shared" si="19"/>
        <v>0</v>
      </c>
      <c r="L51" s="11">
        <f t="shared" si="19"/>
        <v>0</v>
      </c>
      <c r="M51" s="11">
        <f t="shared" si="19"/>
        <v>0</v>
      </c>
      <c r="N51" s="11">
        <f t="shared" si="19"/>
        <v>0</v>
      </c>
      <c r="O51" s="11">
        <f t="shared" si="19"/>
        <v>0</v>
      </c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</row>
    <row r="52" ht="14.25" customHeight="1" spans="3:32">
      <c r="C52" s="52" t="s">
        <v>25</v>
      </c>
      <c r="D52" s="11"/>
      <c r="E52" s="11"/>
      <c r="F52" s="11">
        <f t="shared" ref="F52:O52" si="20">F31/5*100</f>
        <v>240</v>
      </c>
      <c r="G52" s="11">
        <f t="shared" si="20"/>
        <v>60</v>
      </c>
      <c r="H52" s="11">
        <f t="shared" si="20"/>
        <v>0</v>
      </c>
      <c r="I52" s="11">
        <f t="shared" si="20"/>
        <v>60</v>
      </c>
      <c r="J52" s="11">
        <f t="shared" si="20"/>
        <v>20</v>
      </c>
      <c r="K52" s="11">
        <f t="shared" si="20"/>
        <v>640</v>
      </c>
      <c r="L52" s="11">
        <f t="shared" si="20"/>
        <v>0</v>
      </c>
      <c r="M52" s="11">
        <f t="shared" si="20"/>
        <v>0</v>
      </c>
      <c r="N52" s="11">
        <f t="shared" si="20"/>
        <v>0</v>
      </c>
      <c r="O52" s="11">
        <f t="shared" si="20"/>
        <v>0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</row>
    <row r="53" ht="14.25" customHeight="1" spans="16:32"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</row>
    <row r="54" ht="14.25" customHeight="1" spans="4:32"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</row>
    <row r="55" ht="14.25" customHeight="1" spans="4:32"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</row>
    <row r="56" ht="14.25" customHeight="1" spans="4:32"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68"/>
      <c r="AE56" s="68"/>
      <c r="AF56" s="68"/>
    </row>
    <row r="57" ht="14.25" customHeight="1" spans="4:32"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  <c r="AC57" s="68"/>
      <c r="AD57" s="68"/>
      <c r="AE57" s="68"/>
      <c r="AF57" s="68"/>
    </row>
    <row r="58" ht="14.25" customHeight="1" spans="4:32"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  <c r="AE58" s="68"/>
      <c r="AF58" s="68"/>
    </row>
    <row r="59" ht="14.25" customHeight="1" spans="4:32"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8"/>
    </row>
    <row r="60" ht="14.25" customHeight="1" spans="4:32"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  <c r="AB60" s="68"/>
      <c r="AC60" s="68"/>
      <c r="AD60" s="68"/>
      <c r="AE60" s="68"/>
      <c r="AF60" s="68"/>
    </row>
    <row r="61" ht="14.25" customHeight="1" spans="4:32"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  <c r="AB61" s="68"/>
      <c r="AC61" s="68"/>
      <c r="AD61" s="68"/>
      <c r="AE61" s="68"/>
      <c r="AF61" s="68"/>
    </row>
    <row r="62" ht="14.25" customHeight="1" spans="4:32"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  <c r="AB62" s="68"/>
      <c r="AC62" s="68"/>
      <c r="AD62" s="68"/>
      <c r="AE62" s="68"/>
      <c r="AF62" s="68"/>
    </row>
    <row r="63" ht="14.25" customHeight="1" spans="4:32"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</row>
    <row r="64" ht="14.25" customHeight="1" spans="4:32"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  <c r="AB64" s="68"/>
      <c r="AC64" s="68"/>
      <c r="AD64" s="68"/>
      <c r="AE64" s="68"/>
      <c r="AF64" s="68"/>
    </row>
    <row r="65" ht="14.25" customHeight="1" spans="4:32"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</row>
    <row r="66" ht="14.25" customHeight="1" spans="4:32"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</row>
    <row r="67" ht="14.25" customHeight="1" spans="4:32"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  <c r="AB67" s="68"/>
      <c r="AC67" s="68"/>
      <c r="AD67" s="68"/>
      <c r="AE67" s="68"/>
      <c r="AF67" s="68"/>
    </row>
    <row r="68" ht="14.25" customHeight="1" spans="4:32"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</row>
    <row r="69" ht="14.25" customHeight="1" spans="4:32"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</row>
    <row r="70" ht="14.25" customHeight="1" spans="4:32"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  <c r="AB70" s="68"/>
      <c r="AC70" s="68"/>
      <c r="AD70" s="68"/>
      <c r="AE70" s="68"/>
      <c r="AF70" s="68"/>
    </row>
    <row r="71" ht="14.25" customHeight="1" spans="4:32"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  <c r="AB71" s="68"/>
      <c r="AC71" s="68"/>
      <c r="AD71" s="68"/>
      <c r="AE71" s="68"/>
      <c r="AF71" s="68"/>
    </row>
    <row r="72" ht="14.25" customHeight="1" spans="4:32"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  <c r="AB72" s="68"/>
      <c r="AC72" s="68"/>
      <c r="AD72" s="68"/>
      <c r="AE72" s="68"/>
      <c r="AF72" s="68"/>
    </row>
    <row r="73" ht="14.25" customHeight="1" spans="4:32"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  <c r="AE73" s="68"/>
      <c r="AF73" s="68"/>
    </row>
    <row r="74" ht="14.25" customHeight="1" spans="4:32"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  <c r="AB74" s="68"/>
      <c r="AC74" s="68"/>
      <c r="AD74" s="68"/>
      <c r="AE74" s="68"/>
      <c r="AF74" s="68"/>
    </row>
    <row r="75" ht="14.25" customHeight="1" spans="4:32"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68"/>
      <c r="AC75" s="68"/>
      <c r="AD75" s="68"/>
      <c r="AE75" s="68"/>
      <c r="AF75" s="68"/>
    </row>
    <row r="76" ht="14.25" customHeight="1" spans="4:32"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</row>
    <row r="77" ht="14.25" customHeight="1" spans="4:32"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</row>
    <row r="78" ht="14.25" customHeight="1" spans="4:32"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  <c r="AC78" s="68"/>
      <c r="AD78" s="68"/>
      <c r="AE78" s="68"/>
      <c r="AF78" s="68"/>
    </row>
    <row r="79" ht="14.25" customHeight="1" spans="4:32"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</row>
    <row r="80" ht="14.25" customHeight="1" spans="4:32"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</row>
    <row r="81" ht="14.25" customHeight="1" spans="4:32"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  <c r="AB81" s="68"/>
      <c r="AC81" s="68"/>
      <c r="AD81" s="68"/>
      <c r="AE81" s="68"/>
      <c r="AF81" s="68"/>
    </row>
    <row r="82" ht="14.25" customHeight="1" spans="4:32"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</row>
    <row r="83" ht="14.25" customHeight="1" spans="4:32"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</row>
    <row r="84" ht="14.25" customHeight="1" spans="4:32"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</row>
    <row r="85" ht="14.25" customHeight="1" spans="4:32"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</row>
    <row r="86" ht="14.25" customHeight="1" spans="4:32"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</row>
    <row r="87" ht="14.25" customHeight="1" spans="4:32"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</row>
    <row r="88" ht="14.25" customHeight="1" spans="4:32"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</row>
    <row r="89" ht="14.25" customHeight="1" spans="4:32"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</row>
    <row r="90" ht="14.25" customHeight="1" spans="4:32"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</row>
    <row r="91" ht="14.25" customHeight="1" spans="4:32"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</row>
    <row r="92" ht="14.25" customHeight="1" spans="4:32"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</row>
    <row r="93" ht="14.25" customHeight="1" spans="4:32"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</row>
    <row r="94" ht="14.25" customHeight="1" spans="4:32"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</row>
    <row r="95" ht="14.25" customHeight="1" spans="4:32"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</row>
    <row r="96" ht="14.25" customHeight="1" spans="4:32"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</row>
    <row r="97" ht="14.25" customHeight="1" spans="4:32"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</row>
    <row r="98" ht="14.25" customHeight="1" spans="4:32"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</row>
    <row r="99" ht="14.25" customHeight="1" spans="4:32"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</row>
    <row r="100" ht="14.25" customHeight="1" spans="4:32"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</row>
    <row r="101" ht="14.25" customHeight="1" spans="4:32"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</row>
    <row r="102" ht="14.25" customHeight="1" spans="4:32"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</row>
    <row r="103" ht="14.25" customHeight="1" spans="4:32"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</row>
    <row r="104" ht="14.25" customHeight="1" spans="4:32"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</row>
    <row r="105" ht="14.25" customHeight="1" spans="4:32"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</row>
    <row r="106" ht="14.25" customHeight="1" spans="4:32"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</row>
    <row r="107" ht="14.25" customHeight="1" spans="4:32"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</row>
    <row r="108" ht="14.25" customHeight="1" spans="4:32"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</row>
    <row r="109" ht="14.25" customHeight="1" spans="4:32"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/>
    </row>
    <row r="110" ht="14.25" customHeight="1" spans="4:32"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8"/>
      <c r="AB110" s="68"/>
      <c r="AC110" s="68"/>
      <c r="AD110" s="68"/>
      <c r="AE110" s="68"/>
      <c r="AF110" s="68"/>
    </row>
    <row r="111" ht="14.25" customHeight="1" spans="4:32"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</row>
    <row r="112" ht="14.25" customHeight="1" spans="4:32"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68"/>
      <c r="AB112" s="68"/>
      <c r="AC112" s="68"/>
      <c r="AD112" s="68"/>
      <c r="AE112" s="68"/>
      <c r="AF112" s="68"/>
    </row>
    <row r="113" ht="14.25" customHeight="1" spans="4:32">
      <c r="D113" s="93"/>
      <c r="E113" s="94"/>
      <c r="F113" s="95"/>
      <c r="G113" s="96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  <c r="AA113" s="68"/>
      <c r="AB113" s="68"/>
      <c r="AC113" s="68"/>
      <c r="AD113" s="68"/>
      <c r="AE113" s="68"/>
      <c r="AF113" s="68"/>
    </row>
    <row r="114" ht="14.25" customHeight="1" spans="4:32">
      <c r="D114" s="93"/>
      <c r="E114" s="94"/>
      <c r="F114" s="95"/>
      <c r="G114" s="96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  <c r="AA114" s="68"/>
      <c r="AB114" s="68"/>
      <c r="AC114" s="68"/>
      <c r="AD114" s="68"/>
      <c r="AE114" s="68"/>
      <c r="AF114" s="68"/>
    </row>
    <row r="115" ht="14.25" customHeight="1" spans="4:32">
      <c r="D115" s="93"/>
      <c r="E115" s="94"/>
      <c r="F115" s="95"/>
      <c r="G115" s="96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  <c r="AA115" s="68"/>
      <c r="AB115" s="68"/>
      <c r="AC115" s="68"/>
      <c r="AD115" s="68"/>
      <c r="AE115" s="68"/>
      <c r="AF115" s="68"/>
    </row>
    <row r="116" ht="14.25" customHeight="1" spans="4:32">
      <c r="D116" s="93"/>
      <c r="E116" s="94"/>
      <c r="F116" s="95"/>
      <c r="G116" s="96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  <c r="AA116" s="68"/>
      <c r="AB116" s="68"/>
      <c r="AC116" s="68"/>
      <c r="AD116" s="68"/>
      <c r="AE116" s="68"/>
      <c r="AF116" s="68"/>
    </row>
    <row r="117" ht="14.25" customHeight="1" spans="4:32">
      <c r="D117" s="93"/>
      <c r="E117" s="94"/>
      <c r="F117" s="95"/>
      <c r="G117" s="96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  <c r="AB117" s="68"/>
      <c r="AC117" s="68"/>
      <c r="AD117" s="68"/>
      <c r="AE117" s="68"/>
      <c r="AF117" s="68"/>
    </row>
    <row r="118" ht="14.25" customHeight="1" spans="4:32">
      <c r="D118" s="93"/>
      <c r="E118" s="94"/>
      <c r="F118" s="95"/>
      <c r="G118" s="96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68"/>
      <c r="AB118" s="68"/>
      <c r="AC118" s="68"/>
      <c r="AD118" s="68"/>
      <c r="AE118" s="68"/>
      <c r="AF118" s="68"/>
    </row>
    <row r="119" ht="14.25" customHeight="1" spans="4:32">
      <c r="D119" s="93"/>
      <c r="E119" s="94"/>
      <c r="F119" s="95"/>
      <c r="G119" s="96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68"/>
      <c r="AB119" s="68"/>
      <c r="AC119" s="68"/>
      <c r="AD119" s="68"/>
      <c r="AE119" s="68"/>
      <c r="AF119" s="68"/>
    </row>
    <row r="120" ht="14.25" customHeight="1" spans="4:32">
      <c r="D120" s="93"/>
      <c r="E120" s="94"/>
      <c r="F120" s="95"/>
      <c r="G120" s="96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  <c r="AA120" s="68"/>
      <c r="AB120" s="68"/>
      <c r="AC120" s="68"/>
      <c r="AD120" s="68"/>
      <c r="AE120" s="68"/>
      <c r="AF120" s="68"/>
    </row>
    <row r="121" ht="14.25" customHeight="1" spans="4:32">
      <c r="D121" s="93"/>
      <c r="E121" s="94"/>
      <c r="F121" s="95"/>
      <c r="G121" s="96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68"/>
      <c r="AB121" s="68"/>
      <c r="AC121" s="68"/>
      <c r="AD121" s="68"/>
      <c r="AE121" s="68"/>
      <c r="AF121" s="68"/>
    </row>
    <row r="122" ht="14.25" customHeight="1" spans="4:32">
      <c r="D122" s="93"/>
      <c r="E122" s="94"/>
      <c r="F122" s="95"/>
      <c r="G122" s="96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</row>
    <row r="123" ht="14.25" customHeight="1" spans="4:32">
      <c r="D123" s="93"/>
      <c r="E123" s="94"/>
      <c r="F123" s="95"/>
      <c r="G123" s="96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  <c r="AB123" s="68"/>
      <c r="AC123" s="68"/>
      <c r="AD123" s="68"/>
      <c r="AE123" s="68"/>
      <c r="AF123" s="68"/>
    </row>
    <row r="124" ht="14.25" customHeight="1" spans="4:32">
      <c r="D124" s="93"/>
      <c r="E124" s="94"/>
      <c r="F124" s="95"/>
      <c r="G124" s="96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68"/>
      <c r="AB124" s="68"/>
      <c r="AC124" s="68"/>
      <c r="AD124" s="68"/>
      <c r="AE124" s="68"/>
      <c r="AF124" s="68"/>
    </row>
    <row r="125" ht="14.25" customHeight="1" spans="4:32">
      <c r="D125" s="93"/>
      <c r="E125" s="94"/>
      <c r="F125" s="95"/>
      <c r="G125" s="96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  <c r="AA125" s="68"/>
      <c r="AB125" s="68"/>
      <c r="AC125" s="68"/>
      <c r="AD125" s="68"/>
      <c r="AE125" s="68"/>
      <c r="AF125" s="68"/>
    </row>
    <row r="126" ht="14.25" customHeight="1" spans="4:32">
      <c r="D126" s="93"/>
      <c r="E126" s="94"/>
      <c r="F126" s="95"/>
      <c r="G126" s="96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  <c r="AA126" s="68"/>
      <c r="AB126" s="68"/>
      <c r="AC126" s="68"/>
      <c r="AD126" s="68"/>
      <c r="AE126" s="68"/>
      <c r="AF126" s="68"/>
    </row>
    <row r="127" ht="14.25" customHeight="1" spans="4:32">
      <c r="D127" s="93"/>
      <c r="E127" s="94"/>
      <c r="F127" s="95"/>
      <c r="G127" s="96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  <c r="AA127" s="68"/>
      <c r="AB127" s="68"/>
      <c r="AC127" s="68"/>
      <c r="AD127" s="68"/>
      <c r="AE127" s="68"/>
      <c r="AF127" s="68"/>
    </row>
    <row r="128" ht="14.25" customHeight="1" spans="4:32">
      <c r="D128" s="93"/>
      <c r="E128" s="94"/>
      <c r="F128" s="95"/>
      <c r="G128" s="96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  <c r="AA128" s="68"/>
      <c r="AB128" s="68"/>
      <c r="AC128" s="68"/>
      <c r="AD128" s="68"/>
      <c r="AE128" s="68"/>
      <c r="AF128" s="68"/>
    </row>
    <row r="129" ht="14.25" customHeight="1" spans="4:32">
      <c r="D129" s="93"/>
      <c r="E129" s="94"/>
      <c r="F129" s="95"/>
      <c r="G129" s="96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  <c r="AA129" s="68"/>
      <c r="AB129" s="68"/>
      <c r="AC129" s="68"/>
      <c r="AD129" s="68"/>
      <c r="AE129" s="68"/>
      <c r="AF129" s="68"/>
    </row>
    <row r="130" ht="14.25" customHeight="1" spans="4:32">
      <c r="D130" s="93"/>
      <c r="E130" s="94"/>
      <c r="F130" s="95"/>
      <c r="G130" s="96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  <c r="AA130" s="68"/>
      <c r="AB130" s="68"/>
      <c r="AC130" s="68"/>
      <c r="AD130" s="68"/>
      <c r="AE130" s="68"/>
      <c r="AF130" s="68"/>
    </row>
    <row r="131" ht="14.25" customHeight="1" spans="4:32">
      <c r="D131" s="93"/>
      <c r="E131" s="94"/>
      <c r="F131" s="95"/>
      <c r="G131" s="96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  <c r="AA131" s="68"/>
      <c r="AB131" s="68"/>
      <c r="AC131" s="68"/>
      <c r="AD131" s="68"/>
      <c r="AE131" s="68"/>
      <c r="AF131" s="68"/>
    </row>
    <row r="132" ht="14.25" customHeight="1" spans="4:32">
      <c r="D132" s="93"/>
      <c r="E132" s="94"/>
      <c r="F132" s="95"/>
      <c r="G132" s="96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  <c r="AA132" s="68"/>
      <c r="AB132" s="68"/>
      <c r="AC132" s="68"/>
      <c r="AD132" s="68"/>
      <c r="AE132" s="68"/>
      <c r="AF132" s="68"/>
    </row>
    <row r="133" ht="14.25" customHeight="1" spans="4:32">
      <c r="D133" s="93"/>
      <c r="E133" s="94"/>
      <c r="F133" s="95"/>
      <c r="G133" s="96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  <c r="AA133" s="68"/>
      <c r="AB133" s="68"/>
      <c r="AC133" s="68"/>
      <c r="AD133" s="68"/>
      <c r="AE133" s="68"/>
      <c r="AF133" s="68"/>
    </row>
    <row r="134" ht="14.25" customHeight="1" spans="4:32">
      <c r="D134" s="93"/>
      <c r="E134" s="94"/>
      <c r="F134" s="95"/>
      <c r="G134" s="96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</row>
    <row r="135" ht="14.25" customHeight="1" spans="4:32">
      <c r="D135" s="93"/>
      <c r="E135" s="94"/>
      <c r="F135" s="95"/>
      <c r="G135" s="96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</row>
    <row r="136" ht="14.25" customHeight="1" spans="4:32">
      <c r="D136" s="93"/>
      <c r="E136" s="94"/>
      <c r="F136" s="95"/>
      <c r="G136" s="96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</row>
    <row r="137" ht="14.25" customHeight="1" spans="4:32">
      <c r="D137" s="93"/>
      <c r="E137" s="94"/>
      <c r="F137" s="95"/>
      <c r="G137" s="96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  <c r="AA137" s="68"/>
      <c r="AB137" s="68"/>
      <c r="AC137" s="68"/>
      <c r="AD137" s="68"/>
      <c r="AE137" s="68"/>
      <c r="AF137" s="68"/>
    </row>
    <row r="138" ht="14.25" customHeight="1" spans="4:32">
      <c r="D138" s="93"/>
      <c r="E138" s="94"/>
      <c r="F138" s="95"/>
      <c r="G138" s="96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  <c r="AA138" s="68"/>
      <c r="AB138" s="68"/>
      <c r="AC138" s="68"/>
      <c r="AD138" s="68"/>
      <c r="AE138" s="68"/>
      <c r="AF138" s="68"/>
    </row>
    <row r="139" ht="14.25" customHeight="1" spans="4:32">
      <c r="D139" s="93"/>
      <c r="E139" s="94"/>
      <c r="F139" s="95"/>
      <c r="G139" s="96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68"/>
      <c r="AB139" s="68"/>
      <c r="AC139" s="68"/>
      <c r="AD139" s="68"/>
      <c r="AE139" s="68"/>
      <c r="AF139" s="68"/>
    </row>
    <row r="140" ht="14.25" customHeight="1" spans="4:32">
      <c r="D140" s="93"/>
      <c r="E140" s="94"/>
      <c r="F140" s="95"/>
      <c r="G140" s="96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  <c r="AA140" s="68"/>
      <c r="AB140" s="68"/>
      <c r="AC140" s="68"/>
      <c r="AD140" s="68"/>
      <c r="AE140" s="68"/>
      <c r="AF140" s="68"/>
    </row>
    <row r="141" ht="14.25" customHeight="1" spans="4:32">
      <c r="D141" s="93"/>
      <c r="E141" s="94"/>
      <c r="F141" s="95"/>
      <c r="G141" s="96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  <c r="AA141" s="68"/>
      <c r="AB141" s="68"/>
      <c r="AC141" s="68"/>
      <c r="AD141" s="68"/>
      <c r="AE141" s="68"/>
      <c r="AF141" s="68"/>
    </row>
    <row r="142" ht="14.25" customHeight="1" spans="4:32">
      <c r="D142" s="93"/>
      <c r="E142" s="94"/>
      <c r="F142" s="95"/>
      <c r="G142" s="96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  <c r="AA142" s="68"/>
      <c r="AB142" s="68"/>
      <c r="AC142" s="68"/>
      <c r="AD142" s="68"/>
      <c r="AE142" s="68"/>
      <c r="AF142" s="68"/>
    </row>
    <row r="143" ht="14.25" customHeight="1" spans="4:32">
      <c r="D143" s="93"/>
      <c r="E143" s="94"/>
      <c r="F143" s="95"/>
      <c r="G143" s="96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68"/>
      <c r="AB143" s="68"/>
      <c r="AC143" s="68"/>
      <c r="AD143" s="68"/>
      <c r="AE143" s="68"/>
      <c r="AF143" s="68"/>
    </row>
    <row r="144" ht="14.25" customHeight="1" spans="4:32">
      <c r="D144" s="93"/>
      <c r="E144" s="94"/>
      <c r="F144" s="95"/>
      <c r="G144" s="96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  <c r="AA144" s="68"/>
      <c r="AB144" s="68"/>
      <c r="AC144" s="68"/>
      <c r="AD144" s="68"/>
      <c r="AE144" s="68"/>
      <c r="AF144" s="68"/>
    </row>
    <row r="145" ht="14.25" customHeight="1" spans="4:32">
      <c r="D145" s="93"/>
      <c r="E145" s="94"/>
      <c r="F145" s="95"/>
      <c r="G145" s="96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  <c r="AA145" s="68"/>
      <c r="AB145" s="68"/>
      <c r="AC145" s="68"/>
      <c r="AD145" s="68"/>
      <c r="AE145" s="68"/>
      <c r="AF145" s="68"/>
    </row>
    <row r="146" ht="14.25" customHeight="1" spans="4:32">
      <c r="D146" s="93"/>
      <c r="E146" s="94"/>
      <c r="F146" s="95"/>
      <c r="G146" s="96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  <c r="AA146" s="68"/>
      <c r="AB146" s="68"/>
      <c r="AC146" s="68"/>
      <c r="AD146" s="68"/>
      <c r="AE146" s="68"/>
      <c r="AF146" s="68"/>
    </row>
    <row r="147" ht="14.25" customHeight="1" spans="4:32">
      <c r="D147" s="93"/>
      <c r="E147" s="94"/>
      <c r="F147" s="95"/>
      <c r="G147" s="96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</row>
    <row r="148" ht="14.25" customHeight="1" spans="4:32">
      <c r="D148" s="93"/>
      <c r="E148" s="94"/>
      <c r="F148" s="95"/>
      <c r="G148" s="96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  <c r="AA148" s="68"/>
      <c r="AB148" s="68"/>
      <c r="AC148" s="68"/>
      <c r="AD148" s="68"/>
      <c r="AE148" s="68"/>
      <c r="AF148" s="68"/>
    </row>
    <row r="149" ht="14.25" customHeight="1" spans="4:32">
      <c r="D149" s="93"/>
      <c r="E149" s="94"/>
      <c r="F149" s="95"/>
      <c r="G149" s="96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  <c r="AA149" s="68"/>
      <c r="AB149" s="68"/>
      <c r="AC149" s="68"/>
      <c r="AD149" s="68"/>
      <c r="AE149" s="68"/>
      <c r="AF149" s="68"/>
    </row>
    <row r="150" ht="14.25" customHeight="1" spans="4:32">
      <c r="D150" s="93"/>
      <c r="E150" s="94"/>
      <c r="F150" s="95"/>
      <c r="G150" s="96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  <c r="AA150" s="68"/>
      <c r="AB150" s="68"/>
      <c r="AC150" s="68"/>
      <c r="AD150" s="68"/>
      <c r="AE150" s="68"/>
      <c r="AF150" s="68"/>
    </row>
    <row r="151" ht="14.25" customHeight="1" spans="4:32">
      <c r="D151" s="93"/>
      <c r="E151" s="94"/>
      <c r="F151" s="95"/>
      <c r="G151" s="96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  <c r="AA151" s="68"/>
      <c r="AB151" s="68"/>
      <c r="AC151" s="68"/>
      <c r="AD151" s="68"/>
      <c r="AE151" s="68"/>
      <c r="AF151" s="68"/>
    </row>
    <row r="152" ht="14.25" customHeight="1" spans="4:32">
      <c r="D152" s="93"/>
      <c r="E152" s="94"/>
      <c r="F152" s="95"/>
      <c r="G152" s="96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  <c r="AA152" s="68"/>
      <c r="AB152" s="68"/>
      <c r="AC152" s="68"/>
      <c r="AD152" s="68"/>
      <c r="AE152" s="68"/>
      <c r="AF152" s="68"/>
    </row>
    <row r="153" ht="14.25" customHeight="1" spans="4:32">
      <c r="D153" s="93"/>
      <c r="E153" s="94"/>
      <c r="F153" s="95"/>
      <c r="G153" s="96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  <c r="AA153" s="68"/>
      <c r="AB153" s="68"/>
      <c r="AC153" s="68"/>
      <c r="AD153" s="68"/>
      <c r="AE153" s="68"/>
      <c r="AF153" s="68"/>
    </row>
    <row r="154" ht="14.25" customHeight="1" spans="4:32">
      <c r="D154" s="93"/>
      <c r="E154" s="94"/>
      <c r="F154" s="95"/>
      <c r="G154" s="96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  <c r="AA154" s="68"/>
      <c r="AB154" s="68"/>
      <c r="AC154" s="68"/>
      <c r="AD154" s="68"/>
      <c r="AE154" s="68"/>
      <c r="AF154" s="68"/>
    </row>
    <row r="155" ht="14.25" customHeight="1" spans="4:32">
      <c r="D155" s="93"/>
      <c r="E155" s="94"/>
      <c r="F155" s="95"/>
      <c r="G155" s="96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  <c r="AB155" s="68"/>
      <c r="AC155" s="68"/>
      <c r="AD155" s="68"/>
      <c r="AE155" s="68"/>
      <c r="AF155" s="68"/>
    </row>
    <row r="156" ht="14.25" customHeight="1" spans="4:32">
      <c r="D156" s="93"/>
      <c r="E156" s="94"/>
      <c r="F156" s="95"/>
      <c r="G156" s="96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  <c r="AA156" s="68"/>
      <c r="AB156" s="68"/>
      <c r="AC156" s="68"/>
      <c r="AD156" s="68"/>
      <c r="AE156" s="68"/>
      <c r="AF156" s="68"/>
    </row>
    <row r="157" ht="14.25" customHeight="1" spans="4:32">
      <c r="D157" s="93"/>
      <c r="E157" s="94"/>
      <c r="F157" s="95"/>
      <c r="G157" s="96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  <c r="AA157" s="68"/>
      <c r="AB157" s="68"/>
      <c r="AC157" s="68"/>
      <c r="AD157" s="68"/>
      <c r="AE157" s="68"/>
      <c r="AF157" s="68"/>
    </row>
    <row r="158" ht="14.25" customHeight="1" spans="4:32">
      <c r="D158" s="93"/>
      <c r="E158" s="94"/>
      <c r="F158" s="95"/>
      <c r="G158" s="96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</row>
    <row r="159" ht="14.25" customHeight="1" spans="4:32">
      <c r="D159" s="93"/>
      <c r="E159" s="94"/>
      <c r="F159" s="95"/>
      <c r="G159" s="96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  <c r="AA159" s="68"/>
      <c r="AB159" s="68"/>
      <c r="AC159" s="68"/>
      <c r="AD159" s="68"/>
      <c r="AE159" s="68"/>
      <c r="AF159" s="68"/>
    </row>
    <row r="160" ht="14.25" customHeight="1" spans="4:32">
      <c r="D160" s="93"/>
      <c r="E160" s="94"/>
      <c r="F160" s="95"/>
      <c r="G160" s="96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  <c r="AA160" s="68"/>
      <c r="AB160" s="68"/>
      <c r="AC160" s="68"/>
      <c r="AD160" s="68"/>
      <c r="AE160" s="68"/>
      <c r="AF160" s="68"/>
    </row>
    <row r="161" ht="14.25" customHeight="1" spans="4:32">
      <c r="D161" s="93"/>
      <c r="E161" s="94"/>
      <c r="F161" s="95"/>
      <c r="G161" s="96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  <c r="AA161" s="68"/>
      <c r="AB161" s="68"/>
      <c r="AC161" s="68"/>
      <c r="AD161" s="68"/>
      <c r="AE161" s="68"/>
      <c r="AF161" s="68"/>
    </row>
    <row r="162" ht="14.25" customHeight="1" spans="4:32">
      <c r="D162" s="93"/>
      <c r="E162" s="94"/>
      <c r="F162" s="95"/>
      <c r="G162" s="96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  <c r="AA162" s="68"/>
      <c r="AB162" s="68"/>
      <c r="AC162" s="68"/>
      <c r="AD162" s="68"/>
      <c r="AE162" s="68"/>
      <c r="AF162" s="68"/>
    </row>
    <row r="163" ht="14.25" customHeight="1" spans="4:32">
      <c r="D163" s="93"/>
      <c r="E163" s="94"/>
      <c r="F163" s="95"/>
      <c r="G163" s="96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  <c r="AA163" s="68"/>
      <c r="AB163" s="68"/>
      <c r="AC163" s="68"/>
      <c r="AD163" s="68"/>
      <c r="AE163" s="68"/>
      <c r="AF163" s="68"/>
    </row>
    <row r="164" ht="14.25" customHeight="1" spans="4:32">
      <c r="D164" s="93"/>
      <c r="E164" s="94"/>
      <c r="F164" s="95"/>
      <c r="G164" s="96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  <c r="AA164" s="68"/>
      <c r="AB164" s="68"/>
      <c r="AC164" s="68"/>
      <c r="AD164" s="68"/>
      <c r="AE164" s="68"/>
      <c r="AF164" s="68"/>
    </row>
    <row r="165" ht="14.25" customHeight="1" spans="4:32">
      <c r="D165" s="93"/>
      <c r="E165" s="94"/>
      <c r="F165" s="95"/>
      <c r="G165" s="96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  <c r="AA165" s="68"/>
      <c r="AB165" s="68"/>
      <c r="AC165" s="68"/>
      <c r="AD165" s="68"/>
      <c r="AE165" s="68"/>
      <c r="AF165" s="68"/>
    </row>
    <row r="166" ht="14.25" customHeight="1" spans="4:32">
      <c r="D166" s="93"/>
      <c r="E166" s="94"/>
      <c r="F166" s="95"/>
      <c r="G166" s="96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  <c r="AA166" s="68"/>
      <c r="AB166" s="68"/>
      <c r="AC166" s="68"/>
      <c r="AD166" s="68"/>
      <c r="AE166" s="68"/>
      <c r="AF166" s="68"/>
    </row>
    <row r="167" ht="14.25" customHeight="1" spans="4:32">
      <c r="D167" s="93"/>
      <c r="E167" s="94"/>
      <c r="F167" s="95"/>
      <c r="G167" s="96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  <c r="AA167" s="68"/>
      <c r="AB167" s="68"/>
      <c r="AC167" s="68"/>
      <c r="AD167" s="68"/>
      <c r="AE167" s="68"/>
      <c r="AF167" s="68"/>
    </row>
    <row r="168" ht="14.25" customHeight="1" spans="4:32">
      <c r="D168" s="93"/>
      <c r="E168" s="94"/>
      <c r="F168" s="95"/>
      <c r="G168" s="96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  <c r="AA168" s="68"/>
      <c r="AB168" s="68"/>
      <c r="AC168" s="68"/>
      <c r="AD168" s="68"/>
      <c r="AE168" s="68"/>
      <c r="AF168" s="68"/>
    </row>
    <row r="169" ht="14.25" customHeight="1" spans="4:32">
      <c r="D169" s="93"/>
      <c r="E169" s="94"/>
      <c r="F169" s="95"/>
      <c r="G169" s="96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  <c r="AA169" s="68"/>
      <c r="AB169" s="68"/>
      <c r="AC169" s="68"/>
      <c r="AD169" s="68"/>
      <c r="AE169" s="68"/>
      <c r="AF169" s="68"/>
    </row>
    <row r="170" ht="14.25" customHeight="1" spans="4:32">
      <c r="D170" s="93"/>
      <c r="E170" s="94"/>
      <c r="F170" s="95"/>
      <c r="G170" s="96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</row>
    <row r="171" ht="14.25" customHeight="1" spans="4:32">
      <c r="D171" s="93"/>
      <c r="E171" s="94"/>
      <c r="F171" s="95"/>
      <c r="G171" s="96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</row>
    <row r="172" ht="14.25" customHeight="1" spans="4:32">
      <c r="D172" s="93"/>
      <c r="E172" s="94"/>
      <c r="F172" s="95"/>
      <c r="G172" s="96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</row>
    <row r="173" ht="14.25" customHeight="1" spans="4:32">
      <c r="D173" s="93"/>
      <c r="E173" s="94"/>
      <c r="F173" s="95"/>
      <c r="G173" s="96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</row>
    <row r="174" ht="14.25" customHeight="1" spans="4:32">
      <c r="D174" s="93"/>
      <c r="E174" s="94"/>
      <c r="F174" s="95"/>
      <c r="G174" s="96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</row>
    <row r="175" ht="14.25" customHeight="1" spans="4:32">
      <c r="D175" s="93"/>
      <c r="E175" s="94"/>
      <c r="F175" s="95"/>
      <c r="G175" s="96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  <c r="AA175" s="68"/>
      <c r="AB175" s="68"/>
      <c r="AC175" s="68"/>
      <c r="AD175" s="68"/>
      <c r="AE175" s="68"/>
      <c r="AF175" s="68"/>
    </row>
    <row r="176" ht="14.25" customHeight="1" spans="4:32">
      <c r="D176" s="93"/>
      <c r="E176" s="94"/>
      <c r="F176" s="95"/>
      <c r="G176" s="96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  <c r="AA176" s="68"/>
      <c r="AB176" s="68"/>
      <c r="AC176" s="68"/>
      <c r="AD176" s="68"/>
      <c r="AE176" s="68"/>
      <c r="AF176" s="68"/>
    </row>
    <row r="177" ht="14.25" customHeight="1" spans="4:32">
      <c r="D177" s="93"/>
      <c r="E177" s="94"/>
      <c r="F177" s="95"/>
      <c r="G177" s="96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  <c r="AA177" s="68"/>
      <c r="AB177" s="68"/>
      <c r="AC177" s="68"/>
      <c r="AD177" s="68"/>
      <c r="AE177" s="68"/>
      <c r="AF177" s="68"/>
    </row>
    <row r="178" ht="14.25" customHeight="1" spans="4:32">
      <c r="D178" s="93"/>
      <c r="E178" s="94"/>
      <c r="F178" s="95"/>
      <c r="G178" s="96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  <c r="AA178" s="68"/>
      <c r="AB178" s="68"/>
      <c r="AC178" s="68"/>
      <c r="AD178" s="68"/>
      <c r="AE178" s="68"/>
      <c r="AF178" s="68"/>
    </row>
    <row r="179" ht="14.25" customHeight="1" spans="4:32">
      <c r="D179" s="93"/>
      <c r="E179" s="94"/>
      <c r="F179" s="95"/>
      <c r="G179" s="96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  <c r="AA179" s="68"/>
      <c r="AB179" s="68"/>
      <c r="AC179" s="68"/>
      <c r="AD179" s="68"/>
      <c r="AE179" s="68"/>
      <c r="AF179" s="68"/>
    </row>
    <row r="180" ht="14.25" customHeight="1" spans="4:32">
      <c r="D180" s="93"/>
      <c r="E180" s="94"/>
      <c r="F180" s="95"/>
      <c r="G180" s="96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  <c r="AA180" s="68"/>
      <c r="AB180" s="68"/>
      <c r="AC180" s="68"/>
      <c r="AD180" s="68"/>
      <c r="AE180" s="68"/>
      <c r="AF180" s="68"/>
    </row>
    <row r="181" ht="14.25" customHeight="1" spans="4:32">
      <c r="D181" s="93"/>
      <c r="E181" s="94"/>
      <c r="F181" s="95"/>
      <c r="G181" s="96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  <c r="AA181" s="68"/>
      <c r="AB181" s="68"/>
      <c r="AC181" s="68"/>
      <c r="AD181" s="68"/>
      <c r="AE181" s="68"/>
      <c r="AF181" s="68"/>
    </row>
    <row r="182" ht="14.25" customHeight="1" spans="4:32">
      <c r="D182" s="93"/>
      <c r="E182" s="94"/>
      <c r="F182" s="95"/>
      <c r="G182" s="96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  <c r="AA182" s="68"/>
      <c r="AB182" s="68"/>
      <c r="AC182" s="68"/>
      <c r="AD182" s="68"/>
      <c r="AE182" s="68"/>
      <c r="AF182" s="68"/>
    </row>
    <row r="183" ht="14.25" customHeight="1" spans="4:32">
      <c r="D183" s="93"/>
      <c r="E183" s="94"/>
      <c r="F183" s="95"/>
      <c r="G183" s="96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  <c r="AA183" s="68"/>
      <c r="AB183" s="68"/>
      <c r="AC183" s="68"/>
      <c r="AD183" s="68"/>
      <c r="AE183" s="68"/>
      <c r="AF183" s="68"/>
    </row>
    <row r="184" ht="14.25" customHeight="1" spans="4:32">
      <c r="D184" s="93"/>
      <c r="E184" s="94"/>
      <c r="F184" s="95"/>
      <c r="G184" s="96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  <c r="AA184" s="68"/>
      <c r="AB184" s="68"/>
      <c r="AC184" s="68"/>
      <c r="AD184" s="68"/>
      <c r="AE184" s="68"/>
      <c r="AF184" s="68"/>
    </row>
    <row r="185" ht="14.25" customHeight="1" spans="4:32">
      <c r="D185" s="93"/>
      <c r="E185" s="94"/>
      <c r="F185" s="95"/>
      <c r="G185" s="96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</row>
    <row r="186" ht="14.25" customHeight="1" spans="4:32">
      <c r="D186" s="93"/>
      <c r="E186" s="94"/>
      <c r="F186" s="95"/>
      <c r="G186" s="96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  <c r="AA186" s="68"/>
      <c r="AB186" s="68"/>
      <c r="AC186" s="68"/>
      <c r="AD186" s="68"/>
      <c r="AE186" s="68"/>
      <c r="AF186" s="68"/>
    </row>
    <row r="187" ht="14.25" customHeight="1" spans="4:32">
      <c r="D187" s="93"/>
      <c r="E187" s="94"/>
      <c r="F187" s="95"/>
      <c r="G187" s="96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  <c r="AA187" s="68"/>
      <c r="AB187" s="68"/>
      <c r="AC187" s="68"/>
      <c r="AD187" s="68"/>
      <c r="AE187" s="68"/>
      <c r="AF187" s="68"/>
    </row>
    <row r="188" ht="14.25" customHeight="1" spans="4:32">
      <c r="D188" s="93"/>
      <c r="E188" s="94"/>
      <c r="F188" s="95"/>
      <c r="G188" s="96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  <c r="AA188" s="68"/>
      <c r="AB188" s="68"/>
      <c r="AC188" s="68"/>
      <c r="AD188" s="68"/>
      <c r="AE188" s="68"/>
      <c r="AF188" s="68"/>
    </row>
    <row r="189" ht="14.25" customHeight="1" spans="4:32">
      <c r="D189" s="93"/>
      <c r="E189" s="94"/>
      <c r="F189" s="95"/>
      <c r="G189" s="96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  <c r="AA189" s="68"/>
      <c r="AB189" s="68"/>
      <c r="AC189" s="68"/>
      <c r="AD189" s="68"/>
      <c r="AE189" s="68"/>
      <c r="AF189" s="68"/>
    </row>
    <row r="190" ht="14.25" customHeight="1" spans="4:32">
      <c r="D190" s="93"/>
      <c r="E190" s="94"/>
      <c r="F190" s="95"/>
      <c r="G190" s="96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  <c r="AA190" s="68"/>
      <c r="AB190" s="68"/>
      <c r="AC190" s="68"/>
      <c r="AD190" s="68"/>
      <c r="AE190" s="68"/>
      <c r="AF190" s="68"/>
    </row>
    <row r="191" ht="14.25" customHeight="1" spans="4:32">
      <c r="D191" s="93"/>
      <c r="E191" s="94"/>
      <c r="F191" s="95"/>
      <c r="G191" s="96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  <c r="AA191" s="68"/>
      <c r="AB191" s="68"/>
      <c r="AC191" s="68"/>
      <c r="AD191" s="68"/>
      <c r="AE191" s="68"/>
      <c r="AF191" s="68"/>
    </row>
    <row r="192" ht="14.25" customHeight="1" spans="4:32">
      <c r="D192" s="93"/>
      <c r="E192" s="94"/>
      <c r="F192" s="95"/>
      <c r="G192" s="96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  <c r="AA192" s="68"/>
      <c r="AB192" s="68"/>
      <c r="AC192" s="68"/>
      <c r="AD192" s="68"/>
      <c r="AE192" s="68"/>
      <c r="AF192" s="68"/>
    </row>
    <row r="193" ht="14.25" customHeight="1" spans="4:32">
      <c r="D193" s="93"/>
      <c r="E193" s="94"/>
      <c r="F193" s="95"/>
      <c r="G193" s="96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  <c r="AB193" s="68"/>
      <c r="AC193" s="68"/>
      <c r="AD193" s="68"/>
      <c r="AE193" s="68"/>
      <c r="AF193" s="68"/>
    </row>
    <row r="194" ht="14.25" customHeight="1" spans="4:32">
      <c r="D194" s="93"/>
      <c r="E194" s="94"/>
      <c r="F194" s="95"/>
      <c r="G194" s="96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68"/>
      <c r="AB194" s="68"/>
      <c r="AC194" s="68"/>
      <c r="AD194" s="68"/>
      <c r="AE194" s="68"/>
      <c r="AF194" s="68"/>
    </row>
    <row r="195" ht="14.25" customHeight="1" spans="4:32">
      <c r="D195" s="93"/>
      <c r="E195" s="94"/>
      <c r="F195" s="95"/>
      <c r="G195" s="96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  <c r="AA195" s="68"/>
      <c r="AB195" s="68"/>
      <c r="AC195" s="68"/>
      <c r="AD195" s="68"/>
      <c r="AE195" s="68"/>
      <c r="AF195" s="68"/>
    </row>
    <row r="196" ht="14.25" customHeight="1" spans="4:32">
      <c r="D196" s="93"/>
      <c r="E196" s="94"/>
      <c r="F196" s="95"/>
      <c r="G196" s="96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</row>
    <row r="197" ht="14.25" customHeight="1" spans="4:32">
      <c r="D197" s="93"/>
      <c r="E197" s="94"/>
      <c r="F197" s="95"/>
      <c r="G197" s="96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  <c r="AA197" s="68"/>
      <c r="AB197" s="68"/>
      <c r="AC197" s="68"/>
      <c r="AD197" s="68"/>
      <c r="AE197" s="68"/>
      <c r="AF197" s="68"/>
    </row>
    <row r="198" ht="14.25" customHeight="1" spans="4:32">
      <c r="D198" s="93"/>
      <c r="E198" s="94"/>
      <c r="F198" s="95"/>
      <c r="G198" s="96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  <c r="AA198" s="68"/>
      <c r="AB198" s="68"/>
      <c r="AC198" s="68"/>
      <c r="AD198" s="68"/>
      <c r="AE198" s="68"/>
      <c r="AF198" s="68"/>
    </row>
    <row r="199" ht="14.25" customHeight="1" spans="4:32">
      <c r="D199" s="93"/>
      <c r="E199" s="94"/>
      <c r="F199" s="95"/>
      <c r="G199" s="96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68"/>
      <c r="AB199" s="68"/>
      <c r="AC199" s="68"/>
      <c r="AD199" s="68"/>
      <c r="AE199" s="68"/>
      <c r="AF199" s="68"/>
    </row>
    <row r="200" ht="14.25" customHeight="1" spans="4:32">
      <c r="D200" s="93"/>
      <c r="E200" s="94"/>
      <c r="F200" s="95"/>
      <c r="G200" s="96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  <c r="AA200" s="68"/>
      <c r="AB200" s="68"/>
      <c r="AC200" s="68"/>
      <c r="AD200" s="68"/>
      <c r="AE200" s="68"/>
      <c r="AF200" s="68"/>
    </row>
    <row r="201" ht="14.25" customHeight="1" spans="4:32">
      <c r="D201" s="93"/>
      <c r="E201" s="94"/>
      <c r="F201" s="95"/>
      <c r="G201" s="96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68"/>
      <c r="AB201" s="68"/>
      <c r="AC201" s="68"/>
      <c r="AD201" s="68"/>
      <c r="AE201" s="68"/>
      <c r="AF201" s="68"/>
    </row>
    <row r="202" ht="14.25" customHeight="1" spans="4:32">
      <c r="D202" s="93"/>
      <c r="E202" s="94"/>
      <c r="F202" s="95"/>
      <c r="G202" s="96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68"/>
      <c r="AB202" s="68"/>
      <c r="AC202" s="68"/>
      <c r="AD202" s="68"/>
      <c r="AE202" s="68"/>
      <c r="AF202" s="68"/>
    </row>
    <row r="203" ht="14.25" customHeight="1" spans="4:32">
      <c r="D203" s="93"/>
      <c r="E203" s="94"/>
      <c r="F203" s="95"/>
      <c r="G203" s="96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68"/>
      <c r="AB203" s="68"/>
      <c r="AC203" s="68"/>
      <c r="AD203" s="68"/>
      <c r="AE203" s="68"/>
      <c r="AF203" s="68"/>
    </row>
    <row r="204" ht="14.25" customHeight="1" spans="4:32">
      <c r="D204" s="93"/>
      <c r="E204" s="94"/>
      <c r="F204" s="95"/>
      <c r="G204" s="96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68"/>
      <c r="AB204" s="68"/>
      <c r="AC204" s="68"/>
      <c r="AD204" s="68"/>
      <c r="AE204" s="68"/>
      <c r="AF204" s="68"/>
    </row>
    <row r="205" ht="14.25" customHeight="1" spans="4:32">
      <c r="D205" s="93"/>
      <c r="E205" s="94"/>
      <c r="F205" s="95"/>
      <c r="G205" s="96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  <c r="AA205" s="68"/>
      <c r="AB205" s="68"/>
      <c r="AC205" s="68"/>
      <c r="AD205" s="68"/>
      <c r="AE205" s="68"/>
      <c r="AF205" s="68"/>
    </row>
    <row r="206" ht="14.25" customHeight="1" spans="4:32">
      <c r="D206" s="93"/>
      <c r="E206" s="94"/>
      <c r="F206" s="95"/>
      <c r="G206" s="96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  <c r="AA206" s="68"/>
      <c r="AB206" s="68"/>
      <c r="AC206" s="68"/>
      <c r="AD206" s="68"/>
      <c r="AE206" s="68"/>
      <c r="AF206" s="68"/>
    </row>
    <row r="207" ht="14.25" customHeight="1" spans="4:32">
      <c r="D207" s="93"/>
      <c r="E207" s="94"/>
      <c r="F207" s="95"/>
      <c r="G207" s="96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  <c r="AA207" s="68"/>
      <c r="AB207" s="68"/>
      <c r="AC207" s="68"/>
      <c r="AD207" s="68"/>
      <c r="AE207" s="68"/>
      <c r="AF207" s="68"/>
    </row>
    <row r="208" ht="14.25" customHeight="1" spans="4:32">
      <c r="D208" s="93"/>
      <c r="E208" s="94"/>
      <c r="F208" s="95"/>
      <c r="G208" s="96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</row>
    <row r="209" ht="14.25" customHeight="1" spans="4:32">
      <c r="D209" s="93"/>
      <c r="E209" s="94"/>
      <c r="F209" s="95"/>
      <c r="G209" s="96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</row>
    <row r="210" ht="14.25" customHeight="1" spans="4:32">
      <c r="D210" s="93"/>
      <c r="E210" s="94"/>
      <c r="F210" s="95"/>
      <c r="G210" s="96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</row>
    <row r="211" ht="14.25" customHeight="1" spans="4:32">
      <c r="D211" s="93"/>
      <c r="E211" s="94"/>
      <c r="F211" s="95"/>
      <c r="G211" s="96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  <c r="AA211" s="68"/>
      <c r="AB211" s="68"/>
      <c r="AC211" s="68"/>
      <c r="AD211" s="68"/>
      <c r="AE211" s="68"/>
      <c r="AF211" s="68"/>
    </row>
    <row r="212" ht="14.25" customHeight="1" spans="4:32">
      <c r="D212" s="93"/>
      <c r="E212" s="94"/>
      <c r="F212" s="95"/>
      <c r="G212" s="96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  <c r="AA212" s="68"/>
      <c r="AB212" s="68"/>
      <c r="AC212" s="68"/>
      <c r="AD212" s="68"/>
      <c r="AE212" s="68"/>
      <c r="AF212" s="68"/>
    </row>
    <row r="213" ht="14.25" customHeight="1" spans="4:32">
      <c r="D213" s="93"/>
      <c r="E213" s="94"/>
      <c r="F213" s="95"/>
      <c r="G213" s="96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  <c r="AA213" s="68"/>
      <c r="AB213" s="68"/>
      <c r="AC213" s="68"/>
      <c r="AD213" s="68"/>
      <c r="AE213" s="68"/>
      <c r="AF213" s="68"/>
    </row>
    <row r="214" ht="14.25" customHeight="1" spans="4:32">
      <c r="D214" s="93"/>
      <c r="E214" s="94"/>
      <c r="F214" s="95"/>
      <c r="G214" s="96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  <c r="AA214" s="68"/>
      <c r="AB214" s="68"/>
      <c r="AC214" s="68"/>
      <c r="AD214" s="68"/>
      <c r="AE214" s="68"/>
      <c r="AF214" s="68"/>
    </row>
    <row r="215" ht="14.25" customHeight="1" spans="4:32">
      <c r="D215" s="93"/>
      <c r="E215" s="94"/>
      <c r="F215" s="95"/>
      <c r="G215" s="96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  <c r="AA215" s="68"/>
      <c r="AB215" s="68"/>
      <c r="AC215" s="68"/>
      <c r="AD215" s="68"/>
      <c r="AE215" s="68"/>
      <c r="AF215" s="68"/>
    </row>
    <row r="216" ht="14.25" customHeight="1" spans="4:32">
      <c r="D216" s="93"/>
      <c r="E216" s="94"/>
      <c r="F216" s="95"/>
      <c r="G216" s="96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  <c r="AA216" s="68"/>
      <c r="AB216" s="68"/>
      <c r="AC216" s="68"/>
      <c r="AD216" s="68"/>
      <c r="AE216" s="68"/>
      <c r="AF216" s="68"/>
    </row>
    <row r="217" ht="14.25" customHeight="1" spans="4:32">
      <c r="D217" s="93"/>
      <c r="E217" s="94"/>
      <c r="F217" s="95"/>
      <c r="G217" s="96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  <c r="AA217" s="68"/>
      <c r="AB217" s="68"/>
      <c r="AC217" s="68"/>
      <c r="AD217" s="68"/>
      <c r="AE217" s="68"/>
      <c r="AF217" s="68"/>
    </row>
    <row r="218" ht="14.25" customHeight="1" spans="4:32">
      <c r="D218" s="93"/>
      <c r="E218" s="94"/>
      <c r="F218" s="95"/>
      <c r="G218" s="96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  <c r="AA218" s="68"/>
      <c r="AB218" s="68"/>
      <c r="AC218" s="68"/>
      <c r="AD218" s="68"/>
      <c r="AE218" s="68"/>
      <c r="AF218" s="68"/>
    </row>
    <row r="219" ht="14.25" customHeight="1" spans="4:32">
      <c r="D219" s="93"/>
      <c r="E219" s="94"/>
      <c r="F219" s="95"/>
      <c r="G219" s="96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  <c r="AA219" s="68"/>
      <c r="AB219" s="68"/>
      <c r="AC219" s="68"/>
      <c r="AD219" s="68"/>
      <c r="AE219" s="68"/>
      <c r="AF219" s="68"/>
    </row>
    <row r="220" ht="14.25" customHeight="1" spans="4:32">
      <c r="D220" s="93"/>
      <c r="E220" s="94"/>
      <c r="F220" s="95"/>
      <c r="G220" s="96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  <c r="AA220" s="68"/>
      <c r="AB220" s="68"/>
      <c r="AC220" s="68"/>
      <c r="AD220" s="68"/>
      <c r="AE220" s="68"/>
      <c r="AF220" s="68"/>
    </row>
    <row r="221" ht="14.25" customHeight="1" spans="4:32">
      <c r="D221" s="93"/>
      <c r="E221" s="94"/>
      <c r="F221" s="95"/>
      <c r="G221" s="96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</row>
    <row r="222" ht="14.25" customHeight="1" spans="4:32">
      <c r="D222" s="93"/>
      <c r="E222" s="94"/>
      <c r="F222" s="95"/>
      <c r="G222" s="96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  <c r="AA222" s="68"/>
      <c r="AB222" s="68"/>
      <c r="AC222" s="68"/>
      <c r="AD222" s="68"/>
      <c r="AE222" s="68"/>
      <c r="AF222" s="68"/>
    </row>
    <row r="223" ht="14.25" customHeight="1" spans="4:32">
      <c r="D223" s="93"/>
      <c r="E223" s="94"/>
      <c r="F223" s="95"/>
      <c r="G223" s="96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  <c r="AA223" s="68"/>
      <c r="AB223" s="68"/>
      <c r="AC223" s="68"/>
      <c r="AD223" s="68"/>
      <c r="AE223" s="68"/>
      <c r="AF223" s="68"/>
    </row>
    <row r="224" ht="14.25" customHeight="1" spans="4:32">
      <c r="D224" s="93"/>
      <c r="E224" s="94"/>
      <c r="F224" s="95"/>
      <c r="G224" s="96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  <c r="AA224" s="68"/>
      <c r="AB224" s="68"/>
      <c r="AC224" s="68"/>
      <c r="AD224" s="68"/>
      <c r="AE224" s="68"/>
      <c r="AF224" s="68"/>
    </row>
    <row r="225" ht="14.25" customHeight="1" spans="4:32">
      <c r="D225" s="93"/>
      <c r="E225" s="94"/>
      <c r="F225" s="95"/>
      <c r="G225" s="96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  <c r="AA225" s="68"/>
      <c r="AB225" s="68"/>
      <c r="AC225" s="68"/>
      <c r="AD225" s="68"/>
      <c r="AE225" s="68"/>
      <c r="AF225" s="68"/>
    </row>
    <row r="226" ht="14.25" customHeight="1" spans="4:32">
      <c r="D226" s="93"/>
      <c r="E226" s="94"/>
      <c r="F226" s="95"/>
      <c r="G226" s="96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  <c r="AA226" s="68"/>
      <c r="AB226" s="68"/>
      <c r="AC226" s="68"/>
      <c r="AD226" s="68"/>
      <c r="AE226" s="68"/>
      <c r="AF226" s="68"/>
    </row>
    <row r="227" ht="14.25" customHeight="1" spans="4:32">
      <c r="D227" s="93"/>
      <c r="E227" s="94"/>
      <c r="F227" s="95"/>
      <c r="G227" s="96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  <c r="AA227" s="68"/>
      <c r="AB227" s="68"/>
      <c r="AC227" s="68"/>
      <c r="AD227" s="68"/>
      <c r="AE227" s="68"/>
      <c r="AF227" s="68"/>
    </row>
    <row r="228" ht="14.25" customHeight="1" spans="4:32">
      <c r="D228" s="93"/>
      <c r="E228" s="94"/>
      <c r="F228" s="95"/>
      <c r="G228" s="96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  <c r="AA228" s="68"/>
      <c r="AB228" s="68"/>
      <c r="AC228" s="68"/>
      <c r="AD228" s="68"/>
      <c r="AE228" s="68"/>
      <c r="AF228" s="68"/>
    </row>
    <row r="229" ht="14.25" customHeight="1" spans="4:32">
      <c r="D229" s="93"/>
      <c r="E229" s="94"/>
      <c r="F229" s="95"/>
      <c r="G229" s="96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  <c r="AA229" s="68"/>
      <c r="AB229" s="68"/>
      <c r="AC229" s="68"/>
      <c r="AD229" s="68"/>
      <c r="AE229" s="68"/>
      <c r="AF229" s="68"/>
    </row>
    <row r="230" ht="14.25" customHeight="1" spans="4:32">
      <c r="D230" s="93"/>
      <c r="E230" s="94"/>
      <c r="F230" s="95"/>
      <c r="G230" s="96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  <c r="AA230" s="68"/>
      <c r="AB230" s="68"/>
      <c r="AC230" s="68"/>
      <c r="AD230" s="68"/>
      <c r="AE230" s="68"/>
      <c r="AF230" s="68"/>
    </row>
    <row r="231" ht="14.25" customHeight="1" spans="4:32">
      <c r="D231" s="93"/>
      <c r="E231" s="94"/>
      <c r="F231" s="95"/>
      <c r="G231" s="96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68"/>
      <c r="AB231" s="68"/>
      <c r="AC231" s="68"/>
      <c r="AD231" s="68"/>
      <c r="AE231" s="68"/>
      <c r="AF231" s="68"/>
    </row>
    <row r="232" ht="14.25" customHeight="1" spans="4:32">
      <c r="D232" s="93"/>
      <c r="E232" s="94"/>
      <c r="F232" s="95"/>
      <c r="G232" s="96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</row>
    <row r="233" ht="14.25" customHeight="1" spans="4:32">
      <c r="D233" s="93"/>
      <c r="E233" s="94"/>
      <c r="F233" s="95"/>
      <c r="G233" s="96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  <c r="AA233" s="68"/>
      <c r="AB233" s="68"/>
      <c r="AC233" s="68"/>
      <c r="AD233" s="68"/>
      <c r="AE233" s="68"/>
      <c r="AF233" s="68"/>
    </row>
    <row r="234" ht="14.25" customHeight="1" spans="4:32">
      <c r="D234" s="93"/>
      <c r="E234" s="94"/>
      <c r="F234" s="95"/>
      <c r="G234" s="96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  <c r="AA234" s="68"/>
      <c r="AB234" s="68"/>
      <c r="AC234" s="68"/>
      <c r="AD234" s="68"/>
      <c r="AE234" s="68"/>
      <c r="AF234" s="68"/>
    </row>
    <row r="235" ht="14.25" customHeight="1" spans="4:32">
      <c r="D235" s="93"/>
      <c r="E235" s="94"/>
      <c r="F235" s="95"/>
      <c r="G235" s="96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  <c r="AA235" s="68"/>
      <c r="AB235" s="68"/>
      <c r="AC235" s="68"/>
      <c r="AD235" s="68"/>
      <c r="AE235" s="68"/>
      <c r="AF235" s="68"/>
    </row>
    <row r="236" ht="14.25" customHeight="1" spans="4:32">
      <c r="D236" s="93"/>
      <c r="E236" s="94"/>
      <c r="F236" s="95"/>
      <c r="G236" s="96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  <c r="AA236" s="68"/>
      <c r="AB236" s="68"/>
      <c r="AC236" s="68"/>
      <c r="AD236" s="68"/>
      <c r="AE236" s="68"/>
      <c r="AF236" s="68"/>
    </row>
    <row r="237" ht="14.25" customHeight="1" spans="4:32">
      <c r="D237" s="93"/>
      <c r="E237" s="94"/>
      <c r="F237" s="95"/>
      <c r="G237" s="96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  <c r="AA237" s="68"/>
      <c r="AB237" s="68"/>
      <c r="AC237" s="68"/>
      <c r="AD237" s="68"/>
      <c r="AE237" s="68"/>
      <c r="AF237" s="68"/>
    </row>
    <row r="238" ht="14.25" customHeight="1" spans="4:32">
      <c r="D238" s="93"/>
      <c r="E238" s="94"/>
      <c r="F238" s="95"/>
      <c r="G238" s="96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  <c r="AA238" s="68"/>
      <c r="AB238" s="68"/>
      <c r="AC238" s="68"/>
      <c r="AD238" s="68"/>
      <c r="AE238" s="68"/>
      <c r="AF238" s="68"/>
    </row>
    <row r="239" ht="14.25" customHeight="1" spans="4:32">
      <c r="D239" s="93"/>
      <c r="E239" s="94"/>
      <c r="F239" s="95"/>
      <c r="G239" s="96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  <c r="AA239" s="68"/>
      <c r="AB239" s="68"/>
      <c r="AC239" s="68"/>
      <c r="AD239" s="68"/>
      <c r="AE239" s="68"/>
      <c r="AF239" s="68"/>
    </row>
    <row r="240" ht="14.25" customHeight="1" spans="4:32">
      <c r="D240" s="93"/>
      <c r="E240" s="94"/>
      <c r="F240" s="95"/>
      <c r="G240" s="96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  <c r="AA240" s="68"/>
      <c r="AB240" s="68"/>
      <c r="AC240" s="68"/>
      <c r="AD240" s="68"/>
      <c r="AE240" s="68"/>
      <c r="AF240" s="68"/>
    </row>
    <row r="241" ht="14.25" customHeight="1" spans="4:32">
      <c r="D241" s="93"/>
      <c r="E241" s="94"/>
      <c r="F241" s="95"/>
      <c r="G241" s="96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  <c r="AA241" s="68"/>
      <c r="AB241" s="68"/>
      <c r="AC241" s="68"/>
      <c r="AD241" s="68"/>
      <c r="AE241" s="68"/>
      <c r="AF241" s="68"/>
    </row>
    <row r="242" ht="14.25" customHeight="1" spans="4:32">
      <c r="D242" s="93"/>
      <c r="E242" s="94"/>
      <c r="F242" s="95"/>
      <c r="G242" s="96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  <c r="AA242" s="68"/>
      <c r="AB242" s="68"/>
      <c r="AC242" s="68"/>
      <c r="AD242" s="68"/>
      <c r="AE242" s="68"/>
      <c r="AF242" s="68"/>
    </row>
    <row r="243" ht="14.25" customHeight="1" spans="4:32">
      <c r="D243" s="93"/>
      <c r="E243" s="94"/>
      <c r="F243" s="95"/>
      <c r="G243" s="96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  <c r="AA243" s="68"/>
      <c r="AB243" s="68"/>
      <c r="AC243" s="68"/>
      <c r="AD243" s="68"/>
      <c r="AE243" s="68"/>
      <c r="AF243" s="68"/>
    </row>
    <row r="244" ht="14.25" customHeight="1" spans="4:32">
      <c r="D244" s="93"/>
      <c r="E244" s="94"/>
      <c r="F244" s="95"/>
      <c r="G244" s="96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</row>
    <row r="245" ht="14.25" customHeight="1" spans="4:32">
      <c r="D245" s="93"/>
      <c r="E245" s="94"/>
      <c r="F245" s="95"/>
      <c r="G245" s="96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</row>
    <row r="246" ht="14.25" customHeight="1" spans="4:32">
      <c r="D246" s="93"/>
      <c r="E246" s="94"/>
      <c r="F246" s="95"/>
      <c r="G246" s="96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</row>
    <row r="247" ht="14.25" customHeight="1" spans="4:32">
      <c r="D247" s="93"/>
      <c r="E247" s="94"/>
      <c r="F247" s="95"/>
      <c r="G247" s="96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</row>
    <row r="248" ht="14.25" customHeight="1" spans="4:32">
      <c r="D248" s="93"/>
      <c r="E248" s="94"/>
      <c r="F248" s="95"/>
      <c r="G248" s="96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  <c r="AA248" s="68"/>
      <c r="AB248" s="68"/>
      <c r="AC248" s="68"/>
      <c r="AD248" s="68"/>
      <c r="AE248" s="68"/>
      <c r="AF248" s="68"/>
    </row>
    <row r="249" ht="14.25" customHeight="1" spans="4:32">
      <c r="D249" s="93"/>
      <c r="E249" s="94"/>
      <c r="F249" s="95"/>
      <c r="G249" s="96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  <c r="AA249" s="68"/>
      <c r="AB249" s="68"/>
      <c r="AC249" s="68"/>
      <c r="AD249" s="68"/>
      <c r="AE249" s="68"/>
      <c r="AF249" s="68"/>
    </row>
    <row r="250" ht="14.25" customHeight="1" spans="4:32">
      <c r="D250" s="93"/>
      <c r="E250" s="94"/>
      <c r="F250" s="95"/>
      <c r="G250" s="96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</row>
    <row r="251" ht="14.25" customHeight="1" spans="4:32">
      <c r="D251" s="93"/>
      <c r="E251" s="94"/>
      <c r="F251" s="95"/>
      <c r="G251" s="96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  <c r="AA251" s="68"/>
      <c r="AB251" s="68"/>
      <c r="AC251" s="68"/>
      <c r="AD251" s="68"/>
      <c r="AE251" s="68"/>
      <c r="AF251" s="68"/>
    </row>
    <row r="252" ht="14.25" customHeight="1" spans="4:32">
      <c r="D252" s="93"/>
      <c r="E252" s="94"/>
      <c r="F252" s="95"/>
      <c r="G252" s="96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  <c r="AA252" s="68"/>
      <c r="AB252" s="68"/>
      <c r="AC252" s="68"/>
      <c r="AD252" s="68"/>
      <c r="AE252" s="68"/>
      <c r="AF252" s="68"/>
    </row>
    <row r="253" ht="14.25" customHeight="1" spans="4:32">
      <c r="D253" s="93"/>
      <c r="E253" s="94"/>
      <c r="F253" s="95"/>
      <c r="G253" s="96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  <c r="AA253" s="68"/>
      <c r="AB253" s="68"/>
      <c r="AC253" s="68"/>
      <c r="AD253" s="68"/>
      <c r="AE253" s="68"/>
      <c r="AF253" s="68"/>
    </row>
    <row r="254" ht="14.25" customHeight="1" spans="4:32">
      <c r="D254" s="93"/>
      <c r="E254" s="94"/>
      <c r="F254" s="95"/>
      <c r="G254" s="96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  <c r="AA254" s="68"/>
      <c r="AB254" s="68"/>
      <c r="AC254" s="68"/>
      <c r="AD254" s="68"/>
      <c r="AE254" s="68"/>
      <c r="AF254" s="68"/>
    </row>
    <row r="255" ht="14.25" customHeight="1" spans="4:32">
      <c r="D255" s="93"/>
      <c r="E255" s="94"/>
      <c r="F255" s="95"/>
      <c r="G255" s="96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</row>
    <row r="256" ht="14.25" customHeight="1" spans="4:32">
      <c r="D256" s="93"/>
      <c r="E256" s="94"/>
      <c r="F256" s="95"/>
      <c r="G256" s="96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</row>
    <row r="257" ht="14.25" customHeight="1" spans="4:32">
      <c r="D257" s="93"/>
      <c r="E257" s="94"/>
      <c r="F257" s="95"/>
      <c r="G257" s="96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  <c r="AA257" s="68"/>
      <c r="AB257" s="68"/>
      <c r="AC257" s="68"/>
      <c r="AD257" s="68"/>
      <c r="AE257" s="68"/>
      <c r="AF257" s="68"/>
    </row>
    <row r="258" ht="14.25" customHeight="1" spans="4:32">
      <c r="D258" s="93"/>
      <c r="E258" s="94"/>
      <c r="F258" s="95"/>
      <c r="G258" s="96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  <c r="AA258" s="68"/>
      <c r="AB258" s="68"/>
      <c r="AC258" s="68"/>
      <c r="AD258" s="68"/>
      <c r="AE258" s="68"/>
      <c r="AF258" s="68"/>
    </row>
    <row r="259" ht="14.25" customHeight="1" spans="4:32">
      <c r="D259" s="93"/>
      <c r="E259" s="94"/>
      <c r="F259" s="95"/>
      <c r="G259" s="96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  <c r="AA259" s="68"/>
      <c r="AB259" s="68"/>
      <c r="AC259" s="68"/>
      <c r="AD259" s="68"/>
      <c r="AE259" s="68"/>
      <c r="AF259" s="68"/>
    </row>
    <row r="260" ht="14.25" customHeight="1" spans="4:32">
      <c r="D260" s="93"/>
      <c r="E260" s="94"/>
      <c r="F260" s="95"/>
      <c r="G260" s="96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  <c r="AA260" s="68"/>
      <c r="AB260" s="68"/>
      <c r="AC260" s="68"/>
      <c r="AD260" s="68"/>
      <c r="AE260" s="68"/>
      <c r="AF260" s="68"/>
    </row>
    <row r="261" ht="14.25" customHeight="1" spans="4:32">
      <c r="D261" s="93"/>
      <c r="E261" s="94"/>
      <c r="F261" s="95"/>
      <c r="G261" s="96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  <c r="AA261" s="68"/>
      <c r="AB261" s="68"/>
      <c r="AC261" s="68"/>
      <c r="AD261" s="68"/>
      <c r="AE261" s="68"/>
      <c r="AF261" s="68"/>
    </row>
    <row r="262" ht="14.25" customHeight="1" spans="4:32">
      <c r="D262" s="93"/>
      <c r="E262" s="94"/>
      <c r="F262" s="95"/>
      <c r="G262" s="96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  <c r="AA262" s="68"/>
      <c r="AB262" s="68"/>
      <c r="AC262" s="68"/>
      <c r="AD262" s="68"/>
      <c r="AE262" s="68"/>
      <c r="AF262" s="68"/>
    </row>
    <row r="263" ht="14.25" customHeight="1" spans="4:32">
      <c r="D263" s="93"/>
      <c r="E263" s="94"/>
      <c r="F263" s="95"/>
      <c r="G263" s="96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  <c r="AA263" s="68"/>
      <c r="AB263" s="68"/>
      <c r="AC263" s="68"/>
      <c r="AD263" s="68"/>
      <c r="AE263" s="68"/>
      <c r="AF263" s="68"/>
    </row>
    <row r="264" ht="14.25" customHeight="1" spans="4:32">
      <c r="D264" s="93"/>
      <c r="E264" s="94"/>
      <c r="F264" s="95"/>
      <c r="G264" s="96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</row>
    <row r="265" ht="14.25" customHeight="1" spans="4:32">
      <c r="D265" s="93"/>
      <c r="E265" s="94"/>
      <c r="F265" s="95"/>
      <c r="G265" s="96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</row>
    <row r="266" ht="14.25" customHeight="1" spans="4:32">
      <c r="D266" s="93"/>
      <c r="E266" s="94"/>
      <c r="F266" s="95"/>
      <c r="G266" s="96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  <c r="AA266" s="68"/>
      <c r="AB266" s="68"/>
      <c r="AC266" s="68"/>
      <c r="AD266" s="68"/>
      <c r="AE266" s="68"/>
      <c r="AF266" s="68"/>
    </row>
    <row r="267" ht="14.25" customHeight="1" spans="4:32">
      <c r="D267" s="93"/>
      <c r="E267" s="94"/>
      <c r="F267" s="95"/>
      <c r="G267" s="96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  <c r="AA267" s="68"/>
      <c r="AB267" s="68"/>
      <c r="AC267" s="68"/>
      <c r="AD267" s="68"/>
      <c r="AE267" s="68"/>
      <c r="AF267" s="68"/>
    </row>
    <row r="268" ht="14.25" customHeight="1" spans="4:32">
      <c r="D268" s="93"/>
      <c r="E268" s="94"/>
      <c r="F268" s="95"/>
      <c r="G268" s="96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  <c r="AA268" s="68"/>
      <c r="AB268" s="68"/>
      <c r="AC268" s="68"/>
      <c r="AD268" s="68"/>
      <c r="AE268" s="68"/>
      <c r="AF268" s="68"/>
    </row>
    <row r="269" ht="14.25" customHeight="1" spans="4:32">
      <c r="D269" s="93"/>
      <c r="E269" s="94"/>
      <c r="F269" s="95"/>
      <c r="G269" s="96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</row>
    <row r="270" ht="14.25" customHeight="1" spans="4:32">
      <c r="D270" s="93"/>
      <c r="E270" s="94"/>
      <c r="F270" s="95"/>
      <c r="G270" s="96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  <c r="AA270" s="68"/>
      <c r="AB270" s="68"/>
      <c r="AC270" s="68"/>
      <c r="AD270" s="68"/>
      <c r="AE270" s="68"/>
      <c r="AF270" s="68"/>
    </row>
    <row r="271" ht="14.25" customHeight="1" spans="4:32">
      <c r="D271" s="93"/>
      <c r="E271" s="94"/>
      <c r="F271" s="95"/>
      <c r="G271" s="96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  <c r="AA271" s="68"/>
      <c r="AB271" s="68"/>
      <c r="AC271" s="68"/>
      <c r="AD271" s="68"/>
      <c r="AE271" s="68"/>
      <c r="AF271" s="68"/>
    </row>
    <row r="272" ht="14.25" customHeight="1" spans="4:32">
      <c r="D272" s="93"/>
      <c r="E272" s="94"/>
      <c r="F272" s="95"/>
      <c r="G272" s="96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  <c r="AA272" s="68"/>
      <c r="AB272" s="68"/>
      <c r="AC272" s="68"/>
      <c r="AD272" s="68"/>
      <c r="AE272" s="68"/>
      <c r="AF272" s="68"/>
    </row>
    <row r="273" ht="14.25" customHeight="1" spans="4:32">
      <c r="D273" s="93"/>
      <c r="E273" s="94"/>
      <c r="F273" s="95"/>
      <c r="G273" s="96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  <c r="AA273" s="68"/>
      <c r="AB273" s="68"/>
      <c r="AC273" s="68"/>
      <c r="AD273" s="68"/>
      <c r="AE273" s="68"/>
      <c r="AF273" s="68"/>
    </row>
    <row r="274" ht="14.25" customHeight="1" spans="4:32">
      <c r="D274" s="93"/>
      <c r="E274" s="94"/>
      <c r="F274" s="95"/>
      <c r="G274" s="96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</row>
    <row r="275" ht="14.25" customHeight="1" spans="4:32">
      <c r="D275" s="93"/>
      <c r="E275" s="94"/>
      <c r="F275" s="95"/>
      <c r="G275" s="96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  <c r="AA275" s="68"/>
      <c r="AB275" s="68"/>
      <c r="AC275" s="68"/>
      <c r="AD275" s="68"/>
      <c r="AE275" s="68"/>
      <c r="AF275" s="68"/>
    </row>
    <row r="276" ht="14.25" customHeight="1" spans="4:32">
      <c r="D276" s="93"/>
      <c r="E276" s="94"/>
      <c r="F276" s="95"/>
      <c r="G276" s="96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</row>
    <row r="277" ht="14.25" customHeight="1" spans="4:32">
      <c r="D277" s="93"/>
      <c r="E277" s="94"/>
      <c r="F277" s="95"/>
      <c r="G277" s="96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</row>
    <row r="278" ht="14.25" customHeight="1" spans="4:32">
      <c r="D278" s="93"/>
      <c r="E278" s="94"/>
      <c r="F278" s="95"/>
      <c r="G278" s="96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</row>
    <row r="279" ht="14.25" customHeight="1" spans="4:32">
      <c r="D279" s="93"/>
      <c r="E279" s="94"/>
      <c r="F279" s="95"/>
      <c r="G279" s="96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</row>
    <row r="280" ht="14.25" customHeight="1" spans="4:32">
      <c r="D280" s="93"/>
      <c r="E280" s="94"/>
      <c r="F280" s="95"/>
      <c r="G280" s="96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</row>
    <row r="281" ht="14.25" customHeight="1" spans="4:32">
      <c r="D281" s="93"/>
      <c r="E281" s="94"/>
      <c r="F281" s="95"/>
      <c r="G281" s="96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</row>
    <row r="282" ht="14.25" customHeight="1" spans="4:32">
      <c r="D282" s="93"/>
      <c r="E282" s="94"/>
      <c r="F282" s="95"/>
      <c r="G282" s="96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</row>
    <row r="283" ht="14.25" customHeight="1" spans="4:32">
      <c r="D283" s="93"/>
      <c r="E283" s="94"/>
      <c r="F283" s="95"/>
      <c r="G283" s="96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</row>
    <row r="284" ht="14.25" customHeight="1" spans="4:32">
      <c r="D284" s="93"/>
      <c r="E284" s="94"/>
      <c r="F284" s="95"/>
      <c r="G284" s="96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</row>
    <row r="285" ht="14.25" customHeight="1" spans="4:32">
      <c r="D285" s="93"/>
      <c r="E285" s="94"/>
      <c r="F285" s="95"/>
      <c r="G285" s="96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</row>
    <row r="286" ht="14.25" customHeight="1" spans="4:32">
      <c r="D286" s="93"/>
      <c r="E286" s="94"/>
      <c r="F286" s="95"/>
      <c r="G286" s="96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</row>
    <row r="287" ht="14.25" customHeight="1" spans="4:32">
      <c r="D287" s="93"/>
      <c r="E287" s="94"/>
      <c r="F287" s="95"/>
      <c r="G287" s="96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</row>
    <row r="288" ht="14.25" customHeight="1" spans="4:32">
      <c r="D288" s="93"/>
      <c r="E288" s="94"/>
      <c r="F288" s="95"/>
      <c r="G288" s="96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</row>
    <row r="289" ht="14.25" customHeight="1" spans="4:32">
      <c r="D289" s="93"/>
      <c r="E289" s="94"/>
      <c r="F289" s="95"/>
      <c r="G289" s="96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</row>
    <row r="290" ht="14.25" customHeight="1" spans="4:32">
      <c r="D290" s="93"/>
      <c r="E290" s="94"/>
      <c r="F290" s="95"/>
      <c r="G290" s="96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</row>
    <row r="291" ht="14.25" customHeight="1" spans="4:32">
      <c r="D291" s="93"/>
      <c r="E291" s="94"/>
      <c r="F291" s="95"/>
      <c r="G291" s="96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</row>
    <row r="292" ht="14.25" customHeight="1" spans="4:32">
      <c r="D292" s="93"/>
      <c r="E292" s="94"/>
      <c r="F292" s="95"/>
      <c r="G292" s="96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</row>
    <row r="293" ht="14.25" customHeight="1" spans="4:32">
      <c r="D293" s="93"/>
      <c r="E293" s="94"/>
      <c r="F293" s="95"/>
      <c r="G293" s="96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</row>
    <row r="294" ht="14.25" customHeight="1" spans="4:32">
      <c r="D294" s="93"/>
      <c r="E294" s="94"/>
      <c r="F294" s="95"/>
      <c r="G294" s="96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</row>
    <row r="295" ht="14.25" customHeight="1" spans="4:32">
      <c r="D295" s="93"/>
      <c r="E295" s="94"/>
      <c r="F295" s="95"/>
      <c r="G295" s="96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</row>
    <row r="296" ht="14.25" customHeight="1" spans="4:32">
      <c r="D296" s="93"/>
      <c r="E296" s="94"/>
      <c r="F296" s="95"/>
      <c r="G296" s="96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</row>
    <row r="297" ht="14.25" customHeight="1" spans="4:32">
      <c r="D297" s="93"/>
      <c r="E297" s="94"/>
      <c r="F297" s="95"/>
      <c r="G297" s="96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</row>
    <row r="298" ht="14.25" customHeight="1" spans="4:32">
      <c r="D298" s="93"/>
      <c r="E298" s="94"/>
      <c r="F298" s="95"/>
      <c r="G298" s="96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</row>
    <row r="299" ht="14.25" customHeight="1" spans="4:32">
      <c r="D299" s="93"/>
      <c r="E299" s="94"/>
      <c r="F299" s="95"/>
      <c r="G299" s="96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</row>
    <row r="300" ht="14.25" customHeight="1" spans="4:32">
      <c r="D300" s="93"/>
      <c r="E300" s="94"/>
      <c r="F300" s="95"/>
      <c r="G300" s="96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</row>
    <row r="301" ht="14.25" customHeight="1" spans="4:32">
      <c r="D301" s="93"/>
      <c r="E301" s="94"/>
      <c r="F301" s="95"/>
      <c r="G301" s="96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</row>
    <row r="302" ht="14.25" customHeight="1" spans="4:32">
      <c r="D302" s="93"/>
      <c r="E302" s="94"/>
      <c r="F302" s="95"/>
      <c r="G302" s="96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</row>
    <row r="303" ht="14.25" customHeight="1" spans="4:32">
      <c r="D303" s="93"/>
      <c r="E303" s="94"/>
      <c r="F303" s="95"/>
      <c r="G303" s="96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</row>
    <row r="304" ht="14.25" customHeight="1" spans="4:32">
      <c r="D304" s="93"/>
      <c r="E304" s="94"/>
      <c r="F304" s="95"/>
      <c r="G304" s="96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</row>
    <row r="305" ht="14.25" customHeight="1" spans="4:32">
      <c r="D305" s="93"/>
      <c r="E305" s="94"/>
      <c r="F305" s="95"/>
      <c r="G305" s="96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</row>
    <row r="306" ht="14.25" customHeight="1" spans="4:32">
      <c r="D306" s="93"/>
      <c r="E306" s="94"/>
      <c r="F306" s="95"/>
      <c r="G306" s="96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</row>
    <row r="307" ht="14.25" customHeight="1" spans="4:32">
      <c r="D307" s="93"/>
      <c r="E307" s="94"/>
      <c r="F307" s="95"/>
      <c r="G307" s="96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</row>
    <row r="308" ht="14.25" customHeight="1" spans="4:32">
      <c r="D308" s="93"/>
      <c r="E308" s="94"/>
      <c r="F308" s="95"/>
      <c r="G308" s="96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</row>
    <row r="309" ht="14.25" customHeight="1" spans="4:32">
      <c r="D309" s="93"/>
      <c r="E309" s="94"/>
      <c r="F309" s="95"/>
      <c r="G309" s="96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</row>
    <row r="310" ht="14.25" customHeight="1" spans="4:32">
      <c r="D310" s="93"/>
      <c r="E310" s="94"/>
      <c r="F310" s="95"/>
      <c r="G310" s="96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</row>
    <row r="311" ht="14.25" customHeight="1" spans="4:32">
      <c r="D311" s="93"/>
      <c r="E311" s="94"/>
      <c r="F311" s="95"/>
      <c r="G311" s="96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</row>
    <row r="312" ht="14.25" customHeight="1" spans="4:32">
      <c r="D312" s="93"/>
      <c r="E312" s="94"/>
      <c r="F312" s="95"/>
      <c r="G312" s="96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</row>
    <row r="313" ht="14.25" customHeight="1" spans="4:32">
      <c r="D313" s="93"/>
      <c r="E313" s="94"/>
      <c r="F313" s="95"/>
      <c r="G313" s="96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</row>
    <row r="314" ht="14.25" customHeight="1" spans="4:32">
      <c r="D314" s="93"/>
      <c r="E314" s="94"/>
      <c r="F314" s="95"/>
      <c r="G314" s="96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</row>
    <row r="315" ht="14.25" customHeight="1" spans="4:32">
      <c r="D315" s="93"/>
      <c r="E315" s="94"/>
      <c r="F315" s="95"/>
      <c r="G315" s="96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</row>
    <row r="316" ht="14.25" customHeight="1" spans="4:32">
      <c r="D316" s="93"/>
      <c r="E316" s="94"/>
      <c r="F316" s="95"/>
      <c r="G316" s="96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</row>
    <row r="317" ht="14.25" customHeight="1" spans="4:32">
      <c r="D317" s="93"/>
      <c r="E317" s="94"/>
      <c r="F317" s="95"/>
      <c r="G317" s="96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</row>
    <row r="318" ht="14.25" customHeight="1" spans="4:32">
      <c r="D318" s="93"/>
      <c r="E318" s="94"/>
      <c r="F318" s="95"/>
      <c r="G318" s="96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</row>
    <row r="319" ht="14.25" customHeight="1" spans="4:32">
      <c r="D319" s="93"/>
      <c r="E319" s="94"/>
      <c r="F319" s="95"/>
      <c r="G319" s="96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</row>
    <row r="320" ht="14.25" customHeight="1" spans="4:32">
      <c r="D320" s="93"/>
      <c r="E320" s="94"/>
      <c r="F320" s="95"/>
      <c r="G320" s="96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</row>
    <row r="321" ht="14.25" customHeight="1" spans="4:32">
      <c r="D321" s="93"/>
      <c r="E321" s="94"/>
      <c r="F321" s="95"/>
      <c r="G321" s="96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</row>
    <row r="322" ht="14.25" customHeight="1" spans="4:32">
      <c r="D322" s="93"/>
      <c r="E322" s="94"/>
      <c r="F322" s="95"/>
      <c r="G322" s="96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</row>
    <row r="323" ht="14.25" customHeight="1" spans="4:32">
      <c r="D323" s="93"/>
      <c r="E323" s="94"/>
      <c r="F323" s="95"/>
      <c r="G323" s="96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</row>
    <row r="324" ht="14.25" customHeight="1" spans="4:32">
      <c r="D324" s="93"/>
      <c r="E324" s="94"/>
      <c r="F324" s="95"/>
      <c r="G324" s="96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</row>
    <row r="325" ht="14.25" customHeight="1" spans="4:32">
      <c r="D325" s="93"/>
      <c r="E325" s="94"/>
      <c r="F325" s="95"/>
      <c r="G325" s="96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</row>
    <row r="326" ht="14.25" customHeight="1" spans="4:32">
      <c r="D326" s="93"/>
      <c r="E326" s="94"/>
      <c r="F326" s="95"/>
      <c r="G326" s="96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</row>
    <row r="327" ht="14.25" customHeight="1" spans="4:32">
      <c r="D327" s="93"/>
      <c r="E327" s="94"/>
      <c r="F327" s="95"/>
      <c r="G327" s="96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</row>
    <row r="328" ht="14.25" customHeight="1" spans="4:32">
      <c r="D328" s="93"/>
      <c r="E328" s="94"/>
      <c r="F328" s="95"/>
      <c r="G328" s="96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</row>
    <row r="329" ht="14.25" customHeight="1" spans="4:32">
      <c r="D329" s="93"/>
      <c r="E329" s="94"/>
      <c r="F329" s="95"/>
      <c r="G329" s="96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</row>
    <row r="330" ht="14.25" customHeight="1" spans="4:32">
      <c r="D330" s="93"/>
      <c r="E330" s="94"/>
      <c r="F330" s="95"/>
      <c r="G330" s="96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</row>
    <row r="331" ht="14.25" customHeight="1" spans="4:32">
      <c r="D331" s="93"/>
      <c r="E331" s="94"/>
      <c r="F331" s="95"/>
      <c r="G331" s="96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</row>
    <row r="332" ht="14.25" customHeight="1" spans="4:32">
      <c r="D332" s="93"/>
      <c r="E332" s="94"/>
      <c r="F332" s="95"/>
      <c r="G332" s="96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</row>
    <row r="333" ht="14.25" customHeight="1" spans="4:32">
      <c r="D333" s="93"/>
      <c r="E333" s="94"/>
      <c r="F333" s="95"/>
      <c r="G333" s="96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</row>
    <row r="334" ht="14.25" customHeight="1" spans="4:32">
      <c r="D334" s="93"/>
      <c r="E334" s="94"/>
      <c r="F334" s="95"/>
      <c r="G334" s="96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/>
    </row>
    <row r="335" ht="14.25" customHeight="1" spans="4:32">
      <c r="D335" s="93"/>
      <c r="E335" s="94"/>
      <c r="F335" s="95"/>
      <c r="G335" s="96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  <c r="AA335" s="68"/>
      <c r="AB335" s="68"/>
      <c r="AC335" s="68"/>
      <c r="AD335" s="68"/>
      <c r="AE335" s="68"/>
      <c r="AF335" s="68"/>
    </row>
    <row r="336" ht="14.25" customHeight="1" spans="4:32">
      <c r="D336" s="93"/>
      <c r="E336" s="94"/>
      <c r="F336" s="95"/>
      <c r="G336" s="96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  <c r="AA336" s="68"/>
      <c r="AB336" s="68"/>
      <c r="AC336" s="68"/>
      <c r="AD336" s="68"/>
      <c r="AE336" s="68"/>
      <c r="AF336" s="68"/>
    </row>
    <row r="337" ht="14.25" customHeight="1" spans="4:32">
      <c r="D337" s="93"/>
      <c r="E337" s="94"/>
      <c r="F337" s="95"/>
      <c r="G337" s="96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  <c r="AA337" s="68"/>
      <c r="AB337" s="68"/>
      <c r="AC337" s="68"/>
      <c r="AD337" s="68"/>
      <c r="AE337" s="68"/>
      <c r="AF337" s="68"/>
    </row>
    <row r="338" ht="14.25" customHeight="1" spans="4:32">
      <c r="D338" s="93"/>
      <c r="E338" s="94"/>
      <c r="F338" s="95"/>
      <c r="G338" s="96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  <c r="AA338" s="68"/>
      <c r="AB338" s="68"/>
      <c r="AC338" s="68"/>
      <c r="AD338" s="68"/>
      <c r="AE338" s="68"/>
      <c r="AF338" s="68"/>
    </row>
    <row r="339" ht="14.25" customHeight="1" spans="4:32">
      <c r="D339" s="93"/>
      <c r="E339" s="94"/>
      <c r="F339" s="95"/>
      <c r="G339" s="96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  <c r="AA339" s="68"/>
      <c r="AB339" s="68"/>
      <c r="AC339" s="68"/>
      <c r="AD339" s="68"/>
      <c r="AE339" s="68"/>
      <c r="AF339" s="68"/>
    </row>
    <row r="340" ht="14.25" customHeight="1" spans="4:32">
      <c r="D340" s="93"/>
      <c r="E340" s="94"/>
      <c r="F340" s="95"/>
      <c r="G340" s="96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  <c r="AA340" s="68"/>
      <c r="AB340" s="68"/>
      <c r="AC340" s="68"/>
      <c r="AD340" s="68"/>
      <c r="AE340" s="68"/>
      <c r="AF340" s="68"/>
    </row>
    <row r="341" ht="14.25" customHeight="1" spans="4:32">
      <c r="D341" s="93"/>
      <c r="E341" s="94"/>
      <c r="F341" s="95"/>
      <c r="G341" s="96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  <c r="AA341" s="68"/>
      <c r="AB341" s="68"/>
      <c r="AC341" s="68"/>
      <c r="AD341" s="68"/>
      <c r="AE341" s="68"/>
      <c r="AF341" s="68"/>
    </row>
    <row r="342" ht="14.25" customHeight="1" spans="4:32">
      <c r="D342" s="93"/>
      <c r="E342" s="94"/>
      <c r="F342" s="95"/>
      <c r="G342" s="96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  <c r="AA342" s="68"/>
      <c r="AB342" s="68"/>
      <c r="AC342" s="68"/>
      <c r="AD342" s="68"/>
      <c r="AE342" s="68"/>
      <c r="AF342" s="68"/>
    </row>
    <row r="343" ht="14.25" customHeight="1" spans="4:32">
      <c r="D343" s="93"/>
      <c r="E343" s="94"/>
      <c r="F343" s="95"/>
      <c r="G343" s="96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  <c r="AA343" s="68"/>
      <c r="AB343" s="68"/>
      <c r="AC343" s="68"/>
      <c r="AD343" s="68"/>
      <c r="AE343" s="68"/>
      <c r="AF343" s="68"/>
    </row>
    <row r="344" ht="14.25" customHeight="1" spans="4:32">
      <c r="D344" s="93"/>
      <c r="E344" s="94"/>
      <c r="F344" s="95"/>
      <c r="G344" s="96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  <c r="AA344" s="68"/>
      <c r="AB344" s="68"/>
      <c r="AC344" s="68"/>
      <c r="AD344" s="68"/>
      <c r="AE344" s="68"/>
      <c r="AF344" s="68"/>
    </row>
    <row r="345" ht="14.25" customHeight="1" spans="4:32">
      <c r="D345" s="93"/>
      <c r="E345" s="94"/>
      <c r="F345" s="95"/>
      <c r="G345" s="96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  <c r="AA345" s="68"/>
      <c r="AB345" s="68"/>
      <c r="AC345" s="68"/>
      <c r="AD345" s="68"/>
      <c r="AE345" s="68"/>
      <c r="AF345" s="68"/>
    </row>
    <row r="346" ht="14.25" customHeight="1" spans="4:32">
      <c r="D346" s="93"/>
      <c r="E346" s="94"/>
      <c r="F346" s="95"/>
      <c r="G346" s="96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  <c r="AA346" s="68"/>
      <c r="AB346" s="68"/>
      <c r="AC346" s="68"/>
      <c r="AD346" s="68"/>
      <c r="AE346" s="68"/>
      <c r="AF346" s="68"/>
    </row>
    <row r="347" ht="14.25" customHeight="1" spans="4:32">
      <c r="D347" s="93"/>
      <c r="E347" s="94"/>
      <c r="F347" s="95"/>
      <c r="G347" s="96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  <c r="AA347" s="68"/>
      <c r="AB347" s="68"/>
      <c r="AC347" s="68"/>
      <c r="AD347" s="68"/>
      <c r="AE347" s="68"/>
      <c r="AF347" s="68"/>
    </row>
    <row r="348" ht="14.25" customHeight="1" spans="4:32">
      <c r="D348" s="93"/>
      <c r="E348" s="94"/>
      <c r="F348" s="95"/>
      <c r="G348" s="96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  <c r="AA348" s="68"/>
      <c r="AB348" s="68"/>
      <c r="AC348" s="68"/>
      <c r="AD348" s="68"/>
      <c r="AE348" s="68"/>
      <c r="AF348" s="68"/>
    </row>
    <row r="349" ht="14.25" customHeight="1" spans="4:32">
      <c r="D349" s="93"/>
      <c r="E349" s="94"/>
      <c r="F349" s="95"/>
      <c r="G349" s="96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  <c r="AA349" s="68"/>
      <c r="AB349" s="68"/>
      <c r="AC349" s="68"/>
      <c r="AD349" s="68"/>
      <c r="AE349" s="68"/>
      <c r="AF349" s="68"/>
    </row>
    <row r="350" ht="14.25" customHeight="1" spans="4:32">
      <c r="D350" s="93"/>
      <c r="E350" s="94"/>
      <c r="F350" s="95"/>
      <c r="G350" s="96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  <c r="AA350" s="68"/>
      <c r="AB350" s="68"/>
      <c r="AC350" s="68"/>
      <c r="AD350" s="68"/>
      <c r="AE350" s="68"/>
      <c r="AF350" s="68"/>
    </row>
    <row r="351" ht="14.25" customHeight="1" spans="4:32">
      <c r="D351" s="93"/>
      <c r="E351" s="94"/>
      <c r="F351" s="95"/>
      <c r="G351" s="96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  <c r="AA351" s="68"/>
      <c r="AB351" s="68"/>
      <c r="AC351" s="68"/>
      <c r="AD351" s="68"/>
      <c r="AE351" s="68"/>
      <c r="AF351" s="68"/>
    </row>
    <row r="352" ht="14.25" customHeight="1" spans="4:32">
      <c r="D352" s="93"/>
      <c r="E352" s="94"/>
      <c r="F352" s="95"/>
      <c r="G352" s="96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  <c r="AA352" s="68"/>
      <c r="AB352" s="68"/>
      <c r="AC352" s="68"/>
      <c r="AD352" s="68"/>
      <c r="AE352" s="68"/>
      <c r="AF352" s="68"/>
    </row>
    <row r="353" ht="14.25" customHeight="1" spans="4:32">
      <c r="D353" s="93"/>
      <c r="E353" s="94"/>
      <c r="F353" s="95"/>
      <c r="G353" s="96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  <c r="AA353" s="68"/>
      <c r="AB353" s="68"/>
      <c r="AC353" s="68"/>
      <c r="AD353" s="68"/>
      <c r="AE353" s="68"/>
      <c r="AF353" s="68"/>
    </row>
    <row r="354" ht="14.25" customHeight="1" spans="4:32">
      <c r="D354" s="93"/>
      <c r="E354" s="94"/>
      <c r="F354" s="95"/>
      <c r="G354" s="96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  <c r="AA354" s="68"/>
      <c r="AB354" s="68"/>
      <c r="AC354" s="68"/>
      <c r="AD354" s="68"/>
      <c r="AE354" s="68"/>
      <c r="AF354" s="68"/>
    </row>
    <row r="355" ht="14.25" customHeight="1" spans="4:32">
      <c r="D355" s="93"/>
      <c r="E355" s="94"/>
      <c r="F355" s="95"/>
      <c r="G355" s="96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  <c r="AA355" s="68"/>
      <c r="AB355" s="68"/>
      <c r="AC355" s="68"/>
      <c r="AD355" s="68"/>
      <c r="AE355" s="68"/>
      <c r="AF355" s="68"/>
    </row>
    <row r="356" ht="14.25" customHeight="1" spans="4:32">
      <c r="D356" s="93"/>
      <c r="E356" s="94"/>
      <c r="F356" s="95"/>
      <c r="G356" s="96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  <c r="AA356" s="68"/>
      <c r="AB356" s="68"/>
      <c r="AC356" s="68"/>
      <c r="AD356" s="68"/>
      <c r="AE356" s="68"/>
      <c r="AF356" s="68"/>
    </row>
    <row r="357" ht="14.25" customHeight="1" spans="4:32">
      <c r="D357" s="93"/>
      <c r="E357" s="94"/>
      <c r="F357" s="95"/>
      <c r="G357" s="96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  <c r="AA357" s="68"/>
      <c r="AB357" s="68"/>
      <c r="AC357" s="68"/>
      <c r="AD357" s="68"/>
      <c r="AE357" s="68"/>
      <c r="AF357" s="68"/>
    </row>
    <row r="358" ht="14.25" customHeight="1" spans="4:32">
      <c r="D358" s="93"/>
      <c r="E358" s="94"/>
      <c r="F358" s="95"/>
      <c r="G358" s="96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  <c r="AA358" s="68"/>
      <c r="AB358" s="68"/>
      <c r="AC358" s="68"/>
      <c r="AD358" s="68"/>
      <c r="AE358" s="68"/>
      <c r="AF358" s="68"/>
    </row>
    <row r="359" ht="14.25" customHeight="1" spans="4:32">
      <c r="D359" s="93"/>
      <c r="E359" s="94"/>
      <c r="F359" s="95"/>
      <c r="G359" s="96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  <c r="AA359" s="68"/>
      <c r="AB359" s="68"/>
      <c r="AC359" s="68"/>
      <c r="AD359" s="68"/>
      <c r="AE359" s="68"/>
      <c r="AF359" s="68"/>
    </row>
    <row r="360" ht="14.25" customHeight="1" spans="4:32">
      <c r="D360" s="93"/>
      <c r="E360" s="94"/>
      <c r="F360" s="95"/>
      <c r="G360" s="96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  <c r="AA360" s="68"/>
      <c r="AB360" s="68"/>
      <c r="AC360" s="68"/>
      <c r="AD360" s="68"/>
      <c r="AE360" s="68"/>
      <c r="AF360" s="68"/>
    </row>
    <row r="361" ht="14.25" customHeight="1" spans="4:32">
      <c r="D361" s="93"/>
      <c r="E361" s="94"/>
      <c r="F361" s="95"/>
      <c r="G361" s="96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  <c r="AA361" s="68"/>
      <c r="AB361" s="68"/>
      <c r="AC361" s="68"/>
      <c r="AD361" s="68"/>
      <c r="AE361" s="68"/>
      <c r="AF361" s="68"/>
    </row>
    <row r="362" ht="14.25" customHeight="1" spans="4:32">
      <c r="D362" s="93"/>
      <c r="E362" s="94"/>
      <c r="F362" s="95"/>
      <c r="G362" s="96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  <c r="AA362" s="68"/>
      <c r="AB362" s="68"/>
      <c r="AC362" s="68"/>
      <c r="AD362" s="68"/>
      <c r="AE362" s="68"/>
      <c r="AF362" s="68"/>
    </row>
    <row r="363" ht="14.25" customHeight="1" spans="4:32">
      <c r="D363" s="93"/>
      <c r="E363" s="94"/>
      <c r="F363" s="95"/>
      <c r="G363" s="96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  <c r="AA363" s="68"/>
      <c r="AB363" s="68"/>
      <c r="AC363" s="68"/>
      <c r="AD363" s="68"/>
      <c r="AE363" s="68"/>
      <c r="AF363" s="68"/>
    </row>
    <row r="364" ht="14.25" customHeight="1" spans="4:32">
      <c r="D364" s="93"/>
      <c r="E364" s="94"/>
      <c r="F364" s="95"/>
      <c r="G364" s="96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  <c r="AA364" s="68"/>
      <c r="AB364" s="68"/>
      <c r="AC364" s="68"/>
      <c r="AD364" s="68"/>
      <c r="AE364" s="68"/>
      <c r="AF364" s="68"/>
    </row>
    <row r="365" ht="14.25" customHeight="1" spans="4:32">
      <c r="D365" s="93"/>
      <c r="E365" s="94"/>
      <c r="F365" s="95"/>
      <c r="G365" s="96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  <c r="AA365" s="68"/>
      <c r="AB365" s="68"/>
      <c r="AC365" s="68"/>
      <c r="AD365" s="68"/>
      <c r="AE365" s="68"/>
      <c r="AF365" s="68"/>
    </row>
    <row r="366" ht="14.25" customHeight="1" spans="4:32">
      <c r="D366" s="93"/>
      <c r="E366" s="94"/>
      <c r="F366" s="95"/>
      <c r="G366" s="96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  <c r="AA366" s="68"/>
      <c r="AB366" s="68"/>
      <c r="AC366" s="68"/>
      <c r="AD366" s="68"/>
      <c r="AE366" s="68"/>
      <c r="AF366" s="68"/>
    </row>
    <row r="367" ht="14.25" customHeight="1" spans="4:32">
      <c r="D367" s="93"/>
      <c r="E367" s="94"/>
      <c r="F367" s="95"/>
      <c r="G367" s="96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  <c r="AA367" s="68"/>
      <c r="AB367" s="68"/>
      <c r="AC367" s="68"/>
      <c r="AD367" s="68"/>
      <c r="AE367" s="68"/>
      <c r="AF367" s="68"/>
    </row>
    <row r="368" ht="14.25" customHeight="1" spans="4:32">
      <c r="D368" s="93"/>
      <c r="E368" s="94"/>
      <c r="F368" s="95"/>
      <c r="G368" s="96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  <c r="AA368" s="68"/>
      <c r="AB368" s="68"/>
      <c r="AC368" s="68"/>
      <c r="AD368" s="68"/>
      <c r="AE368" s="68"/>
      <c r="AF368" s="68"/>
    </row>
    <row r="369" ht="14.25" customHeight="1" spans="4:32">
      <c r="D369" s="93"/>
      <c r="E369" s="94"/>
      <c r="F369" s="95"/>
      <c r="G369" s="96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  <c r="AA369" s="68"/>
      <c r="AB369" s="68"/>
      <c r="AC369" s="68"/>
      <c r="AD369" s="68"/>
      <c r="AE369" s="68"/>
      <c r="AF369" s="68"/>
    </row>
    <row r="370" ht="14.25" customHeight="1" spans="4:32">
      <c r="D370" s="93"/>
      <c r="E370" s="94"/>
      <c r="F370" s="95"/>
      <c r="G370" s="96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  <c r="AA370" s="68"/>
      <c r="AB370" s="68"/>
      <c r="AC370" s="68"/>
      <c r="AD370" s="68"/>
      <c r="AE370" s="68"/>
      <c r="AF370" s="68"/>
    </row>
    <row r="371" ht="14.25" customHeight="1" spans="4:32">
      <c r="D371" s="93"/>
      <c r="E371" s="94"/>
      <c r="F371" s="95"/>
      <c r="G371" s="96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  <c r="AA371" s="68"/>
      <c r="AB371" s="68"/>
      <c r="AC371" s="68"/>
      <c r="AD371" s="68"/>
      <c r="AE371" s="68"/>
      <c r="AF371" s="68"/>
    </row>
    <row r="372" ht="14.25" customHeight="1" spans="4:32">
      <c r="D372" s="93"/>
      <c r="E372" s="94"/>
      <c r="F372" s="95"/>
      <c r="G372" s="96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  <c r="AA372" s="68"/>
      <c r="AB372" s="68"/>
      <c r="AC372" s="68"/>
      <c r="AD372" s="68"/>
      <c r="AE372" s="68"/>
      <c r="AF372" s="68"/>
    </row>
    <row r="373" ht="14.25" customHeight="1" spans="4:32">
      <c r="D373" s="93"/>
      <c r="E373" s="94"/>
      <c r="F373" s="95"/>
      <c r="G373" s="96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  <c r="AA373" s="68"/>
      <c r="AB373" s="68"/>
      <c r="AC373" s="68"/>
      <c r="AD373" s="68"/>
      <c r="AE373" s="68"/>
      <c r="AF373" s="68"/>
    </row>
    <row r="374" ht="14.25" customHeight="1" spans="4:32">
      <c r="D374" s="93"/>
      <c r="E374" s="94"/>
      <c r="F374" s="95"/>
      <c r="G374" s="96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  <c r="AA374" s="68"/>
      <c r="AB374" s="68"/>
      <c r="AC374" s="68"/>
      <c r="AD374" s="68"/>
      <c r="AE374" s="68"/>
      <c r="AF374" s="68"/>
    </row>
    <row r="375" ht="14.25" customHeight="1" spans="4:32">
      <c r="D375" s="93"/>
      <c r="E375" s="94"/>
      <c r="F375" s="95"/>
      <c r="G375" s="96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  <c r="AA375" s="68"/>
      <c r="AB375" s="68"/>
      <c r="AC375" s="68"/>
      <c r="AD375" s="68"/>
      <c r="AE375" s="68"/>
      <c r="AF375" s="68"/>
    </row>
    <row r="376" ht="14.25" customHeight="1" spans="4:32">
      <c r="D376" s="93"/>
      <c r="E376" s="94"/>
      <c r="F376" s="95"/>
      <c r="G376" s="96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  <c r="AA376" s="68"/>
      <c r="AB376" s="68"/>
      <c r="AC376" s="68"/>
      <c r="AD376" s="68"/>
      <c r="AE376" s="68"/>
      <c r="AF376" s="68"/>
    </row>
    <row r="377" ht="14.25" customHeight="1" spans="4:32">
      <c r="D377" s="93"/>
      <c r="E377" s="94"/>
      <c r="F377" s="95"/>
      <c r="G377" s="96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  <c r="AA377" s="68"/>
      <c r="AB377" s="68"/>
      <c r="AC377" s="68"/>
      <c r="AD377" s="68"/>
      <c r="AE377" s="68"/>
      <c r="AF377" s="68"/>
    </row>
    <row r="378" ht="14.25" customHeight="1" spans="4:32">
      <c r="D378" s="93"/>
      <c r="E378" s="94"/>
      <c r="F378" s="95"/>
      <c r="G378" s="96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  <c r="AA378" s="68"/>
      <c r="AB378" s="68"/>
      <c r="AC378" s="68"/>
      <c r="AD378" s="68"/>
      <c r="AE378" s="68"/>
      <c r="AF378" s="68"/>
    </row>
    <row r="379" ht="14.25" customHeight="1" spans="4:32">
      <c r="D379" s="93"/>
      <c r="E379" s="94"/>
      <c r="F379" s="95"/>
      <c r="G379" s="96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  <c r="AA379" s="68"/>
      <c r="AB379" s="68"/>
      <c r="AC379" s="68"/>
      <c r="AD379" s="68"/>
      <c r="AE379" s="68"/>
      <c r="AF379" s="68"/>
    </row>
    <row r="380" ht="14.25" customHeight="1" spans="4:32">
      <c r="D380" s="93"/>
      <c r="E380" s="94"/>
      <c r="F380" s="95"/>
      <c r="G380" s="96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  <c r="AA380" s="68"/>
      <c r="AB380" s="68"/>
      <c r="AC380" s="68"/>
      <c r="AD380" s="68"/>
      <c r="AE380" s="68"/>
      <c r="AF380" s="68"/>
    </row>
    <row r="381" ht="14.25" customHeight="1" spans="4:32">
      <c r="D381" s="93"/>
      <c r="E381" s="94"/>
      <c r="F381" s="95"/>
      <c r="G381" s="96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  <c r="AA381" s="68"/>
      <c r="AB381" s="68"/>
      <c r="AC381" s="68"/>
      <c r="AD381" s="68"/>
      <c r="AE381" s="68"/>
      <c r="AF381" s="68"/>
    </row>
    <row r="382" ht="14.25" customHeight="1" spans="4:32">
      <c r="D382" s="93"/>
      <c r="E382" s="94"/>
      <c r="F382" s="95"/>
      <c r="G382" s="96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  <c r="AA382" s="68"/>
      <c r="AB382" s="68"/>
      <c r="AC382" s="68"/>
      <c r="AD382" s="68"/>
      <c r="AE382" s="68"/>
      <c r="AF382" s="68"/>
    </row>
    <row r="383" ht="14.25" customHeight="1" spans="4:32">
      <c r="D383" s="93"/>
      <c r="E383" s="94"/>
      <c r="F383" s="95"/>
      <c r="G383" s="96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  <c r="AA383" s="68"/>
      <c r="AB383" s="68"/>
      <c r="AC383" s="68"/>
      <c r="AD383" s="68"/>
      <c r="AE383" s="68"/>
      <c r="AF383" s="68"/>
    </row>
    <row r="384" ht="14.25" customHeight="1" spans="4:32">
      <c r="D384" s="93"/>
      <c r="E384" s="94"/>
      <c r="F384" s="95"/>
      <c r="G384" s="96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  <c r="AA384" s="68"/>
      <c r="AB384" s="68"/>
      <c r="AC384" s="68"/>
      <c r="AD384" s="68"/>
      <c r="AE384" s="68"/>
      <c r="AF384" s="68"/>
    </row>
    <row r="385" ht="14.25" customHeight="1" spans="4:32">
      <c r="D385" s="93"/>
      <c r="E385" s="94"/>
      <c r="F385" s="95"/>
      <c r="G385" s="96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  <c r="AA385" s="68"/>
      <c r="AB385" s="68"/>
      <c r="AC385" s="68"/>
      <c r="AD385" s="68"/>
      <c r="AE385" s="68"/>
      <c r="AF385" s="68"/>
    </row>
    <row r="386" ht="14.25" customHeight="1" spans="4:32">
      <c r="D386" s="93"/>
      <c r="E386" s="94"/>
      <c r="F386" s="95"/>
      <c r="G386" s="96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  <c r="AA386" s="68"/>
      <c r="AB386" s="68"/>
      <c r="AC386" s="68"/>
      <c r="AD386" s="68"/>
      <c r="AE386" s="68"/>
      <c r="AF386" s="68"/>
    </row>
    <row r="387" ht="14.25" customHeight="1" spans="4:32">
      <c r="D387" s="93"/>
      <c r="E387" s="94"/>
      <c r="F387" s="95"/>
      <c r="G387" s="96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  <c r="AA387" s="68"/>
      <c r="AB387" s="68"/>
      <c r="AC387" s="68"/>
      <c r="AD387" s="68"/>
      <c r="AE387" s="68"/>
      <c r="AF387" s="68"/>
    </row>
    <row r="388" ht="14.25" customHeight="1" spans="4:32">
      <c r="D388" s="93"/>
      <c r="E388" s="94"/>
      <c r="F388" s="95"/>
      <c r="G388" s="96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  <c r="AA388" s="68"/>
      <c r="AB388" s="68"/>
      <c r="AC388" s="68"/>
      <c r="AD388" s="68"/>
      <c r="AE388" s="68"/>
      <c r="AF388" s="68"/>
    </row>
    <row r="389" ht="14.25" customHeight="1" spans="4:32">
      <c r="D389" s="93"/>
      <c r="E389" s="94"/>
      <c r="F389" s="95"/>
      <c r="G389" s="96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  <c r="AA389" s="68"/>
      <c r="AB389" s="68"/>
      <c r="AC389" s="68"/>
      <c r="AD389" s="68"/>
      <c r="AE389" s="68"/>
      <c r="AF389" s="68"/>
    </row>
    <row r="390" ht="14.25" customHeight="1" spans="4:32">
      <c r="D390" s="93"/>
      <c r="E390" s="94"/>
      <c r="F390" s="95"/>
      <c r="G390" s="96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  <c r="AA390" s="68"/>
      <c r="AB390" s="68"/>
      <c r="AC390" s="68"/>
      <c r="AD390" s="68"/>
      <c r="AE390" s="68"/>
      <c r="AF390" s="68"/>
    </row>
    <row r="391" ht="14.25" customHeight="1" spans="4:32">
      <c r="D391" s="93"/>
      <c r="E391" s="94"/>
      <c r="F391" s="95"/>
      <c r="G391" s="96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  <c r="AA391" s="68"/>
      <c r="AB391" s="68"/>
      <c r="AC391" s="68"/>
      <c r="AD391" s="68"/>
      <c r="AE391" s="68"/>
      <c r="AF391" s="68"/>
    </row>
    <row r="392" ht="14.25" customHeight="1" spans="4:32">
      <c r="D392" s="93"/>
      <c r="E392" s="94"/>
      <c r="F392" s="95"/>
      <c r="G392" s="96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  <c r="AA392" s="68"/>
      <c r="AB392" s="68"/>
      <c r="AC392" s="68"/>
      <c r="AD392" s="68"/>
      <c r="AE392" s="68"/>
      <c r="AF392" s="68"/>
    </row>
    <row r="393" ht="14.25" customHeight="1" spans="4:32">
      <c r="D393" s="93"/>
      <c r="E393" s="94"/>
      <c r="F393" s="95"/>
      <c r="G393" s="96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  <c r="AA393" s="68"/>
      <c r="AB393" s="68"/>
      <c r="AC393" s="68"/>
      <c r="AD393" s="68"/>
      <c r="AE393" s="68"/>
      <c r="AF393" s="68"/>
    </row>
    <row r="394" ht="14.25" customHeight="1" spans="4:32">
      <c r="D394" s="93"/>
      <c r="E394" s="94"/>
      <c r="F394" s="95"/>
      <c r="G394" s="96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  <c r="AA394" s="68"/>
      <c r="AB394" s="68"/>
      <c r="AC394" s="68"/>
      <c r="AD394" s="68"/>
      <c r="AE394" s="68"/>
      <c r="AF394" s="68"/>
    </row>
    <row r="395" ht="14.25" customHeight="1" spans="4:32">
      <c r="D395" s="93"/>
      <c r="E395" s="94"/>
      <c r="F395" s="95"/>
      <c r="G395" s="96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  <c r="AA395" s="68"/>
      <c r="AB395" s="68"/>
      <c r="AC395" s="68"/>
      <c r="AD395" s="68"/>
      <c r="AE395" s="68"/>
      <c r="AF395" s="68"/>
    </row>
    <row r="396" ht="14.25" customHeight="1" spans="4:32">
      <c r="D396" s="93"/>
      <c r="E396" s="94"/>
      <c r="F396" s="95"/>
      <c r="G396" s="96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  <c r="AA396" s="68"/>
      <c r="AB396" s="68"/>
      <c r="AC396" s="68"/>
      <c r="AD396" s="68"/>
      <c r="AE396" s="68"/>
      <c r="AF396" s="68"/>
    </row>
    <row r="397" ht="14.25" customHeight="1" spans="4:32">
      <c r="D397" s="93"/>
      <c r="E397" s="94"/>
      <c r="F397" s="95"/>
      <c r="G397" s="96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  <c r="AA397" s="68"/>
      <c r="AB397" s="68"/>
      <c r="AC397" s="68"/>
      <c r="AD397" s="68"/>
      <c r="AE397" s="68"/>
      <c r="AF397" s="68"/>
    </row>
    <row r="398" ht="14.25" customHeight="1" spans="4:32">
      <c r="D398" s="93"/>
      <c r="E398" s="94"/>
      <c r="F398" s="95"/>
      <c r="G398" s="96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  <c r="AA398" s="68"/>
      <c r="AB398" s="68"/>
      <c r="AC398" s="68"/>
      <c r="AD398" s="68"/>
      <c r="AE398" s="68"/>
      <c r="AF398" s="68"/>
    </row>
    <row r="399" ht="14.25" customHeight="1" spans="4:32">
      <c r="D399" s="93"/>
      <c r="E399" s="94"/>
      <c r="F399" s="95"/>
      <c r="G399" s="96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  <c r="AA399" s="68"/>
      <c r="AB399" s="68"/>
      <c r="AC399" s="68"/>
      <c r="AD399" s="68"/>
      <c r="AE399" s="68"/>
      <c r="AF399" s="68"/>
    </row>
    <row r="400" ht="14.25" customHeight="1" spans="4:32">
      <c r="D400" s="93"/>
      <c r="E400" s="94"/>
      <c r="F400" s="95"/>
      <c r="G400" s="96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  <c r="AA400" s="68"/>
      <c r="AB400" s="68"/>
      <c r="AC400" s="68"/>
      <c r="AD400" s="68"/>
      <c r="AE400" s="68"/>
      <c r="AF400" s="68"/>
    </row>
    <row r="401" ht="14.25" customHeight="1" spans="4:32">
      <c r="D401" s="93"/>
      <c r="E401" s="94"/>
      <c r="F401" s="95"/>
      <c r="G401" s="96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  <c r="AA401" s="68"/>
      <c r="AB401" s="68"/>
      <c r="AC401" s="68"/>
      <c r="AD401" s="68"/>
      <c r="AE401" s="68"/>
      <c r="AF401" s="68"/>
    </row>
    <row r="402" ht="14.25" customHeight="1" spans="4:32">
      <c r="D402" s="93"/>
      <c r="E402" s="94"/>
      <c r="F402" s="95"/>
      <c r="G402" s="96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  <c r="AA402" s="68"/>
      <c r="AB402" s="68"/>
      <c r="AC402" s="68"/>
      <c r="AD402" s="68"/>
      <c r="AE402" s="68"/>
      <c r="AF402" s="68"/>
    </row>
    <row r="403" ht="14.25" customHeight="1" spans="4:32">
      <c r="D403" s="93"/>
      <c r="E403" s="94"/>
      <c r="F403" s="95"/>
      <c r="G403" s="96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  <c r="AA403" s="68"/>
      <c r="AB403" s="68"/>
      <c r="AC403" s="68"/>
      <c r="AD403" s="68"/>
      <c r="AE403" s="68"/>
      <c r="AF403" s="68"/>
    </row>
    <row r="404" ht="14.25" customHeight="1" spans="4:32">
      <c r="D404" s="93"/>
      <c r="E404" s="94"/>
      <c r="F404" s="95"/>
      <c r="G404" s="96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  <c r="AA404" s="68"/>
      <c r="AB404" s="68"/>
      <c r="AC404" s="68"/>
      <c r="AD404" s="68"/>
      <c r="AE404" s="68"/>
      <c r="AF404" s="68"/>
    </row>
    <row r="405" ht="14.25" customHeight="1" spans="4:32">
      <c r="D405" s="93"/>
      <c r="E405" s="94"/>
      <c r="F405" s="95"/>
      <c r="G405" s="96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  <c r="AA405" s="68"/>
      <c r="AB405" s="68"/>
      <c r="AC405" s="68"/>
      <c r="AD405" s="68"/>
      <c r="AE405" s="68"/>
      <c r="AF405" s="68"/>
    </row>
    <row r="406" ht="14.25" customHeight="1" spans="4:32">
      <c r="D406" s="93"/>
      <c r="E406" s="94"/>
      <c r="F406" s="95"/>
      <c r="G406" s="96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  <c r="AA406" s="68"/>
      <c r="AB406" s="68"/>
      <c r="AC406" s="68"/>
      <c r="AD406" s="68"/>
      <c r="AE406" s="68"/>
      <c r="AF406" s="68"/>
    </row>
    <row r="407" ht="14.25" customHeight="1" spans="4:32">
      <c r="D407" s="93"/>
      <c r="E407" s="94"/>
      <c r="F407" s="95"/>
      <c r="G407" s="96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  <c r="AA407" s="68"/>
      <c r="AB407" s="68"/>
      <c r="AC407" s="68"/>
      <c r="AD407" s="68"/>
      <c r="AE407" s="68"/>
      <c r="AF407" s="68"/>
    </row>
    <row r="408" ht="14.25" customHeight="1" spans="4:32">
      <c r="D408" s="93"/>
      <c r="E408" s="94"/>
      <c r="F408" s="95"/>
      <c r="G408" s="96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  <c r="AA408" s="68"/>
      <c r="AB408" s="68"/>
      <c r="AC408" s="68"/>
      <c r="AD408" s="68"/>
      <c r="AE408" s="68"/>
      <c r="AF408" s="68"/>
    </row>
    <row r="409" ht="14.25" customHeight="1" spans="4:32">
      <c r="D409" s="93"/>
      <c r="E409" s="94"/>
      <c r="F409" s="95"/>
      <c r="G409" s="96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  <c r="AA409" s="68"/>
      <c r="AB409" s="68"/>
      <c r="AC409" s="68"/>
      <c r="AD409" s="68"/>
      <c r="AE409" s="68"/>
      <c r="AF409" s="68"/>
    </row>
    <row r="410" ht="14.25" customHeight="1" spans="4:32">
      <c r="D410" s="93"/>
      <c r="E410" s="94"/>
      <c r="F410" s="95"/>
      <c r="G410" s="96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  <c r="AA410" s="68"/>
      <c r="AB410" s="68"/>
      <c r="AC410" s="68"/>
      <c r="AD410" s="68"/>
      <c r="AE410" s="68"/>
      <c r="AF410" s="68"/>
    </row>
    <row r="411" ht="14.25" customHeight="1" spans="4:32">
      <c r="D411" s="93"/>
      <c r="E411" s="94"/>
      <c r="F411" s="95"/>
      <c r="G411" s="96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  <c r="AA411" s="68"/>
      <c r="AB411" s="68"/>
      <c r="AC411" s="68"/>
      <c r="AD411" s="68"/>
      <c r="AE411" s="68"/>
      <c r="AF411" s="68"/>
    </row>
    <row r="412" ht="14.25" customHeight="1" spans="4:32">
      <c r="D412" s="93"/>
      <c r="E412" s="94"/>
      <c r="F412" s="95"/>
      <c r="G412" s="96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  <c r="AA412" s="68"/>
      <c r="AB412" s="68"/>
      <c r="AC412" s="68"/>
      <c r="AD412" s="68"/>
      <c r="AE412" s="68"/>
      <c r="AF412" s="68"/>
    </row>
    <row r="413" ht="14.25" customHeight="1" spans="4:32">
      <c r="D413" s="93"/>
      <c r="E413" s="94"/>
      <c r="F413" s="95"/>
      <c r="G413" s="96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  <c r="AA413" s="68"/>
      <c r="AB413" s="68"/>
      <c r="AC413" s="68"/>
      <c r="AD413" s="68"/>
      <c r="AE413" s="68"/>
      <c r="AF413" s="68"/>
    </row>
    <row r="414" ht="14.25" customHeight="1" spans="4:32">
      <c r="D414" s="93"/>
      <c r="E414" s="94"/>
      <c r="F414" s="95"/>
      <c r="G414" s="96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  <c r="AA414" s="68"/>
      <c r="AB414" s="68"/>
      <c r="AC414" s="68"/>
      <c r="AD414" s="68"/>
      <c r="AE414" s="68"/>
      <c r="AF414" s="68"/>
    </row>
    <row r="415" ht="14.25" customHeight="1" spans="4:32">
      <c r="D415" s="93"/>
      <c r="E415" s="94"/>
      <c r="F415" s="95"/>
      <c r="G415" s="96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  <c r="AA415" s="68"/>
      <c r="AB415" s="68"/>
      <c r="AC415" s="68"/>
      <c r="AD415" s="68"/>
      <c r="AE415" s="68"/>
      <c r="AF415" s="68"/>
    </row>
    <row r="416" ht="14.25" customHeight="1" spans="4:32">
      <c r="D416" s="93"/>
      <c r="E416" s="94"/>
      <c r="F416" s="95"/>
      <c r="G416" s="96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  <c r="AA416" s="68"/>
      <c r="AB416" s="68"/>
      <c r="AC416" s="68"/>
      <c r="AD416" s="68"/>
      <c r="AE416" s="68"/>
      <c r="AF416" s="68"/>
    </row>
    <row r="417" ht="14.25" customHeight="1" spans="4:32">
      <c r="D417" s="93"/>
      <c r="E417" s="94"/>
      <c r="F417" s="95"/>
      <c r="G417" s="96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  <c r="AA417" s="68"/>
      <c r="AB417" s="68"/>
      <c r="AC417" s="68"/>
      <c r="AD417" s="68"/>
      <c r="AE417" s="68"/>
      <c r="AF417" s="68"/>
    </row>
    <row r="418" ht="14.25" customHeight="1" spans="4:32">
      <c r="D418" s="93"/>
      <c r="E418" s="94"/>
      <c r="F418" s="95"/>
      <c r="G418" s="96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  <c r="AA418" s="68"/>
      <c r="AB418" s="68"/>
      <c r="AC418" s="68"/>
      <c r="AD418" s="68"/>
      <c r="AE418" s="68"/>
      <c r="AF418" s="68"/>
    </row>
    <row r="419" ht="14.25" customHeight="1" spans="4:32">
      <c r="D419" s="93"/>
      <c r="E419" s="94"/>
      <c r="F419" s="95"/>
      <c r="G419" s="96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  <c r="AA419" s="68"/>
      <c r="AB419" s="68"/>
      <c r="AC419" s="68"/>
      <c r="AD419" s="68"/>
      <c r="AE419" s="68"/>
      <c r="AF419" s="68"/>
    </row>
    <row r="420" ht="14.25" customHeight="1" spans="4:32">
      <c r="D420" s="93"/>
      <c r="E420" s="94"/>
      <c r="F420" s="95"/>
      <c r="G420" s="96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  <c r="AA420" s="68"/>
      <c r="AB420" s="68"/>
      <c r="AC420" s="68"/>
      <c r="AD420" s="68"/>
      <c r="AE420" s="68"/>
      <c r="AF420" s="68"/>
    </row>
    <row r="421" ht="14.25" customHeight="1" spans="4:32">
      <c r="D421" s="93"/>
      <c r="E421" s="94"/>
      <c r="F421" s="95"/>
      <c r="G421" s="96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  <c r="AA421" s="68"/>
      <c r="AB421" s="68"/>
      <c r="AC421" s="68"/>
      <c r="AD421" s="68"/>
      <c r="AE421" s="68"/>
      <c r="AF421" s="68"/>
    </row>
    <row r="422" ht="14.25" customHeight="1" spans="4:32">
      <c r="D422" s="93"/>
      <c r="E422" s="94"/>
      <c r="F422" s="95"/>
      <c r="G422" s="96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  <c r="AA422" s="68"/>
      <c r="AB422" s="68"/>
      <c r="AC422" s="68"/>
      <c r="AD422" s="68"/>
      <c r="AE422" s="68"/>
      <c r="AF422" s="68"/>
    </row>
    <row r="423" ht="14.25" customHeight="1" spans="4:32">
      <c r="D423" s="93"/>
      <c r="E423" s="94"/>
      <c r="F423" s="95"/>
      <c r="G423" s="96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  <c r="AA423" s="68"/>
      <c r="AB423" s="68"/>
      <c r="AC423" s="68"/>
      <c r="AD423" s="68"/>
      <c r="AE423" s="68"/>
      <c r="AF423" s="68"/>
    </row>
    <row r="424" ht="14.25" customHeight="1" spans="4:32">
      <c r="D424" s="93"/>
      <c r="E424" s="94"/>
      <c r="F424" s="95"/>
      <c r="G424" s="96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  <c r="AA424" s="68"/>
      <c r="AB424" s="68"/>
      <c r="AC424" s="68"/>
      <c r="AD424" s="68"/>
      <c r="AE424" s="68"/>
      <c r="AF424" s="68"/>
    </row>
    <row r="425" ht="14.25" customHeight="1" spans="4:32">
      <c r="D425" s="93"/>
      <c r="E425" s="94"/>
      <c r="F425" s="95"/>
      <c r="G425" s="96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  <c r="AA425" s="68"/>
      <c r="AB425" s="68"/>
      <c r="AC425" s="68"/>
      <c r="AD425" s="68"/>
      <c r="AE425" s="68"/>
      <c r="AF425" s="68"/>
    </row>
    <row r="426" ht="14.25" customHeight="1" spans="4:32">
      <c r="D426" s="93"/>
      <c r="E426" s="94"/>
      <c r="F426" s="95"/>
      <c r="G426" s="96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  <c r="AA426" s="68"/>
      <c r="AB426" s="68"/>
      <c r="AC426" s="68"/>
      <c r="AD426" s="68"/>
      <c r="AE426" s="68"/>
      <c r="AF426" s="68"/>
    </row>
    <row r="427" ht="14.25" customHeight="1" spans="4:32">
      <c r="D427" s="93"/>
      <c r="E427" s="94"/>
      <c r="F427" s="95"/>
      <c r="G427" s="96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  <c r="AA427" s="68"/>
      <c r="AB427" s="68"/>
      <c r="AC427" s="68"/>
      <c r="AD427" s="68"/>
      <c r="AE427" s="68"/>
      <c r="AF427" s="68"/>
    </row>
    <row r="428" ht="14.25" customHeight="1" spans="4:32">
      <c r="D428" s="93"/>
      <c r="E428" s="94"/>
      <c r="F428" s="95"/>
      <c r="G428" s="96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  <c r="AA428" s="68"/>
      <c r="AB428" s="68"/>
      <c r="AC428" s="68"/>
      <c r="AD428" s="68"/>
      <c r="AE428" s="68"/>
      <c r="AF428" s="68"/>
    </row>
    <row r="429" ht="14.25" customHeight="1" spans="4:32">
      <c r="D429" s="93"/>
      <c r="E429" s="94"/>
      <c r="F429" s="95"/>
      <c r="G429" s="96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  <c r="AA429" s="68"/>
      <c r="AB429" s="68"/>
      <c r="AC429" s="68"/>
      <c r="AD429" s="68"/>
      <c r="AE429" s="68"/>
      <c r="AF429" s="68"/>
    </row>
    <row r="430" ht="14.25" customHeight="1" spans="4:32">
      <c r="D430" s="93"/>
      <c r="E430" s="94"/>
      <c r="F430" s="95"/>
      <c r="G430" s="96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  <c r="AA430" s="68"/>
      <c r="AB430" s="68"/>
      <c r="AC430" s="68"/>
      <c r="AD430" s="68"/>
      <c r="AE430" s="68"/>
      <c r="AF430" s="68"/>
    </row>
    <row r="431" ht="14.25" customHeight="1" spans="4:32">
      <c r="D431" s="93"/>
      <c r="E431" s="94"/>
      <c r="F431" s="95"/>
      <c r="G431" s="96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  <c r="AA431" s="68"/>
      <c r="AB431" s="68"/>
      <c r="AC431" s="68"/>
      <c r="AD431" s="68"/>
      <c r="AE431" s="68"/>
      <c r="AF431" s="68"/>
    </row>
    <row r="432" ht="14.25" customHeight="1" spans="4:32">
      <c r="D432" s="93"/>
      <c r="E432" s="94"/>
      <c r="F432" s="95"/>
      <c r="G432" s="96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  <c r="AA432" s="68"/>
      <c r="AB432" s="68"/>
      <c r="AC432" s="68"/>
      <c r="AD432" s="68"/>
      <c r="AE432" s="68"/>
      <c r="AF432" s="68"/>
    </row>
    <row r="433" ht="14.25" customHeight="1" spans="4:32">
      <c r="D433" s="93"/>
      <c r="E433" s="94"/>
      <c r="F433" s="95"/>
      <c r="G433" s="96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  <c r="AA433" s="68"/>
      <c r="AB433" s="68"/>
      <c r="AC433" s="68"/>
      <c r="AD433" s="68"/>
      <c r="AE433" s="68"/>
      <c r="AF433" s="68"/>
    </row>
    <row r="434" ht="14.25" customHeight="1" spans="4:32">
      <c r="D434" s="93"/>
      <c r="E434" s="94"/>
      <c r="F434" s="95"/>
      <c r="G434" s="96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  <c r="AA434" s="68"/>
      <c r="AB434" s="68"/>
      <c r="AC434" s="68"/>
      <c r="AD434" s="68"/>
      <c r="AE434" s="68"/>
      <c r="AF434" s="68"/>
    </row>
    <row r="435" ht="14.25" customHeight="1" spans="4:32">
      <c r="D435" s="93"/>
      <c r="E435" s="94"/>
      <c r="F435" s="95"/>
      <c r="G435" s="96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  <c r="AA435" s="68"/>
      <c r="AB435" s="68"/>
      <c r="AC435" s="68"/>
      <c r="AD435" s="68"/>
      <c r="AE435" s="68"/>
      <c r="AF435" s="68"/>
    </row>
    <row r="436" ht="14.25" customHeight="1" spans="4:32">
      <c r="D436" s="93"/>
      <c r="E436" s="94"/>
      <c r="F436" s="95"/>
      <c r="G436" s="96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  <c r="AA436" s="68"/>
      <c r="AB436" s="68"/>
      <c r="AC436" s="68"/>
      <c r="AD436" s="68"/>
      <c r="AE436" s="68"/>
      <c r="AF436" s="68"/>
    </row>
    <row r="437" ht="14.25" customHeight="1" spans="4:32">
      <c r="D437" s="93"/>
      <c r="E437" s="94"/>
      <c r="F437" s="95"/>
      <c r="G437" s="96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  <c r="AA437" s="68"/>
      <c r="AB437" s="68"/>
      <c r="AC437" s="68"/>
      <c r="AD437" s="68"/>
      <c r="AE437" s="68"/>
      <c r="AF437" s="68"/>
    </row>
    <row r="438" ht="14.25" customHeight="1" spans="4:32">
      <c r="D438" s="93"/>
      <c r="E438" s="94"/>
      <c r="F438" s="95"/>
      <c r="G438" s="96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  <c r="AA438" s="68"/>
      <c r="AB438" s="68"/>
      <c r="AC438" s="68"/>
      <c r="AD438" s="68"/>
      <c r="AE438" s="68"/>
      <c r="AF438" s="68"/>
    </row>
    <row r="439" ht="14.25" customHeight="1" spans="4:32">
      <c r="D439" s="93"/>
      <c r="E439" s="94"/>
      <c r="F439" s="95"/>
      <c r="G439" s="96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  <c r="AA439" s="68"/>
      <c r="AB439" s="68"/>
      <c r="AC439" s="68"/>
      <c r="AD439" s="68"/>
      <c r="AE439" s="68"/>
      <c r="AF439" s="68"/>
    </row>
    <row r="440" ht="14.25" customHeight="1" spans="4:32">
      <c r="D440" s="93"/>
      <c r="E440" s="94"/>
      <c r="F440" s="95"/>
      <c r="G440" s="96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  <c r="AA440" s="68"/>
      <c r="AB440" s="68"/>
      <c r="AC440" s="68"/>
      <c r="AD440" s="68"/>
      <c r="AE440" s="68"/>
      <c r="AF440" s="68"/>
    </row>
    <row r="441" ht="14.25" customHeight="1" spans="4:32">
      <c r="D441" s="93"/>
      <c r="E441" s="94"/>
      <c r="F441" s="95"/>
      <c r="G441" s="96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  <c r="AA441" s="68"/>
      <c r="AB441" s="68"/>
      <c r="AC441" s="68"/>
      <c r="AD441" s="68"/>
      <c r="AE441" s="68"/>
      <c r="AF441" s="68"/>
    </row>
    <row r="442" ht="14.25" customHeight="1" spans="4:32">
      <c r="D442" s="93"/>
      <c r="E442" s="94"/>
      <c r="F442" s="95"/>
      <c r="G442" s="96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  <c r="AA442" s="68"/>
      <c r="AB442" s="68"/>
      <c r="AC442" s="68"/>
      <c r="AD442" s="68"/>
      <c r="AE442" s="68"/>
      <c r="AF442" s="68"/>
    </row>
    <row r="443" ht="14.25" customHeight="1" spans="4:32">
      <c r="D443" s="93"/>
      <c r="E443" s="94"/>
      <c r="F443" s="95"/>
      <c r="G443" s="96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  <c r="AA443" s="68"/>
      <c r="AB443" s="68"/>
      <c r="AC443" s="68"/>
      <c r="AD443" s="68"/>
      <c r="AE443" s="68"/>
      <c r="AF443" s="68"/>
    </row>
    <row r="444" ht="14.25" customHeight="1" spans="4:32">
      <c r="D444" s="93"/>
      <c r="E444" s="94"/>
      <c r="F444" s="95"/>
      <c r="G444" s="96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  <c r="AA444" s="68"/>
      <c r="AB444" s="68"/>
      <c r="AC444" s="68"/>
      <c r="AD444" s="68"/>
      <c r="AE444" s="68"/>
      <c r="AF444" s="68"/>
    </row>
    <row r="445" ht="14.25" customHeight="1" spans="4:32">
      <c r="D445" s="93"/>
      <c r="E445" s="94"/>
      <c r="F445" s="95"/>
      <c r="G445" s="96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  <c r="AA445" s="68"/>
      <c r="AB445" s="68"/>
      <c r="AC445" s="68"/>
      <c r="AD445" s="68"/>
      <c r="AE445" s="68"/>
      <c r="AF445" s="68"/>
    </row>
    <row r="446" ht="14.25" customHeight="1" spans="4:32">
      <c r="D446" s="93"/>
      <c r="E446" s="94"/>
      <c r="F446" s="95"/>
      <c r="G446" s="96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  <c r="AA446" s="68"/>
      <c r="AB446" s="68"/>
      <c r="AC446" s="68"/>
      <c r="AD446" s="68"/>
      <c r="AE446" s="68"/>
      <c r="AF446" s="68"/>
    </row>
    <row r="447" ht="14.25" customHeight="1" spans="4:32">
      <c r="D447" s="93"/>
      <c r="E447" s="94"/>
      <c r="F447" s="95"/>
      <c r="G447" s="96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  <c r="AA447" s="68"/>
      <c r="AB447" s="68"/>
      <c r="AC447" s="68"/>
      <c r="AD447" s="68"/>
      <c r="AE447" s="68"/>
      <c r="AF447" s="68"/>
    </row>
    <row r="448" ht="14.25" customHeight="1" spans="4:32">
      <c r="D448" s="93"/>
      <c r="E448" s="94"/>
      <c r="F448" s="95"/>
      <c r="G448" s="96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  <c r="AA448" s="68"/>
      <c r="AB448" s="68"/>
      <c r="AC448" s="68"/>
      <c r="AD448" s="68"/>
      <c r="AE448" s="68"/>
      <c r="AF448" s="68"/>
    </row>
    <row r="449" ht="14.25" customHeight="1" spans="4:32">
      <c r="D449" s="93"/>
      <c r="E449" s="94"/>
      <c r="F449" s="95"/>
      <c r="G449" s="96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  <c r="AA449" s="68"/>
      <c r="AB449" s="68"/>
      <c r="AC449" s="68"/>
      <c r="AD449" s="68"/>
      <c r="AE449" s="68"/>
      <c r="AF449" s="68"/>
    </row>
    <row r="450" ht="14.25" customHeight="1" spans="4:32">
      <c r="D450" s="93"/>
      <c r="E450" s="94"/>
      <c r="F450" s="95"/>
      <c r="G450" s="96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  <c r="AA450" s="68"/>
      <c r="AB450" s="68"/>
      <c r="AC450" s="68"/>
      <c r="AD450" s="68"/>
      <c r="AE450" s="68"/>
      <c r="AF450" s="68"/>
    </row>
    <row r="451" ht="14.25" customHeight="1" spans="4:32">
      <c r="D451" s="93"/>
      <c r="E451" s="94"/>
      <c r="F451" s="95"/>
      <c r="G451" s="96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  <c r="AA451" s="68"/>
      <c r="AB451" s="68"/>
      <c r="AC451" s="68"/>
      <c r="AD451" s="68"/>
      <c r="AE451" s="68"/>
      <c r="AF451" s="68"/>
    </row>
    <row r="452" ht="14.25" customHeight="1" spans="4:32">
      <c r="D452" s="93"/>
      <c r="E452" s="94"/>
      <c r="F452" s="95"/>
      <c r="G452" s="96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  <c r="AA452" s="68"/>
      <c r="AB452" s="68"/>
      <c r="AC452" s="68"/>
      <c r="AD452" s="68"/>
      <c r="AE452" s="68"/>
      <c r="AF452" s="68"/>
    </row>
    <row r="453" ht="14.25" customHeight="1" spans="4:32">
      <c r="D453" s="93"/>
      <c r="E453" s="94"/>
      <c r="F453" s="95"/>
      <c r="G453" s="96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  <c r="AA453" s="68"/>
      <c r="AB453" s="68"/>
      <c r="AC453" s="68"/>
      <c r="AD453" s="68"/>
      <c r="AE453" s="68"/>
      <c r="AF453" s="68"/>
    </row>
    <row r="454" ht="14.25" customHeight="1" spans="4:32">
      <c r="D454" s="93"/>
      <c r="E454" s="94"/>
      <c r="F454" s="95"/>
      <c r="G454" s="96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  <c r="AA454" s="68"/>
      <c r="AB454" s="68"/>
      <c r="AC454" s="68"/>
      <c r="AD454" s="68"/>
      <c r="AE454" s="68"/>
      <c r="AF454" s="68"/>
    </row>
    <row r="455" ht="14.25" customHeight="1" spans="4:32">
      <c r="D455" s="93"/>
      <c r="E455" s="94"/>
      <c r="F455" s="95"/>
      <c r="G455" s="96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  <c r="AA455" s="68"/>
      <c r="AB455" s="68"/>
      <c r="AC455" s="68"/>
      <c r="AD455" s="68"/>
      <c r="AE455" s="68"/>
      <c r="AF455" s="68"/>
    </row>
    <row r="456" ht="14.25" customHeight="1" spans="4:32">
      <c r="D456" s="93"/>
      <c r="E456" s="94"/>
      <c r="F456" s="95"/>
      <c r="G456" s="96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  <c r="AA456" s="68"/>
      <c r="AB456" s="68"/>
      <c r="AC456" s="68"/>
      <c r="AD456" s="68"/>
      <c r="AE456" s="68"/>
      <c r="AF456" s="68"/>
    </row>
    <row r="457" ht="14.25" customHeight="1" spans="4:32">
      <c r="D457" s="93"/>
      <c r="E457" s="94"/>
      <c r="F457" s="95"/>
      <c r="G457" s="96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  <c r="AA457" s="68"/>
      <c r="AB457" s="68"/>
      <c r="AC457" s="68"/>
      <c r="AD457" s="68"/>
      <c r="AE457" s="68"/>
      <c r="AF457" s="68"/>
    </row>
    <row r="458" ht="14.25" customHeight="1" spans="4:32">
      <c r="D458" s="93"/>
      <c r="E458" s="94"/>
      <c r="F458" s="95"/>
      <c r="G458" s="96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  <c r="AA458" s="68"/>
      <c r="AB458" s="68"/>
      <c r="AC458" s="68"/>
      <c r="AD458" s="68"/>
      <c r="AE458" s="68"/>
      <c r="AF458" s="68"/>
    </row>
    <row r="459" ht="14.25" customHeight="1" spans="4:32">
      <c r="D459" s="93"/>
      <c r="E459" s="94"/>
      <c r="F459" s="95"/>
      <c r="G459" s="96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  <c r="AA459" s="68"/>
      <c r="AB459" s="68"/>
      <c r="AC459" s="68"/>
      <c r="AD459" s="68"/>
      <c r="AE459" s="68"/>
      <c r="AF459" s="68"/>
    </row>
    <row r="460" ht="14.25" customHeight="1" spans="4:32">
      <c r="D460" s="93"/>
      <c r="E460" s="94"/>
      <c r="F460" s="95"/>
      <c r="G460" s="96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  <c r="AA460" s="68"/>
      <c r="AB460" s="68"/>
      <c r="AC460" s="68"/>
      <c r="AD460" s="68"/>
      <c r="AE460" s="68"/>
      <c r="AF460" s="68"/>
    </row>
    <row r="461" ht="14.25" customHeight="1" spans="4:32">
      <c r="D461" s="93"/>
      <c r="E461" s="94"/>
      <c r="F461" s="95"/>
      <c r="G461" s="96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  <c r="AA461" s="68"/>
      <c r="AB461" s="68"/>
      <c r="AC461" s="68"/>
      <c r="AD461" s="68"/>
      <c r="AE461" s="68"/>
      <c r="AF461" s="68"/>
    </row>
    <row r="462" ht="14.25" customHeight="1" spans="4:32">
      <c r="D462" s="93"/>
      <c r="E462" s="94"/>
      <c r="F462" s="95"/>
      <c r="G462" s="96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  <c r="AA462" s="68"/>
      <c r="AB462" s="68"/>
      <c r="AC462" s="68"/>
      <c r="AD462" s="68"/>
      <c r="AE462" s="68"/>
      <c r="AF462" s="68"/>
    </row>
    <row r="463" ht="14.25" customHeight="1" spans="4:32">
      <c r="D463" s="93"/>
      <c r="E463" s="94"/>
      <c r="F463" s="95"/>
      <c r="G463" s="96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  <c r="AA463" s="68"/>
      <c r="AB463" s="68"/>
      <c r="AC463" s="68"/>
      <c r="AD463" s="68"/>
      <c r="AE463" s="68"/>
      <c r="AF463" s="68"/>
    </row>
    <row r="464" ht="14.25" customHeight="1" spans="4:32">
      <c r="D464" s="93"/>
      <c r="E464" s="94"/>
      <c r="F464" s="95"/>
      <c r="G464" s="96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  <c r="AA464" s="68"/>
      <c r="AB464" s="68"/>
      <c r="AC464" s="68"/>
      <c r="AD464" s="68"/>
      <c r="AE464" s="68"/>
      <c r="AF464" s="68"/>
    </row>
    <row r="465" ht="14.25" customHeight="1" spans="4:32">
      <c r="D465" s="93"/>
      <c r="E465" s="94"/>
      <c r="F465" s="95"/>
      <c r="G465" s="96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  <c r="AA465" s="68"/>
      <c r="AB465" s="68"/>
      <c r="AC465" s="68"/>
      <c r="AD465" s="68"/>
      <c r="AE465" s="68"/>
      <c r="AF465" s="68"/>
    </row>
    <row r="466" ht="14.25" customHeight="1" spans="4:32">
      <c r="D466" s="93"/>
      <c r="E466" s="94"/>
      <c r="F466" s="95"/>
      <c r="G466" s="96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  <c r="AA466" s="68"/>
      <c r="AB466" s="68"/>
      <c r="AC466" s="68"/>
      <c r="AD466" s="68"/>
      <c r="AE466" s="68"/>
      <c r="AF466" s="68"/>
    </row>
    <row r="467" ht="14.25" customHeight="1" spans="4:32">
      <c r="D467" s="93"/>
      <c r="E467" s="94"/>
      <c r="F467" s="95"/>
      <c r="G467" s="96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  <c r="AA467" s="68"/>
      <c r="AB467" s="68"/>
      <c r="AC467" s="68"/>
      <c r="AD467" s="68"/>
      <c r="AE467" s="68"/>
      <c r="AF467" s="68"/>
    </row>
    <row r="468" ht="14.25" customHeight="1" spans="4:32">
      <c r="D468" s="93"/>
      <c r="E468" s="94"/>
      <c r="F468" s="95"/>
      <c r="G468" s="96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  <c r="AA468" s="68"/>
      <c r="AB468" s="68"/>
      <c r="AC468" s="68"/>
      <c r="AD468" s="68"/>
      <c r="AE468" s="68"/>
      <c r="AF468" s="68"/>
    </row>
    <row r="469" ht="14.25" customHeight="1" spans="4:32">
      <c r="D469" s="93"/>
      <c r="E469" s="94"/>
      <c r="F469" s="95"/>
      <c r="G469" s="96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  <c r="AA469" s="68"/>
      <c r="AB469" s="68"/>
      <c r="AC469" s="68"/>
      <c r="AD469" s="68"/>
      <c r="AE469" s="68"/>
      <c r="AF469" s="68"/>
    </row>
    <row r="470" ht="14.25" customHeight="1" spans="4:32">
      <c r="D470" s="93"/>
      <c r="E470" s="94"/>
      <c r="F470" s="95"/>
      <c r="G470" s="96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  <c r="AA470" s="68"/>
      <c r="AB470" s="68"/>
      <c r="AC470" s="68"/>
      <c r="AD470" s="68"/>
      <c r="AE470" s="68"/>
      <c r="AF470" s="68"/>
    </row>
    <row r="471" ht="14.25" customHeight="1" spans="4:32">
      <c r="D471" s="93"/>
      <c r="E471" s="94"/>
      <c r="F471" s="95"/>
      <c r="G471" s="96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  <c r="AA471" s="68"/>
      <c r="AB471" s="68"/>
      <c r="AC471" s="68"/>
      <c r="AD471" s="68"/>
      <c r="AE471" s="68"/>
      <c r="AF471" s="68"/>
    </row>
    <row r="472" ht="14.25" customHeight="1" spans="4:32">
      <c r="D472" s="93"/>
      <c r="E472" s="94"/>
      <c r="F472" s="95"/>
      <c r="G472" s="96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  <c r="AA472" s="68"/>
      <c r="AB472" s="68"/>
      <c r="AC472" s="68"/>
      <c r="AD472" s="68"/>
      <c r="AE472" s="68"/>
      <c r="AF472" s="68"/>
    </row>
    <row r="473" ht="14.25" customHeight="1" spans="4:32">
      <c r="D473" s="93"/>
      <c r="E473" s="94"/>
      <c r="F473" s="95"/>
      <c r="G473" s="96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  <c r="AA473" s="68"/>
      <c r="AB473" s="68"/>
      <c r="AC473" s="68"/>
      <c r="AD473" s="68"/>
      <c r="AE473" s="68"/>
      <c r="AF473" s="68"/>
    </row>
    <row r="474" ht="14.25" customHeight="1" spans="4:32">
      <c r="D474" s="93"/>
      <c r="E474" s="94"/>
      <c r="F474" s="95"/>
      <c r="G474" s="96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  <c r="AA474" s="68"/>
      <c r="AB474" s="68"/>
      <c r="AC474" s="68"/>
      <c r="AD474" s="68"/>
      <c r="AE474" s="68"/>
      <c r="AF474" s="68"/>
    </row>
    <row r="475" ht="14.25" customHeight="1" spans="4:32">
      <c r="D475" s="93"/>
      <c r="E475" s="94"/>
      <c r="F475" s="95"/>
      <c r="G475" s="96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  <c r="AA475" s="68"/>
      <c r="AB475" s="68"/>
      <c r="AC475" s="68"/>
      <c r="AD475" s="68"/>
      <c r="AE475" s="68"/>
      <c r="AF475" s="68"/>
    </row>
    <row r="476" ht="14.25" customHeight="1" spans="4:32">
      <c r="D476" s="93"/>
      <c r="E476" s="94"/>
      <c r="F476" s="95"/>
      <c r="G476" s="96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  <c r="AA476" s="68"/>
      <c r="AB476" s="68"/>
      <c r="AC476" s="68"/>
      <c r="AD476" s="68"/>
      <c r="AE476" s="68"/>
      <c r="AF476" s="68"/>
    </row>
    <row r="477" ht="14.25" customHeight="1" spans="4:32">
      <c r="D477" s="93"/>
      <c r="E477" s="94"/>
      <c r="F477" s="95"/>
      <c r="G477" s="96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  <c r="AA477" s="68"/>
      <c r="AB477" s="68"/>
      <c r="AC477" s="68"/>
      <c r="AD477" s="68"/>
      <c r="AE477" s="68"/>
      <c r="AF477" s="68"/>
    </row>
    <row r="478" ht="14.25" customHeight="1" spans="4:32">
      <c r="D478" s="93"/>
      <c r="E478" s="94"/>
      <c r="F478" s="95"/>
      <c r="G478" s="96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  <c r="AA478" s="68"/>
      <c r="AB478" s="68"/>
      <c r="AC478" s="68"/>
      <c r="AD478" s="68"/>
      <c r="AE478" s="68"/>
      <c r="AF478" s="68"/>
    </row>
    <row r="479" ht="14.25" customHeight="1" spans="4:32">
      <c r="D479" s="93"/>
      <c r="E479" s="94"/>
      <c r="F479" s="95"/>
      <c r="G479" s="96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  <c r="AA479" s="68"/>
      <c r="AB479" s="68"/>
      <c r="AC479" s="68"/>
      <c r="AD479" s="68"/>
      <c r="AE479" s="68"/>
      <c r="AF479" s="68"/>
    </row>
    <row r="480" ht="14.25" customHeight="1" spans="4:32">
      <c r="D480" s="93"/>
      <c r="E480" s="94"/>
      <c r="F480" s="95"/>
      <c r="G480" s="96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  <c r="AA480" s="68"/>
      <c r="AB480" s="68"/>
      <c r="AC480" s="68"/>
      <c r="AD480" s="68"/>
      <c r="AE480" s="68"/>
      <c r="AF480" s="68"/>
    </row>
    <row r="481" ht="14.25" customHeight="1" spans="4:32">
      <c r="D481" s="93"/>
      <c r="E481" s="94"/>
      <c r="F481" s="95"/>
      <c r="G481" s="96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  <c r="AA481" s="68"/>
      <c r="AB481" s="68"/>
      <c r="AC481" s="68"/>
      <c r="AD481" s="68"/>
      <c r="AE481" s="68"/>
      <c r="AF481" s="68"/>
    </row>
    <row r="482" ht="14.25" customHeight="1" spans="4:32">
      <c r="D482" s="93"/>
      <c r="E482" s="94"/>
      <c r="F482" s="95"/>
      <c r="G482" s="96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  <c r="AA482" s="68"/>
      <c r="AB482" s="68"/>
      <c r="AC482" s="68"/>
      <c r="AD482" s="68"/>
      <c r="AE482" s="68"/>
      <c r="AF482" s="68"/>
    </row>
    <row r="483" ht="14.25" customHeight="1" spans="4:32">
      <c r="D483" s="93"/>
      <c r="E483" s="94"/>
      <c r="F483" s="95"/>
      <c r="G483" s="96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  <c r="AA483" s="68"/>
      <c r="AB483" s="68"/>
      <c r="AC483" s="68"/>
      <c r="AD483" s="68"/>
      <c r="AE483" s="68"/>
      <c r="AF483" s="68"/>
    </row>
    <row r="484" ht="14.25" customHeight="1" spans="4:32">
      <c r="D484" s="93"/>
      <c r="E484" s="94"/>
      <c r="F484" s="95"/>
      <c r="G484" s="96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  <c r="AA484" s="68"/>
      <c r="AB484" s="68"/>
      <c r="AC484" s="68"/>
      <c r="AD484" s="68"/>
      <c r="AE484" s="68"/>
      <c r="AF484" s="68"/>
    </row>
    <row r="485" ht="14.25" customHeight="1" spans="4:32">
      <c r="D485" s="93"/>
      <c r="E485" s="94"/>
      <c r="F485" s="95"/>
      <c r="G485" s="96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  <c r="AA485" s="68"/>
      <c r="AB485" s="68"/>
      <c r="AC485" s="68"/>
      <c r="AD485" s="68"/>
      <c r="AE485" s="68"/>
      <c r="AF485" s="68"/>
    </row>
    <row r="486" ht="14.25" customHeight="1" spans="4:32">
      <c r="D486" s="93"/>
      <c r="E486" s="94"/>
      <c r="F486" s="95"/>
      <c r="G486" s="96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  <c r="AA486" s="68"/>
      <c r="AB486" s="68"/>
      <c r="AC486" s="68"/>
      <c r="AD486" s="68"/>
      <c r="AE486" s="68"/>
      <c r="AF486" s="68"/>
    </row>
    <row r="487" ht="14.25" customHeight="1" spans="4:32">
      <c r="D487" s="93"/>
      <c r="E487" s="94"/>
      <c r="F487" s="95"/>
      <c r="G487" s="96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  <c r="AA487" s="68"/>
      <c r="AB487" s="68"/>
      <c r="AC487" s="68"/>
      <c r="AD487" s="68"/>
      <c r="AE487" s="68"/>
      <c r="AF487" s="68"/>
    </row>
    <row r="488" ht="14.25" customHeight="1" spans="4:32">
      <c r="D488" s="93"/>
      <c r="E488" s="94"/>
      <c r="F488" s="95"/>
      <c r="G488" s="96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  <c r="AA488" s="68"/>
      <c r="AB488" s="68"/>
      <c r="AC488" s="68"/>
      <c r="AD488" s="68"/>
      <c r="AE488" s="68"/>
      <c r="AF488" s="68"/>
    </row>
    <row r="489" ht="14.25" customHeight="1" spans="4:32">
      <c r="D489" s="93"/>
      <c r="E489" s="94"/>
      <c r="F489" s="95"/>
      <c r="G489" s="96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  <c r="AA489" s="68"/>
      <c r="AB489" s="68"/>
      <c r="AC489" s="68"/>
      <c r="AD489" s="68"/>
      <c r="AE489" s="68"/>
      <c r="AF489" s="68"/>
    </row>
    <row r="490" ht="14.25" customHeight="1" spans="4:32">
      <c r="D490" s="93"/>
      <c r="E490" s="94"/>
      <c r="F490" s="95"/>
      <c r="G490" s="96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  <c r="AA490" s="68"/>
      <c r="AB490" s="68"/>
      <c r="AC490" s="68"/>
      <c r="AD490" s="68"/>
      <c r="AE490" s="68"/>
      <c r="AF490" s="68"/>
    </row>
    <row r="491" ht="14.25" customHeight="1" spans="4:32">
      <c r="D491" s="93"/>
      <c r="E491" s="94"/>
      <c r="F491" s="95"/>
      <c r="G491" s="96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  <c r="AA491" s="68"/>
      <c r="AB491" s="68"/>
      <c r="AC491" s="68"/>
      <c r="AD491" s="68"/>
      <c r="AE491" s="68"/>
      <c r="AF491" s="68"/>
    </row>
    <row r="492" ht="14.25" customHeight="1" spans="4:32">
      <c r="D492" s="93"/>
      <c r="E492" s="94"/>
      <c r="F492" s="95"/>
      <c r="G492" s="96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  <c r="AA492" s="68"/>
      <c r="AB492" s="68"/>
      <c r="AC492" s="68"/>
      <c r="AD492" s="68"/>
      <c r="AE492" s="68"/>
      <c r="AF492" s="68"/>
    </row>
    <row r="493" ht="14.25" customHeight="1" spans="4:32">
      <c r="D493" s="93"/>
      <c r="E493" s="94"/>
      <c r="F493" s="95"/>
      <c r="G493" s="96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  <c r="AA493" s="68"/>
      <c r="AB493" s="68"/>
      <c r="AC493" s="68"/>
      <c r="AD493" s="68"/>
      <c r="AE493" s="68"/>
      <c r="AF493" s="68"/>
    </row>
    <row r="494" ht="14.25" customHeight="1" spans="4:32">
      <c r="D494" s="93"/>
      <c r="E494" s="94"/>
      <c r="F494" s="95"/>
      <c r="G494" s="96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  <c r="AA494" s="68"/>
      <c r="AB494" s="68"/>
      <c r="AC494" s="68"/>
      <c r="AD494" s="68"/>
      <c r="AE494" s="68"/>
      <c r="AF494" s="68"/>
    </row>
    <row r="495" ht="14.25" customHeight="1" spans="4:32">
      <c r="D495" s="93"/>
      <c r="E495" s="94"/>
      <c r="F495" s="95"/>
      <c r="G495" s="96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  <c r="AA495" s="68"/>
      <c r="AB495" s="68"/>
      <c r="AC495" s="68"/>
      <c r="AD495" s="68"/>
      <c r="AE495" s="68"/>
      <c r="AF495" s="68"/>
    </row>
    <row r="496" ht="14.25" customHeight="1" spans="4:32">
      <c r="D496" s="93"/>
      <c r="E496" s="94"/>
      <c r="F496" s="95"/>
      <c r="G496" s="96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  <c r="AA496" s="68"/>
      <c r="AB496" s="68"/>
      <c r="AC496" s="68"/>
      <c r="AD496" s="68"/>
      <c r="AE496" s="68"/>
      <c r="AF496" s="68"/>
    </row>
    <row r="497" ht="14.25" customHeight="1" spans="4:32">
      <c r="D497" s="93"/>
      <c r="E497" s="94"/>
      <c r="F497" s="95"/>
      <c r="G497" s="96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  <c r="AA497" s="68"/>
      <c r="AB497" s="68"/>
      <c r="AC497" s="68"/>
      <c r="AD497" s="68"/>
      <c r="AE497" s="68"/>
      <c r="AF497" s="68"/>
    </row>
    <row r="498" ht="14.25" customHeight="1" spans="4:32">
      <c r="D498" s="93"/>
      <c r="E498" s="94"/>
      <c r="F498" s="95"/>
      <c r="G498" s="96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  <c r="AA498" s="68"/>
      <c r="AB498" s="68"/>
      <c r="AC498" s="68"/>
      <c r="AD498" s="68"/>
      <c r="AE498" s="68"/>
      <c r="AF498" s="68"/>
    </row>
    <row r="499" ht="14.25" customHeight="1" spans="4:32">
      <c r="D499" s="93"/>
      <c r="E499" s="94"/>
      <c r="F499" s="95"/>
      <c r="G499" s="96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  <c r="AA499" s="68"/>
      <c r="AB499" s="68"/>
      <c r="AC499" s="68"/>
      <c r="AD499" s="68"/>
      <c r="AE499" s="68"/>
      <c r="AF499" s="68"/>
    </row>
    <row r="500" ht="14.25" customHeight="1" spans="4:32">
      <c r="D500" s="93"/>
      <c r="E500" s="94"/>
      <c r="F500" s="95"/>
      <c r="G500" s="96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  <c r="AA500" s="68"/>
      <c r="AB500" s="68"/>
      <c r="AC500" s="68"/>
      <c r="AD500" s="68"/>
      <c r="AE500" s="68"/>
      <c r="AF500" s="68"/>
    </row>
    <row r="501" ht="14.25" customHeight="1" spans="4:32">
      <c r="D501" s="93"/>
      <c r="E501" s="94"/>
      <c r="F501" s="95"/>
      <c r="G501" s="96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  <c r="AA501" s="68"/>
      <c r="AB501" s="68"/>
      <c r="AC501" s="68"/>
      <c r="AD501" s="68"/>
      <c r="AE501" s="68"/>
      <c r="AF501" s="68"/>
    </row>
    <row r="502" ht="14.25" customHeight="1" spans="4:32">
      <c r="D502" s="93"/>
      <c r="E502" s="94"/>
      <c r="F502" s="95"/>
      <c r="G502" s="96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  <c r="AA502" s="68"/>
      <c r="AB502" s="68"/>
      <c r="AC502" s="68"/>
      <c r="AD502" s="68"/>
      <c r="AE502" s="68"/>
      <c r="AF502" s="68"/>
    </row>
    <row r="503" ht="14.25" customHeight="1" spans="4:32">
      <c r="D503" s="93"/>
      <c r="E503" s="94"/>
      <c r="F503" s="95"/>
      <c r="G503" s="96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  <c r="AA503" s="68"/>
      <c r="AB503" s="68"/>
      <c r="AC503" s="68"/>
      <c r="AD503" s="68"/>
      <c r="AE503" s="68"/>
      <c r="AF503" s="68"/>
    </row>
    <row r="504" ht="14.25" customHeight="1" spans="4:32">
      <c r="D504" s="93"/>
      <c r="E504" s="94"/>
      <c r="F504" s="95"/>
      <c r="G504" s="96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  <c r="AA504" s="68"/>
      <c r="AB504" s="68"/>
      <c r="AC504" s="68"/>
      <c r="AD504" s="68"/>
      <c r="AE504" s="68"/>
      <c r="AF504" s="68"/>
    </row>
    <row r="505" ht="14.25" customHeight="1" spans="4:32">
      <c r="D505" s="93"/>
      <c r="E505" s="94"/>
      <c r="F505" s="95"/>
      <c r="G505" s="96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  <c r="AA505" s="68"/>
      <c r="AB505" s="68"/>
      <c r="AC505" s="68"/>
      <c r="AD505" s="68"/>
      <c r="AE505" s="68"/>
      <c r="AF505" s="68"/>
    </row>
    <row r="506" ht="14.25" customHeight="1" spans="4:32">
      <c r="D506" s="93"/>
      <c r="E506" s="94"/>
      <c r="F506" s="95"/>
      <c r="G506" s="96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  <c r="AA506" s="68"/>
      <c r="AB506" s="68"/>
      <c r="AC506" s="68"/>
      <c r="AD506" s="68"/>
      <c r="AE506" s="68"/>
      <c r="AF506" s="68"/>
    </row>
    <row r="507" ht="14.25" customHeight="1" spans="4:32">
      <c r="D507" s="93"/>
      <c r="E507" s="94"/>
      <c r="F507" s="95"/>
      <c r="G507" s="96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  <c r="AA507" s="68"/>
      <c r="AB507" s="68"/>
      <c r="AC507" s="68"/>
      <c r="AD507" s="68"/>
      <c r="AE507" s="68"/>
      <c r="AF507" s="68"/>
    </row>
    <row r="508" ht="14.25" customHeight="1" spans="4:32">
      <c r="D508" s="93"/>
      <c r="E508" s="94"/>
      <c r="F508" s="95"/>
      <c r="G508" s="96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  <c r="AA508" s="68"/>
      <c r="AB508" s="68"/>
      <c r="AC508" s="68"/>
      <c r="AD508" s="68"/>
      <c r="AE508" s="68"/>
      <c r="AF508" s="68"/>
    </row>
    <row r="509" ht="14.25" customHeight="1" spans="4:32">
      <c r="D509" s="93"/>
      <c r="E509" s="94"/>
      <c r="F509" s="95"/>
      <c r="G509" s="96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  <c r="AA509" s="68"/>
      <c r="AB509" s="68"/>
      <c r="AC509" s="68"/>
      <c r="AD509" s="68"/>
      <c r="AE509" s="68"/>
      <c r="AF509" s="68"/>
    </row>
    <row r="510" ht="14.25" customHeight="1" spans="4:32">
      <c r="D510" s="93"/>
      <c r="E510" s="94"/>
      <c r="F510" s="95"/>
      <c r="G510" s="96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  <c r="AA510" s="68"/>
      <c r="AB510" s="68"/>
      <c r="AC510" s="68"/>
      <c r="AD510" s="68"/>
      <c r="AE510" s="68"/>
      <c r="AF510" s="68"/>
    </row>
    <row r="511" ht="14.25" customHeight="1" spans="4:32">
      <c r="D511" s="93"/>
      <c r="E511" s="94"/>
      <c r="F511" s="95"/>
      <c r="G511" s="96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  <c r="AA511" s="68"/>
      <c r="AB511" s="68"/>
      <c r="AC511" s="68"/>
      <c r="AD511" s="68"/>
      <c r="AE511" s="68"/>
      <c r="AF511" s="68"/>
    </row>
    <row r="512" ht="14.25" customHeight="1" spans="4:32">
      <c r="D512" s="93"/>
      <c r="E512" s="94"/>
      <c r="F512" s="95"/>
      <c r="G512" s="96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  <c r="AA512" s="68"/>
      <c r="AB512" s="68"/>
      <c r="AC512" s="68"/>
      <c r="AD512" s="68"/>
      <c r="AE512" s="68"/>
      <c r="AF512" s="68"/>
    </row>
    <row r="513" ht="14.25" customHeight="1" spans="4:32">
      <c r="D513" s="93"/>
      <c r="E513" s="94"/>
      <c r="F513" s="95"/>
      <c r="G513" s="96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  <c r="AA513" s="68"/>
      <c r="AB513" s="68"/>
      <c r="AC513" s="68"/>
      <c r="AD513" s="68"/>
      <c r="AE513" s="68"/>
      <c r="AF513" s="68"/>
    </row>
    <row r="514" ht="14.25" customHeight="1" spans="4:32">
      <c r="D514" s="93"/>
      <c r="E514" s="94"/>
      <c r="F514" s="95"/>
      <c r="G514" s="96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  <c r="AA514" s="68"/>
      <c r="AB514" s="68"/>
      <c r="AC514" s="68"/>
      <c r="AD514" s="68"/>
      <c r="AE514" s="68"/>
      <c r="AF514" s="68"/>
    </row>
    <row r="515" ht="14.25" customHeight="1" spans="4:32">
      <c r="D515" s="93"/>
      <c r="E515" s="94"/>
      <c r="F515" s="95"/>
      <c r="G515" s="96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  <c r="AA515" s="68"/>
      <c r="AB515" s="68"/>
      <c r="AC515" s="68"/>
      <c r="AD515" s="68"/>
      <c r="AE515" s="68"/>
      <c r="AF515" s="68"/>
    </row>
    <row r="516" ht="14.25" customHeight="1" spans="4:32">
      <c r="D516" s="93"/>
      <c r="E516" s="94"/>
      <c r="F516" s="95"/>
      <c r="G516" s="96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  <c r="AA516" s="68"/>
      <c r="AB516" s="68"/>
      <c r="AC516" s="68"/>
      <c r="AD516" s="68"/>
      <c r="AE516" s="68"/>
      <c r="AF516" s="68"/>
    </row>
    <row r="517" ht="14.25" customHeight="1" spans="4:32">
      <c r="D517" s="93"/>
      <c r="E517" s="94"/>
      <c r="F517" s="95"/>
      <c r="G517" s="96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  <c r="AA517" s="68"/>
      <c r="AB517" s="68"/>
      <c r="AC517" s="68"/>
      <c r="AD517" s="68"/>
      <c r="AE517" s="68"/>
      <c r="AF517" s="68"/>
    </row>
    <row r="518" ht="14.25" customHeight="1" spans="4:32">
      <c r="D518" s="93"/>
      <c r="E518" s="94"/>
      <c r="F518" s="95"/>
      <c r="G518" s="96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  <c r="AA518" s="68"/>
      <c r="AB518" s="68"/>
      <c r="AC518" s="68"/>
      <c r="AD518" s="68"/>
      <c r="AE518" s="68"/>
      <c r="AF518" s="68"/>
    </row>
    <row r="519" ht="14.25" customHeight="1" spans="4:32">
      <c r="D519" s="93"/>
      <c r="E519" s="94"/>
      <c r="F519" s="95"/>
      <c r="G519" s="96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  <c r="AA519" s="68"/>
      <c r="AB519" s="68"/>
      <c r="AC519" s="68"/>
      <c r="AD519" s="68"/>
      <c r="AE519" s="68"/>
      <c r="AF519" s="68"/>
    </row>
    <row r="520" ht="14.25" customHeight="1" spans="4:32">
      <c r="D520" s="93"/>
      <c r="E520" s="94"/>
      <c r="F520" s="95"/>
      <c r="G520" s="96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  <c r="AA520" s="68"/>
      <c r="AB520" s="68"/>
      <c r="AC520" s="68"/>
      <c r="AD520" s="68"/>
      <c r="AE520" s="68"/>
      <c r="AF520" s="68"/>
    </row>
    <row r="521" ht="14.25" customHeight="1" spans="4:32">
      <c r="D521" s="93"/>
      <c r="E521" s="94"/>
      <c r="F521" s="95"/>
      <c r="G521" s="96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  <c r="AA521" s="68"/>
      <c r="AB521" s="68"/>
      <c r="AC521" s="68"/>
      <c r="AD521" s="68"/>
      <c r="AE521" s="68"/>
      <c r="AF521" s="68"/>
    </row>
    <row r="522" ht="14.25" customHeight="1" spans="4:32">
      <c r="D522" s="93"/>
      <c r="E522" s="94"/>
      <c r="F522" s="95"/>
      <c r="G522" s="96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  <c r="AA522" s="68"/>
      <c r="AB522" s="68"/>
      <c r="AC522" s="68"/>
      <c r="AD522" s="68"/>
      <c r="AE522" s="68"/>
      <c r="AF522" s="68"/>
    </row>
    <row r="523" ht="14.25" customHeight="1" spans="4:32">
      <c r="D523" s="93"/>
      <c r="E523" s="94"/>
      <c r="F523" s="95"/>
      <c r="G523" s="96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  <c r="AA523" s="68"/>
      <c r="AB523" s="68"/>
      <c r="AC523" s="68"/>
      <c r="AD523" s="68"/>
      <c r="AE523" s="68"/>
      <c r="AF523" s="68"/>
    </row>
    <row r="524" ht="14.25" customHeight="1" spans="4:32">
      <c r="D524" s="93"/>
      <c r="E524" s="94"/>
      <c r="F524" s="95"/>
      <c r="G524" s="96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  <c r="AA524" s="68"/>
      <c r="AB524" s="68"/>
      <c r="AC524" s="68"/>
      <c r="AD524" s="68"/>
      <c r="AE524" s="68"/>
      <c r="AF524" s="68"/>
    </row>
    <row r="525" ht="14.25" customHeight="1" spans="4:32">
      <c r="D525" s="93"/>
      <c r="E525" s="94"/>
      <c r="F525" s="95"/>
      <c r="G525" s="96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  <c r="AA525" s="68"/>
      <c r="AB525" s="68"/>
      <c r="AC525" s="68"/>
      <c r="AD525" s="68"/>
      <c r="AE525" s="68"/>
      <c r="AF525" s="68"/>
    </row>
    <row r="526" ht="14.25" customHeight="1" spans="4:32">
      <c r="D526" s="93"/>
      <c r="E526" s="94"/>
      <c r="F526" s="95"/>
      <c r="G526" s="96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  <c r="AA526" s="68"/>
      <c r="AB526" s="68"/>
      <c r="AC526" s="68"/>
      <c r="AD526" s="68"/>
      <c r="AE526" s="68"/>
      <c r="AF526" s="68"/>
    </row>
    <row r="527" ht="14.25" customHeight="1" spans="4:32">
      <c r="D527" s="93"/>
      <c r="E527" s="94"/>
      <c r="F527" s="95"/>
      <c r="G527" s="96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  <c r="AA527" s="68"/>
      <c r="AB527" s="68"/>
      <c r="AC527" s="68"/>
      <c r="AD527" s="68"/>
      <c r="AE527" s="68"/>
      <c r="AF527" s="68"/>
    </row>
    <row r="528" ht="14.25" customHeight="1" spans="4:32">
      <c r="D528" s="93"/>
      <c r="E528" s="94"/>
      <c r="F528" s="95"/>
      <c r="G528" s="96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  <c r="AA528" s="68"/>
      <c r="AB528" s="68"/>
      <c r="AC528" s="68"/>
      <c r="AD528" s="68"/>
      <c r="AE528" s="68"/>
      <c r="AF528" s="68"/>
    </row>
    <row r="529" ht="14.25" customHeight="1" spans="4:32">
      <c r="D529" s="93"/>
      <c r="E529" s="94"/>
      <c r="F529" s="95"/>
      <c r="G529" s="96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  <c r="AA529" s="68"/>
      <c r="AB529" s="68"/>
      <c r="AC529" s="68"/>
      <c r="AD529" s="68"/>
      <c r="AE529" s="68"/>
      <c r="AF529" s="68"/>
    </row>
    <row r="530" ht="14.25" customHeight="1" spans="4:32">
      <c r="D530" s="93"/>
      <c r="E530" s="94"/>
      <c r="F530" s="95"/>
      <c r="G530" s="96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  <c r="AA530" s="68"/>
      <c r="AB530" s="68"/>
      <c r="AC530" s="68"/>
      <c r="AD530" s="68"/>
      <c r="AE530" s="68"/>
      <c r="AF530" s="68"/>
    </row>
    <row r="531" ht="14.25" customHeight="1" spans="4:32">
      <c r="D531" s="93"/>
      <c r="E531" s="94"/>
      <c r="F531" s="95"/>
      <c r="G531" s="96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  <c r="AA531" s="68"/>
      <c r="AB531" s="68"/>
      <c r="AC531" s="68"/>
      <c r="AD531" s="68"/>
      <c r="AE531" s="68"/>
      <c r="AF531" s="68"/>
    </row>
    <row r="532" ht="14.25" customHeight="1" spans="4:32">
      <c r="D532" s="93"/>
      <c r="E532" s="94"/>
      <c r="F532" s="95"/>
      <c r="G532" s="96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  <c r="AA532" s="68"/>
      <c r="AB532" s="68"/>
      <c r="AC532" s="68"/>
      <c r="AD532" s="68"/>
      <c r="AE532" s="68"/>
      <c r="AF532" s="68"/>
    </row>
    <row r="533" ht="14.25" customHeight="1" spans="4:32">
      <c r="D533" s="93"/>
      <c r="E533" s="94"/>
      <c r="F533" s="95"/>
      <c r="G533" s="96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  <c r="AA533" s="68"/>
      <c r="AB533" s="68"/>
      <c r="AC533" s="68"/>
      <c r="AD533" s="68"/>
      <c r="AE533" s="68"/>
      <c r="AF533" s="68"/>
    </row>
    <row r="534" ht="14.25" customHeight="1" spans="4:32">
      <c r="D534" s="93"/>
      <c r="E534" s="94"/>
      <c r="F534" s="95"/>
      <c r="G534" s="96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  <c r="AA534" s="68"/>
      <c r="AB534" s="68"/>
      <c r="AC534" s="68"/>
      <c r="AD534" s="68"/>
      <c r="AE534" s="68"/>
      <c r="AF534" s="68"/>
    </row>
    <row r="535" ht="14.25" customHeight="1" spans="4:32">
      <c r="D535" s="93"/>
      <c r="E535" s="94"/>
      <c r="F535" s="95"/>
      <c r="G535" s="96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  <c r="AA535" s="68"/>
      <c r="AB535" s="68"/>
      <c r="AC535" s="68"/>
      <c r="AD535" s="68"/>
      <c r="AE535" s="68"/>
      <c r="AF535" s="68"/>
    </row>
    <row r="536" ht="14.25" customHeight="1" spans="4:32">
      <c r="D536" s="93"/>
      <c r="E536" s="94"/>
      <c r="F536" s="95"/>
      <c r="G536" s="96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  <c r="AA536" s="68"/>
      <c r="AB536" s="68"/>
      <c r="AC536" s="68"/>
      <c r="AD536" s="68"/>
      <c r="AE536" s="68"/>
      <c r="AF536" s="68"/>
    </row>
    <row r="537" ht="14.25" customHeight="1" spans="4:32">
      <c r="D537" s="93"/>
      <c r="E537" s="94"/>
      <c r="F537" s="95"/>
      <c r="G537" s="96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  <c r="AA537" s="68"/>
      <c r="AB537" s="68"/>
      <c r="AC537" s="68"/>
      <c r="AD537" s="68"/>
      <c r="AE537" s="68"/>
      <c r="AF537" s="68"/>
    </row>
    <row r="538" ht="14.25" customHeight="1" spans="4:32">
      <c r="D538" s="93"/>
      <c r="E538" s="94"/>
      <c r="F538" s="95"/>
      <c r="G538" s="96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  <c r="AA538" s="68"/>
      <c r="AB538" s="68"/>
      <c r="AC538" s="68"/>
      <c r="AD538" s="68"/>
      <c r="AE538" s="68"/>
      <c r="AF538" s="68"/>
    </row>
    <row r="539" ht="14.25" customHeight="1" spans="4:32">
      <c r="D539" s="93"/>
      <c r="E539" s="94"/>
      <c r="F539" s="95"/>
      <c r="G539" s="96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  <c r="AA539" s="68"/>
      <c r="AB539" s="68"/>
      <c r="AC539" s="68"/>
      <c r="AD539" s="68"/>
      <c r="AE539" s="68"/>
      <c r="AF539" s="68"/>
    </row>
    <row r="540" ht="14.25" customHeight="1" spans="4:32">
      <c r="D540" s="93"/>
      <c r="E540" s="94"/>
      <c r="F540" s="95"/>
      <c r="G540" s="96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  <c r="AA540" s="68"/>
      <c r="AB540" s="68"/>
      <c r="AC540" s="68"/>
      <c r="AD540" s="68"/>
      <c r="AE540" s="68"/>
      <c r="AF540" s="68"/>
    </row>
    <row r="541" ht="14.25" customHeight="1" spans="4:32">
      <c r="D541" s="93"/>
      <c r="E541" s="94"/>
      <c r="F541" s="95"/>
      <c r="G541" s="96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  <c r="AA541" s="68"/>
      <c r="AB541" s="68"/>
      <c r="AC541" s="68"/>
      <c r="AD541" s="68"/>
      <c r="AE541" s="68"/>
      <c r="AF541" s="68"/>
    </row>
    <row r="542" ht="14.25" customHeight="1" spans="4:32">
      <c r="D542" s="93"/>
      <c r="E542" s="94"/>
      <c r="F542" s="95"/>
      <c r="G542" s="96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  <c r="AA542" s="68"/>
      <c r="AB542" s="68"/>
      <c r="AC542" s="68"/>
      <c r="AD542" s="68"/>
      <c r="AE542" s="68"/>
      <c r="AF542" s="68"/>
    </row>
    <row r="543" ht="14.25" customHeight="1" spans="4:32">
      <c r="D543" s="93"/>
      <c r="E543" s="94"/>
      <c r="F543" s="95"/>
      <c r="G543" s="96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  <c r="AA543" s="68"/>
      <c r="AB543" s="68"/>
      <c r="AC543" s="68"/>
      <c r="AD543" s="68"/>
      <c r="AE543" s="68"/>
      <c r="AF543" s="68"/>
    </row>
    <row r="544" ht="14.25" customHeight="1" spans="4:32">
      <c r="D544" s="93"/>
      <c r="E544" s="94"/>
      <c r="F544" s="95"/>
      <c r="G544" s="96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  <c r="AA544" s="68"/>
      <c r="AB544" s="68"/>
      <c r="AC544" s="68"/>
      <c r="AD544" s="68"/>
      <c r="AE544" s="68"/>
      <c r="AF544" s="68"/>
    </row>
    <row r="545" ht="14.25" customHeight="1" spans="4:32">
      <c r="D545" s="93"/>
      <c r="E545" s="94"/>
      <c r="F545" s="95"/>
      <c r="G545" s="96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  <c r="AA545" s="68"/>
      <c r="AB545" s="68"/>
      <c r="AC545" s="68"/>
      <c r="AD545" s="68"/>
      <c r="AE545" s="68"/>
      <c r="AF545" s="68"/>
    </row>
    <row r="546" ht="14.25" customHeight="1" spans="4:32">
      <c r="D546" s="93"/>
      <c r="E546" s="94"/>
      <c r="F546" s="95"/>
      <c r="G546" s="96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  <c r="AA546" s="68"/>
      <c r="AB546" s="68"/>
      <c r="AC546" s="68"/>
      <c r="AD546" s="68"/>
      <c r="AE546" s="68"/>
      <c r="AF546" s="68"/>
    </row>
    <row r="547" ht="14.25" customHeight="1" spans="4:32">
      <c r="D547" s="93"/>
      <c r="E547" s="94"/>
      <c r="F547" s="95"/>
      <c r="G547" s="96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  <c r="AA547" s="68"/>
      <c r="AB547" s="68"/>
      <c r="AC547" s="68"/>
      <c r="AD547" s="68"/>
      <c r="AE547" s="68"/>
      <c r="AF547" s="68"/>
    </row>
    <row r="548" ht="14.25" customHeight="1" spans="4:32">
      <c r="D548" s="93"/>
      <c r="E548" s="94"/>
      <c r="F548" s="95"/>
      <c r="G548" s="96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  <c r="AA548" s="68"/>
      <c r="AB548" s="68"/>
      <c r="AC548" s="68"/>
      <c r="AD548" s="68"/>
      <c r="AE548" s="68"/>
      <c r="AF548" s="68"/>
    </row>
    <row r="549" ht="14.25" customHeight="1" spans="4:32">
      <c r="D549" s="93"/>
      <c r="E549" s="94"/>
      <c r="F549" s="95"/>
      <c r="G549" s="96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  <c r="AA549" s="68"/>
      <c r="AB549" s="68"/>
      <c r="AC549" s="68"/>
      <c r="AD549" s="68"/>
      <c r="AE549" s="68"/>
      <c r="AF549" s="68"/>
    </row>
    <row r="550" ht="14.25" customHeight="1" spans="4:32">
      <c r="D550" s="93"/>
      <c r="E550" s="94"/>
      <c r="F550" s="95"/>
      <c r="G550" s="96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  <c r="AA550" s="68"/>
      <c r="AB550" s="68"/>
      <c r="AC550" s="68"/>
      <c r="AD550" s="68"/>
      <c r="AE550" s="68"/>
      <c r="AF550" s="68"/>
    </row>
    <row r="551" ht="14.25" customHeight="1" spans="4:32">
      <c r="D551" s="93"/>
      <c r="E551" s="94"/>
      <c r="F551" s="95"/>
      <c r="G551" s="96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  <c r="AA551" s="68"/>
      <c r="AB551" s="68"/>
      <c r="AC551" s="68"/>
      <c r="AD551" s="68"/>
      <c r="AE551" s="68"/>
      <c r="AF551" s="68"/>
    </row>
    <row r="552" ht="14.25" customHeight="1" spans="4:32">
      <c r="D552" s="93"/>
      <c r="E552" s="94"/>
      <c r="F552" s="95"/>
      <c r="G552" s="96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  <c r="AA552" s="68"/>
      <c r="AB552" s="68"/>
      <c r="AC552" s="68"/>
      <c r="AD552" s="68"/>
      <c r="AE552" s="68"/>
      <c r="AF552" s="68"/>
    </row>
    <row r="553" ht="14.25" customHeight="1" spans="4:32">
      <c r="D553" s="93"/>
      <c r="E553" s="94"/>
      <c r="F553" s="95"/>
      <c r="G553" s="96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  <c r="AA553" s="68"/>
      <c r="AB553" s="68"/>
      <c r="AC553" s="68"/>
      <c r="AD553" s="68"/>
      <c r="AE553" s="68"/>
      <c r="AF553" s="68"/>
    </row>
    <row r="554" ht="14.25" customHeight="1" spans="4:32">
      <c r="D554" s="93"/>
      <c r="E554" s="94"/>
      <c r="F554" s="95"/>
      <c r="G554" s="96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  <c r="AA554" s="68"/>
      <c r="AB554" s="68"/>
      <c r="AC554" s="68"/>
      <c r="AD554" s="68"/>
      <c r="AE554" s="68"/>
      <c r="AF554" s="68"/>
    </row>
    <row r="555" ht="14.25" customHeight="1" spans="4:32">
      <c r="D555" s="93"/>
      <c r="E555" s="94"/>
      <c r="F555" s="95"/>
      <c r="G555" s="96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  <c r="AA555" s="68"/>
      <c r="AB555" s="68"/>
      <c r="AC555" s="68"/>
      <c r="AD555" s="68"/>
      <c r="AE555" s="68"/>
      <c r="AF555" s="68"/>
    </row>
    <row r="556" ht="14.25" customHeight="1" spans="4:32">
      <c r="D556" s="93"/>
      <c r="E556" s="94"/>
      <c r="F556" s="95"/>
      <c r="G556" s="96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  <c r="AA556" s="68"/>
      <c r="AB556" s="68"/>
      <c r="AC556" s="68"/>
      <c r="AD556" s="68"/>
      <c r="AE556" s="68"/>
      <c r="AF556" s="68"/>
    </row>
    <row r="557" ht="14.25" customHeight="1" spans="4:32">
      <c r="D557" s="93"/>
      <c r="E557" s="94"/>
      <c r="F557" s="95"/>
      <c r="G557" s="96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  <c r="AA557" s="68"/>
      <c r="AB557" s="68"/>
      <c r="AC557" s="68"/>
      <c r="AD557" s="68"/>
      <c r="AE557" s="68"/>
      <c r="AF557" s="68"/>
    </row>
    <row r="558" ht="14.25" customHeight="1" spans="4:32">
      <c r="D558" s="93"/>
      <c r="E558" s="94"/>
      <c r="F558" s="95"/>
      <c r="G558" s="96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  <c r="AA558" s="68"/>
      <c r="AB558" s="68"/>
      <c r="AC558" s="68"/>
      <c r="AD558" s="68"/>
      <c r="AE558" s="68"/>
      <c r="AF558" s="68"/>
    </row>
    <row r="559" ht="14.25" customHeight="1" spans="4:32">
      <c r="D559" s="93"/>
      <c r="E559" s="94"/>
      <c r="F559" s="95"/>
      <c r="G559" s="96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  <c r="AA559" s="68"/>
      <c r="AB559" s="68"/>
      <c r="AC559" s="68"/>
      <c r="AD559" s="68"/>
      <c r="AE559" s="68"/>
      <c r="AF559" s="68"/>
    </row>
    <row r="560" ht="14.25" customHeight="1" spans="4:32">
      <c r="D560" s="93"/>
      <c r="E560" s="94"/>
      <c r="F560" s="95"/>
      <c r="G560" s="96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  <c r="AA560" s="68"/>
      <c r="AB560" s="68"/>
      <c r="AC560" s="68"/>
      <c r="AD560" s="68"/>
      <c r="AE560" s="68"/>
      <c r="AF560" s="68"/>
    </row>
    <row r="561" ht="14.25" customHeight="1" spans="4:32">
      <c r="D561" s="93"/>
      <c r="E561" s="94"/>
      <c r="F561" s="95"/>
      <c r="G561" s="96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  <c r="AA561" s="68"/>
      <c r="AB561" s="68"/>
      <c r="AC561" s="68"/>
      <c r="AD561" s="68"/>
      <c r="AE561" s="68"/>
      <c r="AF561" s="68"/>
    </row>
    <row r="562" ht="14.25" customHeight="1" spans="4:32">
      <c r="D562" s="93"/>
      <c r="E562" s="94"/>
      <c r="F562" s="95"/>
      <c r="G562" s="96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  <c r="AA562" s="68"/>
      <c r="AB562" s="68"/>
      <c r="AC562" s="68"/>
      <c r="AD562" s="68"/>
      <c r="AE562" s="68"/>
      <c r="AF562" s="68"/>
    </row>
    <row r="563" ht="14.25" customHeight="1" spans="4:32">
      <c r="D563" s="93"/>
      <c r="E563" s="94"/>
      <c r="F563" s="95"/>
      <c r="G563" s="96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  <c r="AA563" s="68"/>
      <c r="AB563" s="68"/>
      <c r="AC563" s="68"/>
      <c r="AD563" s="68"/>
      <c r="AE563" s="68"/>
      <c r="AF563" s="68"/>
    </row>
    <row r="564" ht="14.25" customHeight="1" spans="4:32">
      <c r="D564" s="93"/>
      <c r="E564" s="94"/>
      <c r="F564" s="95"/>
      <c r="G564" s="96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  <c r="AA564" s="68"/>
      <c r="AB564" s="68"/>
      <c r="AC564" s="68"/>
      <c r="AD564" s="68"/>
      <c r="AE564" s="68"/>
      <c r="AF564" s="68"/>
    </row>
    <row r="565" ht="14.25" customHeight="1" spans="4:32">
      <c r="D565" s="93"/>
      <c r="E565" s="94"/>
      <c r="F565" s="95"/>
      <c r="G565" s="96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  <c r="AA565" s="68"/>
      <c r="AB565" s="68"/>
      <c r="AC565" s="68"/>
      <c r="AD565" s="68"/>
      <c r="AE565" s="68"/>
      <c r="AF565" s="68"/>
    </row>
    <row r="566" ht="14.25" customHeight="1" spans="4:32">
      <c r="D566" s="93"/>
      <c r="E566" s="94"/>
      <c r="F566" s="95"/>
      <c r="G566" s="96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  <c r="AA566" s="68"/>
      <c r="AB566" s="68"/>
      <c r="AC566" s="68"/>
      <c r="AD566" s="68"/>
      <c r="AE566" s="68"/>
      <c r="AF566" s="68"/>
    </row>
    <row r="567" ht="14.25" customHeight="1" spans="4:32">
      <c r="D567" s="93"/>
      <c r="E567" s="94"/>
      <c r="F567" s="95"/>
      <c r="G567" s="96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  <c r="AA567" s="68"/>
      <c r="AB567" s="68"/>
      <c r="AC567" s="68"/>
      <c r="AD567" s="68"/>
      <c r="AE567" s="68"/>
      <c r="AF567" s="68"/>
    </row>
    <row r="568" ht="14.25" customHeight="1" spans="4:32">
      <c r="D568" s="93"/>
      <c r="E568" s="94"/>
      <c r="F568" s="95"/>
      <c r="G568" s="96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  <c r="AA568" s="68"/>
      <c r="AB568" s="68"/>
      <c r="AC568" s="68"/>
      <c r="AD568" s="68"/>
      <c r="AE568" s="68"/>
      <c r="AF568" s="68"/>
    </row>
    <row r="569" ht="14.25" customHeight="1" spans="4:32">
      <c r="D569" s="93"/>
      <c r="E569" s="94"/>
      <c r="F569" s="95"/>
      <c r="G569" s="96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  <c r="AA569" s="68"/>
      <c r="AB569" s="68"/>
      <c r="AC569" s="68"/>
      <c r="AD569" s="68"/>
      <c r="AE569" s="68"/>
      <c r="AF569" s="68"/>
    </row>
    <row r="570" ht="14.25" customHeight="1" spans="4:32">
      <c r="D570" s="93"/>
      <c r="E570" s="94"/>
      <c r="F570" s="95"/>
      <c r="G570" s="96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  <c r="AA570" s="68"/>
      <c r="AB570" s="68"/>
      <c r="AC570" s="68"/>
      <c r="AD570" s="68"/>
      <c r="AE570" s="68"/>
      <c r="AF570" s="68"/>
    </row>
    <row r="571" ht="14.25" customHeight="1" spans="4:32">
      <c r="D571" s="93"/>
      <c r="E571" s="94"/>
      <c r="F571" s="95"/>
      <c r="G571" s="96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  <c r="AA571" s="68"/>
      <c r="AB571" s="68"/>
      <c r="AC571" s="68"/>
      <c r="AD571" s="68"/>
      <c r="AE571" s="68"/>
      <c r="AF571" s="68"/>
    </row>
    <row r="572" ht="14.25" customHeight="1" spans="4:32">
      <c r="D572" s="93"/>
      <c r="E572" s="94"/>
      <c r="F572" s="95"/>
      <c r="G572" s="96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  <c r="AA572" s="68"/>
      <c r="AB572" s="68"/>
      <c r="AC572" s="68"/>
      <c r="AD572" s="68"/>
      <c r="AE572" s="68"/>
      <c r="AF572" s="68"/>
    </row>
    <row r="573" ht="14.25" customHeight="1" spans="4:32">
      <c r="D573" s="93"/>
      <c r="E573" s="94"/>
      <c r="F573" s="95"/>
      <c r="G573" s="96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  <c r="AA573" s="68"/>
      <c r="AB573" s="68"/>
      <c r="AC573" s="68"/>
      <c r="AD573" s="68"/>
      <c r="AE573" s="68"/>
      <c r="AF573" s="68"/>
    </row>
    <row r="574" ht="14.25" customHeight="1" spans="4:32">
      <c r="D574" s="93"/>
      <c r="E574" s="94"/>
      <c r="F574" s="95"/>
      <c r="G574" s="96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  <c r="AA574" s="68"/>
      <c r="AB574" s="68"/>
      <c r="AC574" s="68"/>
      <c r="AD574" s="68"/>
      <c r="AE574" s="68"/>
      <c r="AF574" s="68"/>
    </row>
    <row r="575" ht="14.25" customHeight="1" spans="4:32">
      <c r="D575" s="93"/>
      <c r="E575" s="94"/>
      <c r="F575" s="95"/>
      <c r="G575" s="96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  <c r="AA575" s="68"/>
      <c r="AB575" s="68"/>
      <c r="AC575" s="68"/>
      <c r="AD575" s="68"/>
      <c r="AE575" s="68"/>
      <c r="AF575" s="68"/>
    </row>
    <row r="576" ht="14.25" customHeight="1" spans="4:32">
      <c r="D576" s="93"/>
      <c r="E576" s="94"/>
      <c r="F576" s="95"/>
      <c r="G576" s="96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  <c r="AA576" s="68"/>
      <c r="AB576" s="68"/>
      <c r="AC576" s="68"/>
      <c r="AD576" s="68"/>
      <c r="AE576" s="68"/>
      <c r="AF576" s="68"/>
    </row>
    <row r="577" ht="14.25" customHeight="1" spans="4:32">
      <c r="D577" s="93"/>
      <c r="E577" s="94"/>
      <c r="F577" s="95"/>
      <c r="G577" s="96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  <c r="AA577" s="68"/>
      <c r="AB577" s="68"/>
      <c r="AC577" s="68"/>
      <c r="AD577" s="68"/>
      <c r="AE577" s="68"/>
      <c r="AF577" s="68"/>
    </row>
    <row r="578" ht="14.25" customHeight="1" spans="4:32">
      <c r="D578" s="93"/>
      <c r="E578" s="94"/>
      <c r="F578" s="95"/>
      <c r="G578" s="96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  <c r="AA578" s="68"/>
      <c r="AB578" s="68"/>
      <c r="AC578" s="68"/>
      <c r="AD578" s="68"/>
      <c r="AE578" s="68"/>
      <c r="AF578" s="68"/>
    </row>
    <row r="579" ht="14.25" customHeight="1" spans="4:32">
      <c r="D579" s="93"/>
      <c r="E579" s="94"/>
      <c r="F579" s="95"/>
      <c r="G579" s="96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  <c r="AA579" s="68"/>
      <c r="AB579" s="68"/>
      <c r="AC579" s="68"/>
      <c r="AD579" s="68"/>
      <c r="AE579" s="68"/>
      <c r="AF579" s="68"/>
    </row>
    <row r="580" ht="14.25" customHeight="1" spans="4:32">
      <c r="D580" s="93"/>
      <c r="E580" s="94"/>
      <c r="F580" s="95"/>
      <c r="G580" s="96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  <c r="AA580" s="68"/>
      <c r="AB580" s="68"/>
      <c r="AC580" s="68"/>
      <c r="AD580" s="68"/>
      <c r="AE580" s="68"/>
      <c r="AF580" s="68"/>
    </row>
    <row r="581" ht="14.25" customHeight="1" spans="4:32">
      <c r="D581" s="93"/>
      <c r="E581" s="94"/>
      <c r="F581" s="95"/>
      <c r="G581" s="96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  <c r="AA581" s="68"/>
      <c r="AB581" s="68"/>
      <c r="AC581" s="68"/>
      <c r="AD581" s="68"/>
      <c r="AE581" s="68"/>
      <c r="AF581" s="68"/>
    </row>
    <row r="582" ht="14.25" customHeight="1" spans="4:32">
      <c r="D582" s="93"/>
      <c r="E582" s="94"/>
      <c r="F582" s="95"/>
      <c r="G582" s="96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  <c r="AA582" s="68"/>
      <c r="AB582" s="68"/>
      <c r="AC582" s="68"/>
      <c r="AD582" s="68"/>
      <c r="AE582" s="68"/>
      <c r="AF582" s="68"/>
    </row>
    <row r="583" ht="14.25" customHeight="1" spans="4:32">
      <c r="D583" s="93"/>
      <c r="E583" s="94"/>
      <c r="F583" s="95"/>
      <c r="G583" s="96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  <c r="AA583" s="68"/>
      <c r="AB583" s="68"/>
      <c r="AC583" s="68"/>
      <c r="AD583" s="68"/>
      <c r="AE583" s="68"/>
      <c r="AF583" s="68"/>
    </row>
    <row r="584" ht="14.25" customHeight="1" spans="4:32">
      <c r="D584" s="93"/>
      <c r="E584" s="94"/>
      <c r="F584" s="95"/>
      <c r="G584" s="96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  <c r="AA584" s="68"/>
      <c r="AB584" s="68"/>
      <c r="AC584" s="68"/>
      <c r="AD584" s="68"/>
      <c r="AE584" s="68"/>
      <c r="AF584" s="68"/>
    </row>
    <row r="585" ht="14.25" customHeight="1" spans="4:32">
      <c r="D585" s="93"/>
      <c r="E585" s="94"/>
      <c r="F585" s="95"/>
      <c r="G585" s="96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  <c r="AA585" s="68"/>
      <c r="AB585" s="68"/>
      <c r="AC585" s="68"/>
      <c r="AD585" s="68"/>
      <c r="AE585" s="68"/>
      <c r="AF585" s="68"/>
    </row>
    <row r="586" ht="14.25" customHeight="1" spans="4:32">
      <c r="D586" s="93"/>
      <c r="E586" s="94"/>
      <c r="F586" s="95"/>
      <c r="G586" s="96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  <c r="AA586" s="68"/>
      <c r="AB586" s="68"/>
      <c r="AC586" s="68"/>
      <c r="AD586" s="68"/>
      <c r="AE586" s="68"/>
      <c r="AF586" s="68"/>
    </row>
    <row r="587" ht="14.25" customHeight="1" spans="4:32">
      <c r="D587" s="93"/>
      <c r="E587" s="94"/>
      <c r="F587" s="95"/>
      <c r="G587" s="96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  <c r="AA587" s="68"/>
      <c r="AB587" s="68"/>
      <c r="AC587" s="68"/>
      <c r="AD587" s="68"/>
      <c r="AE587" s="68"/>
      <c r="AF587" s="68"/>
    </row>
    <row r="588" ht="14.25" customHeight="1" spans="4:32">
      <c r="D588" s="93"/>
      <c r="E588" s="94"/>
      <c r="F588" s="95"/>
      <c r="G588" s="96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  <c r="AA588" s="68"/>
      <c r="AB588" s="68"/>
      <c r="AC588" s="68"/>
      <c r="AD588" s="68"/>
      <c r="AE588" s="68"/>
      <c r="AF588" s="68"/>
    </row>
    <row r="589" ht="14.25" customHeight="1" spans="4:32">
      <c r="D589" s="93"/>
      <c r="E589" s="94"/>
      <c r="F589" s="95"/>
      <c r="G589" s="96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  <c r="AA589" s="68"/>
      <c r="AB589" s="68"/>
      <c r="AC589" s="68"/>
      <c r="AD589" s="68"/>
      <c r="AE589" s="68"/>
      <c r="AF589" s="68"/>
    </row>
    <row r="590" ht="14.25" customHeight="1" spans="4:32">
      <c r="D590" s="93"/>
      <c r="E590" s="94"/>
      <c r="F590" s="95"/>
      <c r="G590" s="96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  <c r="AA590" s="68"/>
      <c r="AB590" s="68"/>
      <c r="AC590" s="68"/>
      <c r="AD590" s="68"/>
      <c r="AE590" s="68"/>
      <c r="AF590" s="68"/>
    </row>
    <row r="591" ht="14.25" customHeight="1" spans="4:32">
      <c r="D591" s="93"/>
      <c r="E591" s="94"/>
      <c r="F591" s="95"/>
      <c r="G591" s="96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  <c r="AA591" s="68"/>
      <c r="AB591" s="68"/>
      <c r="AC591" s="68"/>
      <c r="AD591" s="68"/>
      <c r="AE591" s="68"/>
      <c r="AF591" s="68"/>
    </row>
    <row r="592" ht="14.25" customHeight="1" spans="4:32">
      <c r="D592" s="93"/>
      <c r="E592" s="94"/>
      <c r="F592" s="95"/>
      <c r="G592" s="96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  <c r="AA592" s="68"/>
      <c r="AB592" s="68"/>
      <c r="AC592" s="68"/>
      <c r="AD592" s="68"/>
      <c r="AE592" s="68"/>
      <c r="AF592" s="68"/>
    </row>
    <row r="593" ht="14.25" customHeight="1" spans="4:32">
      <c r="D593" s="93"/>
      <c r="E593" s="94"/>
      <c r="F593" s="95"/>
      <c r="G593" s="96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  <c r="AA593" s="68"/>
      <c r="AB593" s="68"/>
      <c r="AC593" s="68"/>
      <c r="AD593" s="68"/>
      <c r="AE593" s="68"/>
      <c r="AF593" s="68"/>
    </row>
    <row r="594" ht="14.25" customHeight="1" spans="4:32">
      <c r="D594" s="93"/>
      <c r="E594" s="94"/>
      <c r="F594" s="95"/>
      <c r="G594" s="96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  <c r="AA594" s="68"/>
      <c r="AB594" s="68"/>
      <c r="AC594" s="68"/>
      <c r="AD594" s="68"/>
      <c r="AE594" s="68"/>
      <c r="AF594" s="68"/>
    </row>
    <row r="595" ht="14.25" customHeight="1" spans="4:32">
      <c r="D595" s="93"/>
      <c r="E595" s="94"/>
      <c r="F595" s="95"/>
      <c r="G595" s="96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  <c r="AA595" s="68"/>
      <c r="AB595" s="68"/>
      <c r="AC595" s="68"/>
      <c r="AD595" s="68"/>
      <c r="AE595" s="68"/>
      <c r="AF595" s="68"/>
    </row>
    <row r="596" ht="14.25" customHeight="1" spans="4:32">
      <c r="D596" s="93"/>
      <c r="E596" s="94"/>
      <c r="F596" s="95"/>
      <c r="G596" s="96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  <c r="AA596" s="68"/>
      <c r="AB596" s="68"/>
      <c r="AC596" s="68"/>
      <c r="AD596" s="68"/>
      <c r="AE596" s="68"/>
      <c r="AF596" s="68"/>
    </row>
    <row r="597" ht="14.25" customHeight="1" spans="4:32">
      <c r="D597" s="93"/>
      <c r="E597" s="94"/>
      <c r="F597" s="95"/>
      <c r="G597" s="96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  <c r="AA597" s="68"/>
      <c r="AB597" s="68"/>
      <c r="AC597" s="68"/>
      <c r="AD597" s="68"/>
      <c r="AE597" s="68"/>
      <c r="AF597" s="68"/>
    </row>
    <row r="598" ht="14.25" customHeight="1" spans="4:32">
      <c r="D598" s="93"/>
      <c r="E598" s="94"/>
      <c r="F598" s="95"/>
      <c r="G598" s="96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  <c r="AA598" s="68"/>
      <c r="AB598" s="68"/>
      <c r="AC598" s="68"/>
      <c r="AD598" s="68"/>
      <c r="AE598" s="68"/>
      <c r="AF598" s="68"/>
    </row>
    <row r="599" ht="14.25" customHeight="1" spans="4:32">
      <c r="D599" s="93"/>
      <c r="E599" s="94"/>
      <c r="F599" s="95"/>
      <c r="G599" s="96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  <c r="AA599" s="68"/>
      <c r="AB599" s="68"/>
      <c r="AC599" s="68"/>
      <c r="AD599" s="68"/>
      <c r="AE599" s="68"/>
      <c r="AF599" s="68"/>
    </row>
    <row r="600" ht="14.25" customHeight="1" spans="4:32">
      <c r="D600" s="93"/>
      <c r="E600" s="94"/>
      <c r="F600" s="95"/>
      <c r="G600" s="96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  <c r="AA600" s="68"/>
      <c r="AB600" s="68"/>
      <c r="AC600" s="68"/>
      <c r="AD600" s="68"/>
      <c r="AE600" s="68"/>
      <c r="AF600" s="68"/>
    </row>
    <row r="601" ht="14.25" customHeight="1" spans="4:32">
      <c r="D601" s="93"/>
      <c r="E601" s="94"/>
      <c r="F601" s="95"/>
      <c r="G601" s="96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  <c r="AA601" s="68"/>
      <c r="AB601" s="68"/>
      <c r="AC601" s="68"/>
      <c r="AD601" s="68"/>
      <c r="AE601" s="68"/>
      <c r="AF601" s="68"/>
    </row>
    <row r="602" ht="14.25" customHeight="1" spans="4:32">
      <c r="D602" s="93"/>
      <c r="E602" s="94"/>
      <c r="F602" s="95"/>
      <c r="G602" s="96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  <c r="AA602" s="68"/>
      <c r="AB602" s="68"/>
      <c r="AC602" s="68"/>
      <c r="AD602" s="68"/>
      <c r="AE602" s="68"/>
      <c r="AF602" s="68"/>
    </row>
    <row r="603" ht="14.25" customHeight="1" spans="4:32">
      <c r="D603" s="93"/>
      <c r="E603" s="94"/>
      <c r="F603" s="95"/>
      <c r="G603" s="96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  <c r="AA603" s="68"/>
      <c r="AB603" s="68"/>
      <c r="AC603" s="68"/>
      <c r="AD603" s="68"/>
      <c r="AE603" s="68"/>
      <c r="AF603" s="68"/>
    </row>
    <row r="604" ht="14.25" customHeight="1" spans="4:32">
      <c r="D604" s="93"/>
      <c r="E604" s="94"/>
      <c r="F604" s="95"/>
      <c r="G604" s="96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  <c r="AA604" s="68"/>
      <c r="AB604" s="68"/>
      <c r="AC604" s="68"/>
      <c r="AD604" s="68"/>
      <c r="AE604" s="68"/>
      <c r="AF604" s="68"/>
    </row>
    <row r="605" ht="14.25" customHeight="1" spans="4:32">
      <c r="D605" s="93"/>
      <c r="E605" s="94"/>
      <c r="F605" s="95"/>
      <c r="G605" s="96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  <c r="AA605" s="68"/>
      <c r="AB605" s="68"/>
      <c r="AC605" s="68"/>
      <c r="AD605" s="68"/>
      <c r="AE605" s="68"/>
      <c r="AF605" s="68"/>
    </row>
    <row r="606" ht="14.25" customHeight="1" spans="4:32">
      <c r="D606" s="93"/>
      <c r="E606" s="94"/>
      <c r="F606" s="95"/>
      <c r="G606" s="96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  <c r="AA606" s="68"/>
      <c r="AB606" s="68"/>
      <c r="AC606" s="68"/>
      <c r="AD606" s="68"/>
      <c r="AE606" s="68"/>
      <c r="AF606" s="68"/>
    </row>
    <row r="607" ht="14.25" customHeight="1" spans="4:32">
      <c r="D607" s="93"/>
      <c r="E607" s="94"/>
      <c r="F607" s="95"/>
      <c r="G607" s="96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  <c r="AA607" s="68"/>
      <c r="AB607" s="68"/>
      <c r="AC607" s="68"/>
      <c r="AD607" s="68"/>
      <c r="AE607" s="68"/>
      <c r="AF607" s="68"/>
    </row>
    <row r="608" ht="14.25" customHeight="1" spans="4:32">
      <c r="D608" s="93"/>
      <c r="E608" s="94"/>
      <c r="F608" s="95"/>
      <c r="G608" s="96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  <c r="AA608" s="68"/>
      <c r="AB608" s="68"/>
      <c r="AC608" s="68"/>
      <c r="AD608" s="68"/>
      <c r="AE608" s="68"/>
      <c r="AF608" s="68"/>
    </row>
    <row r="609" ht="14.25" customHeight="1" spans="4:32">
      <c r="D609" s="93"/>
      <c r="E609" s="94"/>
      <c r="F609" s="95"/>
      <c r="G609" s="96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  <c r="AA609" s="68"/>
      <c r="AB609" s="68"/>
      <c r="AC609" s="68"/>
      <c r="AD609" s="68"/>
      <c r="AE609" s="68"/>
      <c r="AF609" s="68"/>
    </row>
    <row r="610" ht="14.25" customHeight="1" spans="4:32">
      <c r="D610" s="93"/>
      <c r="E610" s="94"/>
      <c r="F610" s="95"/>
      <c r="G610" s="96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  <c r="AA610" s="68"/>
      <c r="AB610" s="68"/>
      <c r="AC610" s="68"/>
      <c r="AD610" s="68"/>
      <c r="AE610" s="68"/>
      <c r="AF610" s="68"/>
    </row>
    <row r="611" ht="14.25" customHeight="1" spans="4:32">
      <c r="D611" s="93"/>
      <c r="E611" s="94"/>
      <c r="F611" s="95"/>
      <c r="G611" s="96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  <c r="AA611" s="68"/>
      <c r="AB611" s="68"/>
      <c r="AC611" s="68"/>
      <c r="AD611" s="68"/>
      <c r="AE611" s="68"/>
      <c r="AF611" s="68"/>
    </row>
    <row r="612" ht="14.25" customHeight="1" spans="4:32">
      <c r="D612" s="93"/>
      <c r="E612" s="94"/>
      <c r="F612" s="95"/>
      <c r="G612" s="96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  <c r="AA612" s="68"/>
      <c r="AB612" s="68"/>
      <c r="AC612" s="68"/>
      <c r="AD612" s="68"/>
      <c r="AE612" s="68"/>
      <c r="AF612" s="68"/>
    </row>
    <row r="613" ht="14.25" customHeight="1" spans="4:32">
      <c r="D613" s="93"/>
      <c r="E613" s="94"/>
      <c r="F613" s="95"/>
      <c r="G613" s="96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  <c r="AA613" s="68"/>
      <c r="AB613" s="68"/>
      <c r="AC613" s="68"/>
      <c r="AD613" s="68"/>
      <c r="AE613" s="68"/>
      <c r="AF613" s="68"/>
    </row>
    <row r="614" ht="14.25" customHeight="1" spans="4:32">
      <c r="D614" s="93"/>
      <c r="E614" s="94"/>
      <c r="F614" s="95"/>
      <c r="G614" s="96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  <c r="AA614" s="68"/>
      <c r="AB614" s="68"/>
      <c r="AC614" s="68"/>
      <c r="AD614" s="68"/>
      <c r="AE614" s="68"/>
      <c r="AF614" s="68"/>
    </row>
    <row r="615" ht="14.25" customHeight="1" spans="4:32">
      <c r="D615" s="93"/>
      <c r="E615" s="94"/>
      <c r="F615" s="95"/>
      <c r="G615" s="96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  <c r="AA615" s="68"/>
      <c r="AB615" s="68"/>
      <c r="AC615" s="68"/>
      <c r="AD615" s="68"/>
      <c r="AE615" s="68"/>
      <c r="AF615" s="68"/>
    </row>
    <row r="616" ht="14.25" customHeight="1" spans="4:32">
      <c r="D616" s="93"/>
      <c r="E616" s="94"/>
      <c r="F616" s="95"/>
      <c r="G616" s="96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  <c r="AA616" s="68"/>
      <c r="AB616" s="68"/>
      <c r="AC616" s="68"/>
      <c r="AD616" s="68"/>
      <c r="AE616" s="68"/>
      <c r="AF616" s="68"/>
    </row>
    <row r="617" ht="14.25" customHeight="1" spans="4:32">
      <c r="D617" s="93"/>
      <c r="E617" s="94"/>
      <c r="F617" s="95"/>
      <c r="G617" s="96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  <c r="AA617" s="68"/>
      <c r="AB617" s="68"/>
      <c r="AC617" s="68"/>
      <c r="AD617" s="68"/>
      <c r="AE617" s="68"/>
      <c r="AF617" s="68"/>
    </row>
    <row r="618" ht="14.25" customHeight="1" spans="4:32">
      <c r="D618" s="93"/>
      <c r="E618" s="94"/>
      <c r="F618" s="95"/>
      <c r="G618" s="96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  <c r="AA618" s="68"/>
      <c r="AB618" s="68"/>
      <c r="AC618" s="68"/>
      <c r="AD618" s="68"/>
      <c r="AE618" s="68"/>
      <c r="AF618" s="68"/>
    </row>
    <row r="619" ht="14.25" customHeight="1" spans="4:32">
      <c r="D619" s="93"/>
      <c r="E619" s="94"/>
      <c r="F619" s="95"/>
      <c r="G619" s="96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  <c r="AA619" s="68"/>
      <c r="AB619" s="68"/>
      <c r="AC619" s="68"/>
      <c r="AD619" s="68"/>
      <c r="AE619" s="68"/>
      <c r="AF619" s="68"/>
    </row>
    <row r="620" ht="14.25" customHeight="1" spans="4:32">
      <c r="D620" s="93"/>
      <c r="E620" s="94"/>
      <c r="F620" s="95"/>
      <c r="G620" s="96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  <c r="AA620" s="68"/>
      <c r="AB620" s="68"/>
      <c r="AC620" s="68"/>
      <c r="AD620" s="68"/>
      <c r="AE620" s="68"/>
      <c r="AF620" s="68"/>
    </row>
    <row r="621" ht="14.25" customHeight="1" spans="4:32">
      <c r="D621" s="93"/>
      <c r="E621" s="94"/>
      <c r="F621" s="95"/>
      <c r="G621" s="96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  <c r="AA621" s="68"/>
      <c r="AB621" s="68"/>
      <c r="AC621" s="68"/>
      <c r="AD621" s="68"/>
      <c r="AE621" s="68"/>
      <c r="AF621" s="68"/>
    </row>
    <row r="622" ht="14.25" customHeight="1" spans="4:32">
      <c r="D622" s="93"/>
      <c r="E622" s="94"/>
      <c r="F622" s="95"/>
      <c r="G622" s="96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  <c r="AA622" s="68"/>
      <c r="AB622" s="68"/>
      <c r="AC622" s="68"/>
      <c r="AD622" s="68"/>
      <c r="AE622" s="68"/>
      <c r="AF622" s="68"/>
    </row>
    <row r="623" ht="14.25" customHeight="1" spans="4:32">
      <c r="D623" s="93"/>
      <c r="E623" s="94"/>
      <c r="F623" s="95"/>
      <c r="G623" s="96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  <c r="AA623" s="68"/>
      <c r="AB623" s="68"/>
      <c r="AC623" s="68"/>
      <c r="AD623" s="68"/>
      <c r="AE623" s="68"/>
      <c r="AF623" s="68"/>
    </row>
    <row r="624" ht="14.25" customHeight="1" spans="4:32">
      <c r="D624" s="93"/>
      <c r="E624" s="94"/>
      <c r="F624" s="95"/>
      <c r="G624" s="96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  <c r="AA624" s="68"/>
      <c r="AB624" s="68"/>
      <c r="AC624" s="68"/>
      <c r="AD624" s="68"/>
      <c r="AE624" s="68"/>
      <c r="AF624" s="68"/>
    </row>
    <row r="625" ht="14.25" customHeight="1" spans="4:32">
      <c r="D625" s="93"/>
      <c r="E625" s="94"/>
      <c r="F625" s="95"/>
      <c r="G625" s="96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  <c r="AA625" s="68"/>
      <c r="AB625" s="68"/>
      <c r="AC625" s="68"/>
      <c r="AD625" s="68"/>
      <c r="AE625" s="68"/>
      <c r="AF625" s="68"/>
    </row>
    <row r="626" ht="14.25" customHeight="1" spans="4:32">
      <c r="D626" s="93"/>
      <c r="E626" s="94"/>
      <c r="F626" s="95"/>
      <c r="G626" s="96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  <c r="AA626" s="68"/>
      <c r="AB626" s="68"/>
      <c r="AC626" s="68"/>
      <c r="AD626" s="68"/>
      <c r="AE626" s="68"/>
      <c r="AF626" s="68"/>
    </row>
    <row r="627" ht="14.25" customHeight="1" spans="4:32">
      <c r="D627" s="93"/>
      <c r="E627" s="94"/>
      <c r="F627" s="95"/>
      <c r="G627" s="96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  <c r="AA627" s="68"/>
      <c r="AB627" s="68"/>
      <c r="AC627" s="68"/>
      <c r="AD627" s="68"/>
      <c r="AE627" s="68"/>
      <c r="AF627" s="68"/>
    </row>
    <row r="628" ht="14.25" customHeight="1" spans="4:32">
      <c r="D628" s="93"/>
      <c r="E628" s="94"/>
      <c r="F628" s="95"/>
      <c r="G628" s="96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  <c r="AA628" s="68"/>
      <c r="AB628" s="68"/>
      <c r="AC628" s="68"/>
      <c r="AD628" s="68"/>
      <c r="AE628" s="68"/>
      <c r="AF628" s="68"/>
    </row>
    <row r="629" ht="14.25" customHeight="1" spans="4:32">
      <c r="D629" s="93"/>
      <c r="E629" s="94"/>
      <c r="F629" s="95"/>
      <c r="G629" s="96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  <c r="AA629" s="68"/>
      <c r="AB629" s="68"/>
      <c r="AC629" s="68"/>
      <c r="AD629" s="68"/>
      <c r="AE629" s="68"/>
      <c r="AF629" s="68"/>
    </row>
    <row r="630" ht="14.25" customHeight="1" spans="4:32">
      <c r="D630" s="93"/>
      <c r="E630" s="94"/>
      <c r="F630" s="95"/>
      <c r="G630" s="96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  <c r="AA630" s="68"/>
      <c r="AB630" s="68"/>
      <c r="AC630" s="68"/>
      <c r="AD630" s="68"/>
      <c r="AE630" s="68"/>
      <c r="AF630" s="68"/>
    </row>
    <row r="631" ht="14.25" customHeight="1" spans="4:32">
      <c r="D631" s="93"/>
      <c r="E631" s="94"/>
      <c r="F631" s="95"/>
      <c r="G631" s="96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  <c r="AA631" s="68"/>
      <c r="AB631" s="68"/>
      <c r="AC631" s="68"/>
      <c r="AD631" s="68"/>
      <c r="AE631" s="68"/>
      <c r="AF631" s="68"/>
    </row>
    <row r="632" ht="14.25" customHeight="1" spans="4:32">
      <c r="D632" s="93"/>
      <c r="E632" s="94"/>
      <c r="F632" s="95"/>
      <c r="G632" s="96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  <c r="AA632" s="68"/>
      <c r="AB632" s="68"/>
      <c r="AC632" s="68"/>
      <c r="AD632" s="68"/>
      <c r="AE632" s="68"/>
      <c r="AF632" s="68"/>
    </row>
    <row r="633" ht="14.25" customHeight="1" spans="4:32">
      <c r="D633" s="93"/>
      <c r="E633" s="94"/>
      <c r="F633" s="95"/>
      <c r="G633" s="96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  <c r="AA633" s="68"/>
      <c r="AB633" s="68"/>
      <c r="AC633" s="68"/>
      <c r="AD633" s="68"/>
      <c r="AE633" s="68"/>
      <c r="AF633" s="68"/>
    </row>
    <row r="634" ht="14.25" customHeight="1" spans="4:32">
      <c r="D634" s="93"/>
      <c r="E634" s="94"/>
      <c r="F634" s="95"/>
      <c r="G634" s="96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  <c r="AA634" s="68"/>
      <c r="AB634" s="68"/>
      <c r="AC634" s="68"/>
      <c r="AD634" s="68"/>
      <c r="AE634" s="68"/>
      <c r="AF634" s="68"/>
    </row>
    <row r="635" ht="14.25" customHeight="1" spans="4:32">
      <c r="D635" s="93"/>
      <c r="E635" s="94"/>
      <c r="F635" s="95"/>
      <c r="G635" s="96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  <c r="AA635" s="68"/>
      <c r="AB635" s="68"/>
      <c r="AC635" s="68"/>
      <c r="AD635" s="68"/>
      <c r="AE635" s="68"/>
      <c r="AF635" s="68"/>
    </row>
    <row r="636" ht="14.25" customHeight="1" spans="4:32">
      <c r="D636" s="93"/>
      <c r="E636" s="94"/>
      <c r="F636" s="95"/>
      <c r="G636" s="96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  <c r="AA636" s="68"/>
      <c r="AB636" s="68"/>
      <c r="AC636" s="68"/>
      <c r="AD636" s="68"/>
      <c r="AE636" s="68"/>
      <c r="AF636" s="68"/>
    </row>
    <row r="637" ht="14.25" customHeight="1" spans="4:32">
      <c r="D637" s="93"/>
      <c r="E637" s="94"/>
      <c r="F637" s="95"/>
      <c r="G637" s="96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  <c r="AA637" s="68"/>
      <c r="AB637" s="68"/>
      <c r="AC637" s="68"/>
      <c r="AD637" s="68"/>
      <c r="AE637" s="68"/>
      <c r="AF637" s="68"/>
    </row>
    <row r="638" ht="14.25" customHeight="1" spans="4:32">
      <c r="D638" s="93"/>
      <c r="E638" s="94"/>
      <c r="F638" s="95"/>
      <c r="G638" s="96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  <c r="AA638" s="68"/>
      <c r="AB638" s="68"/>
      <c r="AC638" s="68"/>
      <c r="AD638" s="68"/>
      <c r="AE638" s="68"/>
      <c r="AF638" s="68"/>
    </row>
    <row r="639" ht="14.25" customHeight="1" spans="4:32">
      <c r="D639" s="93"/>
      <c r="E639" s="94"/>
      <c r="F639" s="95"/>
      <c r="G639" s="96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  <c r="AA639" s="68"/>
      <c r="AB639" s="68"/>
      <c r="AC639" s="68"/>
      <c r="AD639" s="68"/>
      <c r="AE639" s="68"/>
      <c r="AF639" s="68"/>
    </row>
    <row r="640" ht="14.25" customHeight="1" spans="4:32">
      <c r="D640" s="93"/>
      <c r="E640" s="94"/>
      <c r="F640" s="95"/>
      <c r="G640" s="96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  <c r="AA640" s="68"/>
      <c r="AB640" s="68"/>
      <c r="AC640" s="68"/>
      <c r="AD640" s="68"/>
      <c r="AE640" s="68"/>
      <c r="AF640" s="68"/>
    </row>
    <row r="641" ht="14.25" customHeight="1" spans="4:32">
      <c r="D641" s="93"/>
      <c r="E641" s="94"/>
      <c r="F641" s="95"/>
      <c r="G641" s="96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  <c r="AA641" s="68"/>
      <c r="AB641" s="68"/>
      <c r="AC641" s="68"/>
      <c r="AD641" s="68"/>
      <c r="AE641" s="68"/>
      <c r="AF641" s="68"/>
    </row>
    <row r="642" ht="14.25" customHeight="1" spans="4:32">
      <c r="D642" s="93"/>
      <c r="E642" s="94"/>
      <c r="F642" s="95"/>
      <c r="G642" s="96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  <c r="AA642" s="68"/>
      <c r="AB642" s="68"/>
      <c r="AC642" s="68"/>
      <c r="AD642" s="68"/>
      <c r="AE642" s="68"/>
      <c r="AF642" s="68"/>
    </row>
    <row r="643" ht="14.25" customHeight="1" spans="4:32">
      <c r="D643" s="93"/>
      <c r="E643" s="94"/>
      <c r="F643" s="95"/>
      <c r="G643" s="96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  <c r="AA643" s="68"/>
      <c r="AB643" s="68"/>
      <c r="AC643" s="68"/>
      <c r="AD643" s="68"/>
      <c r="AE643" s="68"/>
      <c r="AF643" s="68"/>
    </row>
    <row r="644" ht="14.25" customHeight="1" spans="4:32">
      <c r="D644" s="93"/>
      <c r="E644" s="94"/>
      <c r="F644" s="95"/>
      <c r="G644" s="96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  <c r="AA644" s="68"/>
      <c r="AB644" s="68"/>
      <c r="AC644" s="68"/>
      <c r="AD644" s="68"/>
      <c r="AE644" s="68"/>
      <c r="AF644" s="68"/>
    </row>
    <row r="645" ht="14.25" customHeight="1" spans="4:32">
      <c r="D645" s="93"/>
      <c r="E645" s="94"/>
      <c r="F645" s="95"/>
      <c r="G645" s="96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  <c r="AA645" s="68"/>
      <c r="AB645" s="68"/>
      <c r="AC645" s="68"/>
      <c r="AD645" s="68"/>
      <c r="AE645" s="68"/>
      <c r="AF645" s="68"/>
    </row>
    <row r="646" ht="14.25" customHeight="1" spans="4:32">
      <c r="D646" s="93"/>
      <c r="E646" s="94"/>
      <c r="F646" s="95"/>
      <c r="G646" s="96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  <c r="AA646" s="68"/>
      <c r="AB646" s="68"/>
      <c r="AC646" s="68"/>
      <c r="AD646" s="68"/>
      <c r="AE646" s="68"/>
      <c r="AF646" s="68"/>
    </row>
    <row r="647" ht="14.25" customHeight="1" spans="4:32">
      <c r="D647" s="93"/>
      <c r="E647" s="94"/>
      <c r="F647" s="95"/>
      <c r="G647" s="96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  <c r="AA647" s="68"/>
      <c r="AB647" s="68"/>
      <c r="AC647" s="68"/>
      <c r="AD647" s="68"/>
      <c r="AE647" s="68"/>
      <c r="AF647" s="68"/>
    </row>
    <row r="648" ht="14.25" customHeight="1" spans="4:32">
      <c r="D648" s="93"/>
      <c r="E648" s="94"/>
      <c r="F648" s="95"/>
      <c r="G648" s="96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  <c r="AA648" s="68"/>
      <c r="AB648" s="68"/>
      <c r="AC648" s="68"/>
      <c r="AD648" s="68"/>
      <c r="AE648" s="68"/>
      <c r="AF648" s="68"/>
    </row>
    <row r="649" ht="14.25" customHeight="1" spans="4:32">
      <c r="D649" s="93"/>
      <c r="E649" s="94"/>
      <c r="F649" s="95"/>
      <c r="G649" s="96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  <c r="AA649" s="68"/>
      <c r="AB649" s="68"/>
      <c r="AC649" s="68"/>
      <c r="AD649" s="68"/>
      <c r="AE649" s="68"/>
      <c r="AF649" s="68"/>
    </row>
    <row r="650" ht="14.25" customHeight="1" spans="4:32">
      <c r="D650" s="93"/>
      <c r="E650" s="94"/>
      <c r="F650" s="95"/>
      <c r="G650" s="96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  <c r="AA650" s="68"/>
      <c r="AB650" s="68"/>
      <c r="AC650" s="68"/>
      <c r="AD650" s="68"/>
      <c r="AE650" s="68"/>
      <c r="AF650" s="68"/>
    </row>
    <row r="651" ht="14.25" customHeight="1" spans="4:32">
      <c r="D651" s="93"/>
      <c r="E651" s="94"/>
      <c r="F651" s="95"/>
      <c r="G651" s="96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  <c r="AA651" s="68"/>
      <c r="AB651" s="68"/>
      <c r="AC651" s="68"/>
      <c r="AD651" s="68"/>
      <c r="AE651" s="68"/>
      <c r="AF651" s="68"/>
    </row>
    <row r="652" ht="14.25" customHeight="1" spans="4:32">
      <c r="D652" s="93"/>
      <c r="E652" s="94"/>
      <c r="F652" s="95"/>
      <c r="G652" s="96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  <c r="AA652" s="68"/>
      <c r="AB652" s="68"/>
      <c r="AC652" s="68"/>
      <c r="AD652" s="68"/>
      <c r="AE652" s="68"/>
      <c r="AF652" s="68"/>
    </row>
    <row r="653" ht="14.25" customHeight="1" spans="4:32">
      <c r="D653" s="93"/>
      <c r="E653" s="94"/>
      <c r="F653" s="95"/>
      <c r="G653" s="96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  <c r="AA653" s="68"/>
      <c r="AB653" s="68"/>
      <c r="AC653" s="68"/>
      <c r="AD653" s="68"/>
      <c r="AE653" s="68"/>
      <c r="AF653" s="68"/>
    </row>
    <row r="654" ht="14.25" customHeight="1" spans="4:32">
      <c r="D654" s="93"/>
      <c r="E654" s="94"/>
      <c r="F654" s="95"/>
      <c r="G654" s="96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  <c r="AA654" s="68"/>
      <c r="AB654" s="68"/>
      <c r="AC654" s="68"/>
      <c r="AD654" s="68"/>
      <c r="AE654" s="68"/>
      <c r="AF654" s="68"/>
    </row>
    <row r="655" ht="14.25" customHeight="1" spans="4:32">
      <c r="D655" s="93"/>
      <c r="E655" s="94"/>
      <c r="F655" s="95"/>
      <c r="G655" s="96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  <c r="AA655" s="68"/>
      <c r="AB655" s="68"/>
      <c r="AC655" s="68"/>
      <c r="AD655" s="68"/>
      <c r="AE655" s="68"/>
      <c r="AF655" s="68"/>
    </row>
    <row r="656" ht="14.25" customHeight="1" spans="4:32">
      <c r="D656" s="93"/>
      <c r="E656" s="94"/>
      <c r="F656" s="95"/>
      <c r="G656" s="96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  <c r="AA656" s="68"/>
      <c r="AB656" s="68"/>
      <c r="AC656" s="68"/>
      <c r="AD656" s="68"/>
      <c r="AE656" s="68"/>
      <c r="AF656" s="68"/>
    </row>
    <row r="657" ht="14.25" customHeight="1" spans="4:32">
      <c r="D657" s="93"/>
      <c r="E657" s="94"/>
      <c r="F657" s="95"/>
      <c r="G657" s="96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  <c r="AA657" s="68"/>
      <c r="AB657" s="68"/>
      <c r="AC657" s="68"/>
      <c r="AD657" s="68"/>
      <c r="AE657" s="68"/>
      <c r="AF657" s="68"/>
    </row>
    <row r="658" ht="14.25" customHeight="1" spans="4:32">
      <c r="D658" s="93"/>
      <c r="E658" s="94"/>
      <c r="F658" s="95"/>
      <c r="G658" s="96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  <c r="AA658" s="68"/>
      <c r="AB658" s="68"/>
      <c r="AC658" s="68"/>
      <c r="AD658" s="68"/>
      <c r="AE658" s="68"/>
      <c r="AF658" s="68"/>
    </row>
    <row r="659" ht="14.25" customHeight="1" spans="4:32">
      <c r="D659" s="93"/>
      <c r="E659" s="94"/>
      <c r="F659" s="95"/>
      <c r="G659" s="96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  <c r="AA659" s="68"/>
      <c r="AB659" s="68"/>
      <c r="AC659" s="68"/>
      <c r="AD659" s="68"/>
      <c r="AE659" s="68"/>
      <c r="AF659" s="68"/>
    </row>
    <row r="660" ht="14.25" customHeight="1" spans="4:32">
      <c r="D660" s="93"/>
      <c r="E660" s="94"/>
      <c r="F660" s="95"/>
      <c r="G660" s="96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  <c r="AA660" s="68"/>
      <c r="AB660" s="68"/>
      <c r="AC660" s="68"/>
      <c r="AD660" s="68"/>
      <c r="AE660" s="68"/>
      <c r="AF660" s="68"/>
    </row>
    <row r="661" ht="14.25" customHeight="1" spans="4:32">
      <c r="D661" s="93"/>
      <c r="E661" s="94"/>
      <c r="F661" s="95"/>
      <c r="G661" s="96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  <c r="AA661" s="68"/>
      <c r="AB661" s="68"/>
      <c r="AC661" s="68"/>
      <c r="AD661" s="68"/>
      <c r="AE661" s="68"/>
      <c r="AF661" s="68"/>
    </row>
    <row r="662" ht="14.25" customHeight="1" spans="4:32">
      <c r="D662" s="93"/>
      <c r="E662" s="94"/>
      <c r="F662" s="95"/>
      <c r="G662" s="96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  <c r="AA662" s="68"/>
      <c r="AB662" s="68"/>
      <c r="AC662" s="68"/>
      <c r="AD662" s="68"/>
      <c r="AE662" s="68"/>
      <c r="AF662" s="68"/>
    </row>
    <row r="663" ht="14.25" customHeight="1" spans="4:32">
      <c r="D663" s="93"/>
      <c r="E663" s="94"/>
      <c r="F663" s="95"/>
      <c r="G663" s="96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  <c r="AA663" s="68"/>
      <c r="AB663" s="68"/>
      <c r="AC663" s="68"/>
      <c r="AD663" s="68"/>
      <c r="AE663" s="68"/>
      <c r="AF663" s="68"/>
    </row>
    <row r="664" ht="14.25" customHeight="1" spans="4:32">
      <c r="D664" s="93"/>
      <c r="E664" s="94"/>
      <c r="F664" s="95"/>
      <c r="G664" s="96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  <c r="AA664" s="68"/>
      <c r="AB664" s="68"/>
      <c r="AC664" s="68"/>
      <c r="AD664" s="68"/>
      <c r="AE664" s="68"/>
      <c r="AF664" s="68"/>
    </row>
    <row r="665" ht="14.25" customHeight="1" spans="4:32">
      <c r="D665" s="93"/>
      <c r="E665" s="94"/>
      <c r="F665" s="95"/>
      <c r="G665" s="96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  <c r="AA665" s="68"/>
      <c r="AB665" s="68"/>
      <c r="AC665" s="68"/>
      <c r="AD665" s="68"/>
      <c r="AE665" s="68"/>
      <c r="AF665" s="68"/>
    </row>
    <row r="666" ht="14.25" customHeight="1" spans="4:32">
      <c r="D666" s="93"/>
      <c r="E666" s="94"/>
      <c r="F666" s="95"/>
      <c r="G666" s="96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  <c r="AA666" s="68"/>
      <c r="AB666" s="68"/>
      <c r="AC666" s="68"/>
      <c r="AD666" s="68"/>
      <c r="AE666" s="68"/>
      <c r="AF666" s="68"/>
    </row>
    <row r="667" ht="14.25" customHeight="1" spans="4:32">
      <c r="D667" s="93"/>
      <c r="E667" s="94"/>
      <c r="F667" s="95"/>
      <c r="G667" s="96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  <c r="AA667" s="68"/>
      <c r="AB667" s="68"/>
      <c r="AC667" s="68"/>
      <c r="AD667" s="68"/>
      <c r="AE667" s="68"/>
      <c r="AF667" s="68"/>
    </row>
    <row r="668" ht="14.25" customHeight="1" spans="4:32">
      <c r="D668" s="93"/>
      <c r="E668" s="94"/>
      <c r="F668" s="95"/>
      <c r="G668" s="96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  <c r="AA668" s="68"/>
      <c r="AB668" s="68"/>
      <c r="AC668" s="68"/>
      <c r="AD668" s="68"/>
      <c r="AE668" s="68"/>
      <c r="AF668" s="68"/>
    </row>
    <row r="669" ht="14.25" customHeight="1" spans="4:32">
      <c r="D669" s="93"/>
      <c r="E669" s="94"/>
      <c r="F669" s="95"/>
      <c r="G669" s="96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  <c r="AA669" s="68"/>
      <c r="AB669" s="68"/>
      <c r="AC669" s="68"/>
      <c r="AD669" s="68"/>
      <c r="AE669" s="68"/>
      <c r="AF669" s="68"/>
    </row>
    <row r="670" ht="14.25" customHeight="1" spans="4:32">
      <c r="D670" s="93"/>
      <c r="E670" s="94"/>
      <c r="F670" s="95"/>
      <c r="G670" s="96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  <c r="AA670" s="68"/>
      <c r="AB670" s="68"/>
      <c r="AC670" s="68"/>
      <c r="AD670" s="68"/>
      <c r="AE670" s="68"/>
      <c r="AF670" s="68"/>
    </row>
    <row r="671" ht="14.25" customHeight="1" spans="4:32">
      <c r="D671" s="93"/>
      <c r="E671" s="94"/>
      <c r="F671" s="95"/>
      <c r="G671" s="96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  <c r="AA671" s="68"/>
      <c r="AB671" s="68"/>
      <c r="AC671" s="68"/>
      <c r="AD671" s="68"/>
      <c r="AE671" s="68"/>
      <c r="AF671" s="68"/>
    </row>
    <row r="672" ht="14.25" customHeight="1" spans="4:32">
      <c r="D672" s="93"/>
      <c r="E672" s="94"/>
      <c r="F672" s="95"/>
      <c r="G672" s="96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  <c r="AA672" s="68"/>
      <c r="AB672" s="68"/>
      <c r="AC672" s="68"/>
      <c r="AD672" s="68"/>
      <c r="AE672" s="68"/>
      <c r="AF672" s="68"/>
    </row>
    <row r="673" ht="14.25" customHeight="1" spans="4:32">
      <c r="D673" s="93"/>
      <c r="E673" s="94"/>
      <c r="F673" s="95"/>
      <c r="G673" s="96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  <c r="AA673" s="68"/>
      <c r="AB673" s="68"/>
      <c r="AC673" s="68"/>
      <c r="AD673" s="68"/>
      <c r="AE673" s="68"/>
      <c r="AF673" s="68"/>
    </row>
    <row r="674" ht="14.25" customHeight="1" spans="4:32">
      <c r="D674" s="93"/>
      <c r="E674" s="94"/>
      <c r="F674" s="95"/>
      <c r="G674" s="96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  <c r="AA674" s="68"/>
      <c r="AB674" s="68"/>
      <c r="AC674" s="68"/>
      <c r="AD674" s="68"/>
      <c r="AE674" s="68"/>
      <c r="AF674" s="68"/>
    </row>
    <row r="675" ht="14.25" customHeight="1" spans="4:32">
      <c r="D675" s="93"/>
      <c r="E675" s="94"/>
      <c r="F675" s="95"/>
      <c r="G675" s="96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  <c r="AA675" s="68"/>
      <c r="AB675" s="68"/>
      <c r="AC675" s="68"/>
      <c r="AD675" s="68"/>
      <c r="AE675" s="68"/>
      <c r="AF675" s="68"/>
    </row>
    <row r="676" ht="14.25" customHeight="1" spans="4:32">
      <c r="D676" s="93"/>
      <c r="E676" s="94"/>
      <c r="F676" s="95"/>
      <c r="G676" s="96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  <c r="AA676" s="68"/>
      <c r="AB676" s="68"/>
      <c r="AC676" s="68"/>
      <c r="AD676" s="68"/>
      <c r="AE676" s="68"/>
      <c r="AF676" s="68"/>
    </row>
    <row r="677" ht="14.25" customHeight="1" spans="4:32">
      <c r="D677" s="93"/>
      <c r="E677" s="94"/>
      <c r="F677" s="95"/>
      <c r="G677" s="96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  <c r="AA677" s="68"/>
      <c r="AB677" s="68"/>
      <c r="AC677" s="68"/>
      <c r="AD677" s="68"/>
      <c r="AE677" s="68"/>
      <c r="AF677" s="68"/>
    </row>
    <row r="678" ht="14.25" customHeight="1" spans="4:32">
      <c r="D678" s="93"/>
      <c r="E678" s="94"/>
      <c r="F678" s="95"/>
      <c r="G678" s="96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  <c r="AA678" s="68"/>
      <c r="AB678" s="68"/>
      <c r="AC678" s="68"/>
      <c r="AD678" s="68"/>
      <c r="AE678" s="68"/>
      <c r="AF678" s="68"/>
    </row>
    <row r="679" ht="14.25" customHeight="1" spans="4:32">
      <c r="D679" s="93"/>
      <c r="E679" s="94"/>
      <c r="F679" s="95"/>
      <c r="G679" s="96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  <c r="AA679" s="68"/>
      <c r="AB679" s="68"/>
      <c r="AC679" s="68"/>
      <c r="AD679" s="68"/>
      <c r="AE679" s="68"/>
      <c r="AF679" s="68"/>
    </row>
    <row r="680" ht="14.25" customHeight="1" spans="4:32">
      <c r="D680" s="93"/>
      <c r="E680" s="94"/>
      <c r="F680" s="95"/>
      <c r="G680" s="96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  <c r="AA680" s="68"/>
      <c r="AB680" s="68"/>
      <c r="AC680" s="68"/>
      <c r="AD680" s="68"/>
      <c r="AE680" s="68"/>
      <c r="AF680" s="68"/>
    </row>
    <row r="681" ht="14.25" customHeight="1" spans="4:32">
      <c r="D681" s="93"/>
      <c r="E681" s="94"/>
      <c r="F681" s="95"/>
      <c r="G681" s="96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  <c r="AA681" s="68"/>
      <c r="AB681" s="68"/>
      <c r="AC681" s="68"/>
      <c r="AD681" s="68"/>
      <c r="AE681" s="68"/>
      <c r="AF681" s="68"/>
    </row>
    <row r="682" ht="14.25" customHeight="1" spans="4:32">
      <c r="D682" s="93"/>
      <c r="E682" s="94"/>
      <c r="F682" s="95"/>
      <c r="G682" s="96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  <c r="AA682" s="68"/>
      <c r="AB682" s="68"/>
      <c r="AC682" s="68"/>
      <c r="AD682" s="68"/>
      <c r="AE682" s="68"/>
      <c r="AF682" s="68"/>
    </row>
    <row r="683" ht="14.25" customHeight="1" spans="4:32">
      <c r="D683" s="93"/>
      <c r="E683" s="94"/>
      <c r="F683" s="95"/>
      <c r="G683" s="96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  <c r="AA683" s="68"/>
      <c r="AB683" s="68"/>
      <c r="AC683" s="68"/>
      <c r="AD683" s="68"/>
      <c r="AE683" s="68"/>
      <c r="AF683" s="68"/>
    </row>
    <row r="684" ht="14.25" customHeight="1" spans="4:32">
      <c r="D684" s="93"/>
      <c r="E684" s="94"/>
      <c r="F684" s="95"/>
      <c r="G684" s="96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  <c r="AA684" s="68"/>
      <c r="AB684" s="68"/>
      <c r="AC684" s="68"/>
      <c r="AD684" s="68"/>
      <c r="AE684" s="68"/>
      <c r="AF684" s="68"/>
    </row>
    <row r="685" ht="14.25" customHeight="1" spans="4:32">
      <c r="D685" s="93"/>
      <c r="E685" s="94"/>
      <c r="F685" s="95"/>
      <c r="G685" s="96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  <c r="AA685" s="68"/>
      <c r="AB685" s="68"/>
      <c r="AC685" s="68"/>
      <c r="AD685" s="68"/>
      <c r="AE685" s="68"/>
      <c r="AF685" s="68"/>
    </row>
    <row r="686" ht="14.25" customHeight="1" spans="4:32">
      <c r="D686" s="93"/>
      <c r="E686" s="94"/>
      <c r="F686" s="95"/>
      <c r="G686" s="96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  <c r="AA686" s="68"/>
      <c r="AB686" s="68"/>
      <c r="AC686" s="68"/>
      <c r="AD686" s="68"/>
      <c r="AE686" s="68"/>
      <c r="AF686" s="68"/>
    </row>
    <row r="687" ht="14.25" customHeight="1" spans="4:32">
      <c r="D687" s="93"/>
      <c r="E687" s="94"/>
      <c r="F687" s="95"/>
      <c r="G687" s="96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  <c r="AA687" s="68"/>
      <c r="AB687" s="68"/>
      <c r="AC687" s="68"/>
      <c r="AD687" s="68"/>
      <c r="AE687" s="68"/>
      <c r="AF687" s="68"/>
    </row>
    <row r="688" ht="14.25" customHeight="1" spans="4:32">
      <c r="D688" s="93"/>
      <c r="E688" s="94"/>
      <c r="F688" s="95"/>
      <c r="G688" s="96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  <c r="AA688" s="68"/>
      <c r="AB688" s="68"/>
      <c r="AC688" s="68"/>
      <c r="AD688" s="68"/>
      <c r="AE688" s="68"/>
      <c r="AF688" s="68"/>
    </row>
    <row r="689" ht="14.25" customHeight="1" spans="4:32">
      <c r="D689" s="93"/>
      <c r="E689" s="94"/>
      <c r="F689" s="95"/>
      <c r="G689" s="96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  <c r="AA689" s="68"/>
      <c r="AB689" s="68"/>
      <c r="AC689" s="68"/>
      <c r="AD689" s="68"/>
      <c r="AE689" s="68"/>
      <c r="AF689" s="68"/>
    </row>
    <row r="690" ht="14.25" customHeight="1" spans="4:32">
      <c r="D690" s="93"/>
      <c r="E690" s="94"/>
      <c r="F690" s="95"/>
      <c r="G690" s="96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  <c r="AA690" s="68"/>
      <c r="AB690" s="68"/>
      <c r="AC690" s="68"/>
      <c r="AD690" s="68"/>
      <c r="AE690" s="68"/>
      <c r="AF690" s="68"/>
    </row>
    <row r="691" ht="14.25" customHeight="1" spans="4:32">
      <c r="D691" s="93"/>
      <c r="E691" s="94"/>
      <c r="F691" s="95"/>
      <c r="G691" s="96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  <c r="AA691" s="68"/>
      <c r="AB691" s="68"/>
      <c r="AC691" s="68"/>
      <c r="AD691" s="68"/>
      <c r="AE691" s="68"/>
      <c r="AF691" s="68"/>
    </row>
    <row r="692" ht="14.25" customHeight="1" spans="4:32">
      <c r="D692" s="93"/>
      <c r="E692" s="94"/>
      <c r="F692" s="95"/>
      <c r="G692" s="96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  <c r="AA692" s="68"/>
      <c r="AB692" s="68"/>
      <c r="AC692" s="68"/>
      <c r="AD692" s="68"/>
      <c r="AE692" s="68"/>
      <c r="AF692" s="68"/>
    </row>
    <row r="693" ht="14.25" customHeight="1" spans="4:32">
      <c r="D693" s="93"/>
      <c r="E693" s="94"/>
      <c r="F693" s="95"/>
      <c r="G693" s="96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  <c r="AA693" s="68"/>
      <c r="AB693" s="68"/>
      <c r="AC693" s="68"/>
      <c r="AD693" s="68"/>
      <c r="AE693" s="68"/>
      <c r="AF693" s="68"/>
    </row>
    <row r="694" ht="14.25" customHeight="1" spans="4:32">
      <c r="D694" s="93"/>
      <c r="E694" s="94"/>
      <c r="F694" s="95"/>
      <c r="G694" s="96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  <c r="AA694" s="68"/>
      <c r="AB694" s="68"/>
      <c r="AC694" s="68"/>
      <c r="AD694" s="68"/>
      <c r="AE694" s="68"/>
      <c r="AF694" s="68"/>
    </row>
    <row r="695" ht="14.25" customHeight="1" spans="4:32">
      <c r="D695" s="93"/>
      <c r="E695" s="94"/>
      <c r="F695" s="95"/>
      <c r="G695" s="96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  <c r="AA695" s="68"/>
      <c r="AB695" s="68"/>
      <c r="AC695" s="68"/>
      <c r="AD695" s="68"/>
      <c r="AE695" s="68"/>
      <c r="AF695" s="68"/>
    </row>
    <row r="696" ht="14.25" customHeight="1" spans="4:32">
      <c r="D696" s="93"/>
      <c r="E696" s="94"/>
      <c r="F696" s="95"/>
      <c r="G696" s="96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  <c r="AA696" s="68"/>
      <c r="AB696" s="68"/>
      <c r="AC696" s="68"/>
      <c r="AD696" s="68"/>
      <c r="AE696" s="68"/>
      <c r="AF696" s="68"/>
    </row>
    <row r="697" ht="14.25" customHeight="1" spans="4:32">
      <c r="D697" s="93"/>
      <c r="E697" s="94"/>
      <c r="F697" s="95"/>
      <c r="G697" s="96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  <c r="AA697" s="68"/>
      <c r="AB697" s="68"/>
      <c r="AC697" s="68"/>
      <c r="AD697" s="68"/>
      <c r="AE697" s="68"/>
      <c r="AF697" s="68"/>
    </row>
    <row r="698" ht="14.25" customHeight="1" spans="4:32">
      <c r="D698" s="93"/>
      <c r="E698" s="94"/>
      <c r="F698" s="95"/>
      <c r="G698" s="96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  <c r="AA698" s="68"/>
      <c r="AB698" s="68"/>
      <c r="AC698" s="68"/>
      <c r="AD698" s="68"/>
      <c r="AE698" s="68"/>
      <c r="AF698" s="68"/>
    </row>
    <row r="699" ht="14.25" customHeight="1" spans="4:32">
      <c r="D699" s="93"/>
      <c r="E699" s="94"/>
      <c r="F699" s="95"/>
      <c r="G699" s="96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  <c r="AA699" s="68"/>
      <c r="AB699" s="68"/>
      <c r="AC699" s="68"/>
      <c r="AD699" s="68"/>
      <c r="AE699" s="68"/>
      <c r="AF699" s="68"/>
    </row>
    <row r="700" ht="14.25" customHeight="1" spans="4:32">
      <c r="D700" s="93"/>
      <c r="E700" s="94"/>
      <c r="F700" s="95"/>
      <c r="G700" s="96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  <c r="AA700" s="68"/>
      <c r="AB700" s="68"/>
      <c r="AC700" s="68"/>
      <c r="AD700" s="68"/>
      <c r="AE700" s="68"/>
      <c r="AF700" s="68"/>
    </row>
    <row r="701" ht="14.25" customHeight="1" spans="4:32">
      <c r="D701" s="93"/>
      <c r="E701" s="94"/>
      <c r="F701" s="95"/>
      <c r="G701" s="96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  <c r="AA701" s="68"/>
      <c r="AB701" s="68"/>
      <c r="AC701" s="68"/>
      <c r="AD701" s="68"/>
      <c r="AE701" s="68"/>
      <c r="AF701" s="68"/>
    </row>
    <row r="702" ht="14.25" customHeight="1" spans="4:32">
      <c r="D702" s="93"/>
      <c r="E702" s="94"/>
      <c r="F702" s="95"/>
      <c r="G702" s="96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  <c r="AA702" s="68"/>
      <c r="AB702" s="68"/>
      <c r="AC702" s="68"/>
      <c r="AD702" s="68"/>
      <c r="AE702" s="68"/>
      <c r="AF702" s="68"/>
    </row>
    <row r="703" ht="14.25" customHeight="1" spans="4:32">
      <c r="D703" s="93"/>
      <c r="E703" s="94"/>
      <c r="F703" s="95"/>
      <c r="G703" s="96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  <c r="AA703" s="68"/>
      <c r="AB703" s="68"/>
      <c r="AC703" s="68"/>
      <c r="AD703" s="68"/>
      <c r="AE703" s="68"/>
      <c r="AF703" s="68"/>
    </row>
    <row r="704" ht="14.25" customHeight="1" spans="4:32">
      <c r="D704" s="93"/>
      <c r="E704" s="94"/>
      <c r="F704" s="95"/>
      <c r="G704" s="96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  <c r="AA704" s="68"/>
      <c r="AB704" s="68"/>
      <c r="AC704" s="68"/>
      <c r="AD704" s="68"/>
      <c r="AE704" s="68"/>
      <c r="AF704" s="68"/>
    </row>
    <row r="705" ht="14.25" customHeight="1" spans="4:32">
      <c r="D705" s="93"/>
      <c r="E705" s="94"/>
      <c r="F705" s="95"/>
      <c r="G705" s="96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  <c r="AA705" s="68"/>
      <c r="AB705" s="68"/>
      <c r="AC705" s="68"/>
      <c r="AD705" s="68"/>
      <c r="AE705" s="68"/>
      <c r="AF705" s="68"/>
    </row>
    <row r="706" ht="14.25" customHeight="1" spans="4:32">
      <c r="D706" s="93"/>
      <c r="E706" s="94"/>
      <c r="F706" s="95"/>
      <c r="G706" s="96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  <c r="AA706" s="68"/>
      <c r="AB706" s="68"/>
      <c r="AC706" s="68"/>
      <c r="AD706" s="68"/>
      <c r="AE706" s="68"/>
      <c r="AF706" s="68"/>
    </row>
    <row r="707" ht="14.25" customHeight="1" spans="4:32">
      <c r="D707" s="93"/>
      <c r="E707" s="94"/>
      <c r="F707" s="95"/>
      <c r="G707" s="96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  <c r="AA707" s="68"/>
      <c r="AB707" s="68"/>
      <c r="AC707" s="68"/>
      <c r="AD707" s="68"/>
      <c r="AE707" s="68"/>
      <c r="AF707" s="68"/>
    </row>
    <row r="708" ht="14.25" customHeight="1" spans="4:32">
      <c r="D708" s="93"/>
      <c r="E708" s="94"/>
      <c r="F708" s="95"/>
      <c r="G708" s="96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  <c r="AA708" s="68"/>
      <c r="AB708" s="68"/>
      <c r="AC708" s="68"/>
      <c r="AD708" s="68"/>
      <c r="AE708" s="68"/>
      <c r="AF708" s="68"/>
    </row>
    <row r="709" ht="14.25" customHeight="1" spans="4:32">
      <c r="D709" s="93"/>
      <c r="E709" s="94"/>
      <c r="F709" s="95"/>
      <c r="G709" s="96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  <c r="AA709" s="68"/>
      <c r="AB709" s="68"/>
      <c r="AC709" s="68"/>
      <c r="AD709" s="68"/>
      <c r="AE709" s="68"/>
      <c r="AF709" s="68"/>
    </row>
    <row r="710" ht="14.25" customHeight="1" spans="4:32">
      <c r="D710" s="93"/>
      <c r="E710" s="94"/>
      <c r="F710" s="95"/>
      <c r="G710" s="96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  <c r="AA710" s="68"/>
      <c r="AB710" s="68"/>
      <c r="AC710" s="68"/>
      <c r="AD710" s="68"/>
      <c r="AE710" s="68"/>
      <c r="AF710" s="68"/>
    </row>
    <row r="711" ht="14.25" customHeight="1" spans="4:32">
      <c r="D711" s="93"/>
      <c r="E711" s="94"/>
      <c r="F711" s="95"/>
      <c r="G711" s="96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  <c r="AA711" s="68"/>
      <c r="AB711" s="68"/>
      <c r="AC711" s="68"/>
      <c r="AD711" s="68"/>
      <c r="AE711" s="68"/>
      <c r="AF711" s="68"/>
    </row>
    <row r="712" ht="14.25" customHeight="1" spans="4:32">
      <c r="D712" s="93"/>
      <c r="E712" s="94"/>
      <c r="F712" s="95"/>
      <c r="G712" s="96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  <c r="AA712" s="68"/>
      <c r="AB712" s="68"/>
      <c r="AC712" s="68"/>
      <c r="AD712" s="68"/>
      <c r="AE712" s="68"/>
      <c r="AF712" s="68"/>
    </row>
    <row r="713" ht="14.25" customHeight="1" spans="4:32">
      <c r="D713" s="93"/>
      <c r="E713" s="94"/>
      <c r="F713" s="95"/>
      <c r="G713" s="96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  <c r="AA713" s="68"/>
      <c r="AB713" s="68"/>
      <c r="AC713" s="68"/>
      <c r="AD713" s="68"/>
      <c r="AE713" s="68"/>
      <c r="AF713" s="68"/>
    </row>
    <row r="714" ht="14.25" customHeight="1" spans="4:32">
      <c r="D714" s="93"/>
      <c r="E714" s="94"/>
      <c r="F714" s="95"/>
      <c r="G714" s="96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  <c r="AA714" s="68"/>
      <c r="AB714" s="68"/>
      <c r="AC714" s="68"/>
      <c r="AD714" s="68"/>
      <c r="AE714" s="68"/>
      <c r="AF714" s="68"/>
    </row>
    <row r="715" ht="14.25" customHeight="1" spans="4:32">
      <c r="D715" s="93"/>
      <c r="E715" s="94"/>
      <c r="F715" s="95"/>
      <c r="G715" s="96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  <c r="AA715" s="68"/>
      <c r="AB715" s="68"/>
      <c r="AC715" s="68"/>
      <c r="AD715" s="68"/>
      <c r="AE715" s="68"/>
      <c r="AF715" s="68"/>
    </row>
    <row r="716" ht="14.25" customHeight="1" spans="4:32">
      <c r="D716" s="93"/>
      <c r="E716" s="94"/>
      <c r="F716" s="95"/>
      <c r="G716" s="96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  <c r="AA716" s="68"/>
      <c r="AB716" s="68"/>
      <c r="AC716" s="68"/>
      <c r="AD716" s="68"/>
      <c r="AE716" s="68"/>
      <c r="AF716" s="68"/>
    </row>
    <row r="717" ht="14.25" customHeight="1" spans="4:32">
      <c r="D717" s="93"/>
      <c r="E717" s="94"/>
      <c r="F717" s="95"/>
      <c r="G717" s="96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  <c r="AA717" s="68"/>
      <c r="AB717" s="68"/>
      <c r="AC717" s="68"/>
      <c r="AD717" s="68"/>
      <c r="AE717" s="68"/>
      <c r="AF717" s="68"/>
    </row>
    <row r="718" ht="14.25" customHeight="1" spans="4:32">
      <c r="D718" s="93"/>
      <c r="E718" s="94"/>
      <c r="F718" s="95"/>
      <c r="G718" s="96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  <c r="AA718" s="68"/>
      <c r="AB718" s="68"/>
      <c r="AC718" s="68"/>
      <c r="AD718" s="68"/>
      <c r="AE718" s="68"/>
      <c r="AF718" s="68"/>
    </row>
    <row r="719" ht="14.25" customHeight="1" spans="4:32">
      <c r="D719" s="93"/>
      <c r="E719" s="94"/>
      <c r="F719" s="95"/>
      <c r="G719" s="96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  <c r="AA719" s="68"/>
      <c r="AB719" s="68"/>
      <c r="AC719" s="68"/>
      <c r="AD719" s="68"/>
      <c r="AE719" s="68"/>
      <c r="AF719" s="68"/>
    </row>
    <row r="720" ht="14.25" customHeight="1" spans="4:32">
      <c r="D720" s="93"/>
      <c r="E720" s="94"/>
      <c r="F720" s="95"/>
      <c r="G720" s="96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  <c r="AA720" s="68"/>
      <c r="AB720" s="68"/>
      <c r="AC720" s="68"/>
      <c r="AD720" s="68"/>
      <c r="AE720" s="68"/>
      <c r="AF720" s="68"/>
    </row>
    <row r="721" ht="14.25" customHeight="1" spans="4:32">
      <c r="D721" s="93"/>
      <c r="E721" s="94"/>
      <c r="F721" s="95"/>
      <c r="G721" s="96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  <c r="AA721" s="68"/>
      <c r="AB721" s="68"/>
      <c r="AC721" s="68"/>
      <c r="AD721" s="68"/>
      <c r="AE721" s="68"/>
      <c r="AF721" s="68"/>
    </row>
    <row r="722" ht="14.25" customHeight="1" spans="4:32">
      <c r="D722" s="93"/>
      <c r="E722" s="94"/>
      <c r="F722" s="95"/>
      <c r="G722" s="96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  <c r="AA722" s="68"/>
      <c r="AB722" s="68"/>
      <c r="AC722" s="68"/>
      <c r="AD722" s="68"/>
      <c r="AE722" s="68"/>
      <c r="AF722" s="68"/>
    </row>
    <row r="723" ht="14.25" customHeight="1" spans="4:32">
      <c r="D723" s="93"/>
      <c r="E723" s="94"/>
      <c r="F723" s="95"/>
      <c r="G723" s="96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  <c r="AA723" s="68"/>
      <c r="AB723" s="68"/>
      <c r="AC723" s="68"/>
      <c r="AD723" s="68"/>
      <c r="AE723" s="68"/>
      <c r="AF723" s="68"/>
    </row>
    <row r="724" ht="14.25" customHeight="1" spans="4:32">
      <c r="D724" s="93"/>
      <c r="E724" s="94"/>
      <c r="F724" s="95"/>
      <c r="G724" s="96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  <c r="AA724" s="68"/>
      <c r="AB724" s="68"/>
      <c r="AC724" s="68"/>
      <c r="AD724" s="68"/>
      <c r="AE724" s="68"/>
      <c r="AF724" s="68"/>
    </row>
    <row r="725" ht="14.25" customHeight="1" spans="4:32">
      <c r="D725" s="93"/>
      <c r="E725" s="94"/>
      <c r="F725" s="95"/>
      <c r="G725" s="96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  <c r="AA725" s="68"/>
      <c r="AB725" s="68"/>
      <c r="AC725" s="68"/>
      <c r="AD725" s="68"/>
      <c r="AE725" s="68"/>
      <c r="AF725" s="68"/>
    </row>
    <row r="726" ht="14.25" customHeight="1" spans="4:32">
      <c r="D726" s="93"/>
      <c r="E726" s="94"/>
      <c r="F726" s="95"/>
      <c r="G726" s="96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  <c r="AA726" s="68"/>
      <c r="AB726" s="68"/>
      <c r="AC726" s="68"/>
      <c r="AD726" s="68"/>
      <c r="AE726" s="68"/>
      <c r="AF726" s="68"/>
    </row>
    <row r="727" ht="14.25" customHeight="1" spans="4:32">
      <c r="D727" s="93"/>
      <c r="E727" s="94"/>
      <c r="F727" s="95"/>
      <c r="G727" s="96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  <c r="AA727" s="68"/>
      <c r="AB727" s="68"/>
      <c r="AC727" s="68"/>
      <c r="AD727" s="68"/>
      <c r="AE727" s="68"/>
      <c r="AF727" s="68"/>
    </row>
    <row r="728" ht="14.25" customHeight="1" spans="4:32">
      <c r="D728" s="93"/>
      <c r="E728" s="94"/>
      <c r="F728" s="95"/>
      <c r="G728" s="96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  <c r="AA728" s="68"/>
      <c r="AB728" s="68"/>
      <c r="AC728" s="68"/>
      <c r="AD728" s="68"/>
      <c r="AE728" s="68"/>
      <c r="AF728" s="68"/>
    </row>
    <row r="729" ht="14.25" customHeight="1" spans="4:32">
      <c r="D729" s="93"/>
      <c r="E729" s="94"/>
      <c r="F729" s="95"/>
      <c r="G729" s="96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  <c r="AA729" s="68"/>
      <c r="AB729" s="68"/>
      <c r="AC729" s="68"/>
      <c r="AD729" s="68"/>
      <c r="AE729" s="68"/>
      <c r="AF729" s="68"/>
    </row>
    <row r="730" ht="14.25" customHeight="1" spans="4:32">
      <c r="D730" s="93"/>
      <c r="E730" s="94"/>
      <c r="F730" s="95"/>
      <c r="G730" s="96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  <c r="AA730" s="68"/>
      <c r="AB730" s="68"/>
      <c r="AC730" s="68"/>
      <c r="AD730" s="68"/>
      <c r="AE730" s="68"/>
      <c r="AF730" s="68"/>
    </row>
    <row r="731" ht="14.25" customHeight="1" spans="4:32">
      <c r="D731" s="93"/>
      <c r="E731" s="94"/>
      <c r="F731" s="95"/>
      <c r="G731" s="96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  <c r="AA731" s="68"/>
      <c r="AB731" s="68"/>
      <c r="AC731" s="68"/>
      <c r="AD731" s="68"/>
      <c r="AE731" s="68"/>
      <c r="AF731" s="68"/>
    </row>
    <row r="732" ht="14.25" customHeight="1" spans="4:32">
      <c r="D732" s="93"/>
      <c r="E732" s="94"/>
      <c r="F732" s="95"/>
      <c r="G732" s="96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  <c r="AA732" s="68"/>
      <c r="AB732" s="68"/>
      <c r="AC732" s="68"/>
      <c r="AD732" s="68"/>
      <c r="AE732" s="68"/>
      <c r="AF732" s="68"/>
    </row>
    <row r="733" ht="14.25" customHeight="1" spans="4:32">
      <c r="D733" s="93"/>
      <c r="E733" s="94"/>
      <c r="F733" s="95"/>
      <c r="G733" s="96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  <c r="AA733" s="68"/>
      <c r="AB733" s="68"/>
      <c r="AC733" s="68"/>
      <c r="AD733" s="68"/>
      <c r="AE733" s="68"/>
      <c r="AF733" s="68"/>
    </row>
    <row r="734" ht="14.25" customHeight="1" spans="4:32">
      <c r="D734" s="93"/>
      <c r="E734" s="94"/>
      <c r="F734" s="95"/>
      <c r="G734" s="96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  <c r="AA734" s="68"/>
      <c r="AB734" s="68"/>
      <c r="AC734" s="68"/>
      <c r="AD734" s="68"/>
      <c r="AE734" s="68"/>
      <c r="AF734" s="68"/>
    </row>
    <row r="735" ht="14.25" customHeight="1" spans="4:32">
      <c r="D735" s="93"/>
      <c r="E735" s="94"/>
      <c r="F735" s="95"/>
      <c r="G735" s="96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  <c r="AA735" s="68"/>
      <c r="AB735" s="68"/>
      <c r="AC735" s="68"/>
      <c r="AD735" s="68"/>
      <c r="AE735" s="68"/>
      <c r="AF735" s="68"/>
    </row>
    <row r="736" ht="14.25" customHeight="1" spans="4:32">
      <c r="D736" s="93"/>
      <c r="E736" s="94"/>
      <c r="F736" s="95"/>
      <c r="G736" s="96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  <c r="AA736" s="68"/>
      <c r="AB736" s="68"/>
      <c r="AC736" s="68"/>
      <c r="AD736" s="68"/>
      <c r="AE736" s="68"/>
      <c r="AF736" s="68"/>
    </row>
    <row r="737" ht="14.25" customHeight="1" spans="4:32">
      <c r="D737" s="93"/>
      <c r="E737" s="94"/>
      <c r="F737" s="95"/>
      <c r="G737" s="96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  <c r="AA737" s="68"/>
      <c r="AB737" s="68"/>
      <c r="AC737" s="68"/>
      <c r="AD737" s="68"/>
      <c r="AE737" s="68"/>
      <c r="AF737" s="68"/>
    </row>
    <row r="738" ht="14.25" customHeight="1" spans="4:32">
      <c r="D738" s="93"/>
      <c r="E738" s="94"/>
      <c r="F738" s="95"/>
      <c r="G738" s="96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  <c r="AA738" s="68"/>
      <c r="AB738" s="68"/>
      <c r="AC738" s="68"/>
      <c r="AD738" s="68"/>
      <c r="AE738" s="68"/>
      <c r="AF738" s="68"/>
    </row>
    <row r="739" ht="14.25" customHeight="1" spans="4:32">
      <c r="D739" s="93"/>
      <c r="E739" s="94"/>
      <c r="F739" s="95"/>
      <c r="G739" s="96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  <c r="AA739" s="68"/>
      <c r="AB739" s="68"/>
      <c r="AC739" s="68"/>
      <c r="AD739" s="68"/>
      <c r="AE739" s="68"/>
      <c r="AF739" s="68"/>
    </row>
    <row r="740" ht="14.25" customHeight="1" spans="4:32">
      <c r="D740" s="93"/>
      <c r="E740" s="94"/>
      <c r="F740" s="95"/>
      <c r="G740" s="96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  <c r="AA740" s="68"/>
      <c r="AB740" s="68"/>
      <c r="AC740" s="68"/>
      <c r="AD740" s="68"/>
      <c r="AE740" s="68"/>
      <c r="AF740" s="68"/>
    </row>
    <row r="741" ht="14.25" customHeight="1" spans="4:32">
      <c r="D741" s="93"/>
      <c r="E741" s="94"/>
      <c r="F741" s="95"/>
      <c r="G741" s="96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  <c r="AA741" s="68"/>
      <c r="AB741" s="68"/>
      <c r="AC741" s="68"/>
      <c r="AD741" s="68"/>
      <c r="AE741" s="68"/>
      <c r="AF741" s="68"/>
    </row>
    <row r="742" ht="14.25" customHeight="1" spans="4:32">
      <c r="D742" s="93"/>
      <c r="E742" s="94"/>
      <c r="F742" s="95"/>
      <c r="G742" s="96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  <c r="AA742" s="68"/>
      <c r="AB742" s="68"/>
      <c r="AC742" s="68"/>
      <c r="AD742" s="68"/>
      <c r="AE742" s="68"/>
      <c r="AF742" s="68"/>
    </row>
    <row r="743" ht="14.25" customHeight="1" spans="4:32">
      <c r="D743" s="93"/>
      <c r="E743" s="94"/>
      <c r="F743" s="95"/>
      <c r="G743" s="96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  <c r="AA743" s="68"/>
      <c r="AB743" s="68"/>
      <c r="AC743" s="68"/>
      <c r="AD743" s="68"/>
      <c r="AE743" s="68"/>
      <c r="AF743" s="68"/>
    </row>
    <row r="744" ht="14.25" customHeight="1" spans="4:32">
      <c r="D744" s="93"/>
      <c r="E744" s="94"/>
      <c r="F744" s="95"/>
      <c r="G744" s="96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  <c r="AA744" s="68"/>
      <c r="AB744" s="68"/>
      <c r="AC744" s="68"/>
      <c r="AD744" s="68"/>
      <c r="AE744" s="68"/>
      <c r="AF744" s="68"/>
    </row>
    <row r="745" ht="14.25" customHeight="1" spans="4:32">
      <c r="D745" s="93"/>
      <c r="E745" s="94"/>
      <c r="F745" s="95"/>
      <c r="G745" s="96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  <c r="AA745" s="68"/>
      <c r="AB745" s="68"/>
      <c r="AC745" s="68"/>
      <c r="AD745" s="68"/>
      <c r="AE745" s="68"/>
      <c r="AF745" s="68"/>
    </row>
    <row r="746" ht="14.25" customHeight="1" spans="4:32">
      <c r="D746" s="93"/>
      <c r="E746" s="94"/>
      <c r="F746" s="95"/>
      <c r="G746" s="96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  <c r="AA746" s="68"/>
      <c r="AB746" s="68"/>
      <c r="AC746" s="68"/>
      <c r="AD746" s="68"/>
      <c r="AE746" s="68"/>
      <c r="AF746" s="68"/>
    </row>
    <row r="747" ht="14.25" customHeight="1" spans="4:32">
      <c r="D747" s="93"/>
      <c r="E747" s="94"/>
      <c r="F747" s="95"/>
      <c r="G747" s="96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  <c r="AA747" s="68"/>
      <c r="AB747" s="68"/>
      <c r="AC747" s="68"/>
      <c r="AD747" s="68"/>
      <c r="AE747" s="68"/>
      <c r="AF747" s="68"/>
    </row>
    <row r="748" ht="14.25" customHeight="1" spans="4:32">
      <c r="D748" s="93"/>
      <c r="E748" s="94"/>
      <c r="F748" s="95"/>
      <c r="G748" s="96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  <c r="AA748" s="68"/>
      <c r="AB748" s="68"/>
      <c r="AC748" s="68"/>
      <c r="AD748" s="68"/>
      <c r="AE748" s="68"/>
      <c r="AF748" s="68"/>
    </row>
    <row r="749" ht="14.25" customHeight="1" spans="4:32">
      <c r="D749" s="93"/>
      <c r="E749" s="94"/>
      <c r="F749" s="95"/>
      <c r="G749" s="96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  <c r="AA749" s="68"/>
      <c r="AB749" s="68"/>
      <c r="AC749" s="68"/>
      <c r="AD749" s="68"/>
      <c r="AE749" s="68"/>
      <c r="AF749" s="68"/>
    </row>
    <row r="750" ht="14.25" customHeight="1" spans="4:32">
      <c r="D750" s="93"/>
      <c r="E750" s="94"/>
      <c r="F750" s="95"/>
      <c r="G750" s="96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  <c r="AA750" s="68"/>
      <c r="AB750" s="68"/>
      <c r="AC750" s="68"/>
      <c r="AD750" s="68"/>
      <c r="AE750" s="68"/>
      <c r="AF750" s="68"/>
    </row>
    <row r="751" ht="14.25" customHeight="1" spans="4:32">
      <c r="D751" s="93"/>
      <c r="E751" s="94"/>
      <c r="F751" s="95"/>
      <c r="G751" s="96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  <c r="AA751" s="68"/>
      <c r="AB751" s="68"/>
      <c r="AC751" s="68"/>
      <c r="AD751" s="68"/>
      <c r="AE751" s="68"/>
      <c r="AF751" s="68"/>
    </row>
    <row r="752" ht="14.25" customHeight="1" spans="4:32">
      <c r="D752" s="93"/>
      <c r="E752" s="94"/>
      <c r="F752" s="95"/>
      <c r="G752" s="96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  <c r="AA752" s="68"/>
      <c r="AB752" s="68"/>
      <c r="AC752" s="68"/>
      <c r="AD752" s="68"/>
      <c r="AE752" s="68"/>
      <c r="AF752" s="68"/>
    </row>
    <row r="753" ht="14.25" customHeight="1" spans="4:32">
      <c r="D753" s="93"/>
      <c r="E753" s="94"/>
      <c r="F753" s="95"/>
      <c r="G753" s="96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  <c r="AA753" s="68"/>
      <c r="AB753" s="68"/>
      <c r="AC753" s="68"/>
      <c r="AD753" s="68"/>
      <c r="AE753" s="68"/>
      <c r="AF753" s="68"/>
    </row>
    <row r="754" ht="14.25" customHeight="1" spans="4:32">
      <c r="D754" s="93"/>
      <c r="E754" s="94"/>
      <c r="F754" s="95"/>
      <c r="G754" s="96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  <c r="AA754" s="68"/>
      <c r="AB754" s="68"/>
      <c r="AC754" s="68"/>
      <c r="AD754" s="68"/>
      <c r="AE754" s="68"/>
      <c r="AF754" s="68"/>
    </row>
    <row r="755" ht="14.25" customHeight="1" spans="4:32">
      <c r="D755" s="93"/>
      <c r="E755" s="94"/>
      <c r="F755" s="95"/>
      <c r="G755" s="96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  <c r="AA755" s="68"/>
      <c r="AB755" s="68"/>
      <c r="AC755" s="68"/>
      <c r="AD755" s="68"/>
      <c r="AE755" s="68"/>
      <c r="AF755" s="68"/>
    </row>
    <row r="756" ht="14.25" customHeight="1" spans="4:32">
      <c r="D756" s="93"/>
      <c r="E756" s="94"/>
      <c r="F756" s="95"/>
      <c r="G756" s="96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  <c r="AA756" s="68"/>
      <c r="AB756" s="68"/>
      <c r="AC756" s="68"/>
      <c r="AD756" s="68"/>
      <c r="AE756" s="68"/>
      <c r="AF756" s="68"/>
    </row>
    <row r="757" ht="14.25" customHeight="1" spans="4:32">
      <c r="D757" s="93"/>
      <c r="E757" s="94"/>
      <c r="F757" s="95"/>
      <c r="G757" s="96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  <c r="AA757" s="68"/>
      <c r="AB757" s="68"/>
      <c r="AC757" s="68"/>
      <c r="AD757" s="68"/>
      <c r="AE757" s="68"/>
      <c r="AF757" s="68"/>
    </row>
    <row r="758" ht="14.25" customHeight="1" spans="4:32">
      <c r="D758" s="93"/>
      <c r="E758" s="94"/>
      <c r="F758" s="95"/>
      <c r="G758" s="96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  <c r="AA758" s="68"/>
      <c r="AB758" s="68"/>
      <c r="AC758" s="68"/>
      <c r="AD758" s="68"/>
      <c r="AE758" s="68"/>
      <c r="AF758" s="68"/>
    </row>
    <row r="759" ht="14.25" customHeight="1" spans="4:32">
      <c r="D759" s="93"/>
      <c r="E759" s="94"/>
      <c r="F759" s="95"/>
      <c r="G759" s="96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  <c r="AA759" s="68"/>
      <c r="AB759" s="68"/>
      <c r="AC759" s="68"/>
      <c r="AD759" s="68"/>
      <c r="AE759" s="68"/>
      <c r="AF759" s="68"/>
    </row>
    <row r="760" ht="14.25" customHeight="1" spans="4:32">
      <c r="D760" s="93"/>
      <c r="E760" s="94"/>
      <c r="F760" s="95"/>
      <c r="G760" s="96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  <c r="AA760" s="68"/>
      <c r="AB760" s="68"/>
      <c r="AC760" s="68"/>
      <c r="AD760" s="68"/>
      <c r="AE760" s="68"/>
      <c r="AF760" s="68"/>
    </row>
    <row r="761" ht="14.25" customHeight="1" spans="4:32">
      <c r="D761" s="93"/>
      <c r="E761" s="94"/>
      <c r="F761" s="95"/>
      <c r="G761" s="96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  <c r="AA761" s="68"/>
      <c r="AB761" s="68"/>
      <c r="AC761" s="68"/>
      <c r="AD761" s="68"/>
      <c r="AE761" s="68"/>
      <c r="AF761" s="68"/>
    </row>
    <row r="762" ht="14.25" customHeight="1" spans="4:32">
      <c r="D762" s="93"/>
      <c r="E762" s="94"/>
      <c r="F762" s="95"/>
      <c r="G762" s="96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  <c r="AA762" s="68"/>
      <c r="AB762" s="68"/>
      <c r="AC762" s="68"/>
      <c r="AD762" s="68"/>
      <c r="AE762" s="68"/>
      <c r="AF762" s="68"/>
    </row>
    <row r="763" ht="14.25" customHeight="1" spans="4:32">
      <c r="D763" s="93"/>
      <c r="E763" s="94"/>
      <c r="F763" s="95"/>
      <c r="G763" s="96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  <c r="AA763" s="68"/>
      <c r="AB763" s="68"/>
      <c r="AC763" s="68"/>
      <c r="AD763" s="68"/>
      <c r="AE763" s="68"/>
      <c r="AF763" s="68"/>
    </row>
    <row r="764" ht="14.25" customHeight="1" spans="4:32">
      <c r="D764" s="93"/>
      <c r="E764" s="94"/>
      <c r="F764" s="95"/>
      <c r="G764" s="96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  <c r="AA764" s="68"/>
      <c r="AB764" s="68"/>
      <c r="AC764" s="68"/>
      <c r="AD764" s="68"/>
      <c r="AE764" s="68"/>
      <c r="AF764" s="68"/>
    </row>
    <row r="765" ht="14.25" customHeight="1" spans="4:32">
      <c r="D765" s="93"/>
      <c r="E765" s="94"/>
      <c r="F765" s="95"/>
      <c r="G765" s="96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  <c r="AA765" s="68"/>
      <c r="AB765" s="68"/>
      <c r="AC765" s="68"/>
      <c r="AD765" s="68"/>
      <c r="AE765" s="68"/>
      <c r="AF765" s="68"/>
    </row>
    <row r="766" ht="14.25" customHeight="1" spans="4:32">
      <c r="D766" s="93"/>
      <c r="E766" s="94"/>
      <c r="F766" s="95"/>
      <c r="G766" s="96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  <c r="AA766" s="68"/>
      <c r="AB766" s="68"/>
      <c r="AC766" s="68"/>
      <c r="AD766" s="68"/>
      <c r="AE766" s="68"/>
      <c r="AF766" s="68"/>
    </row>
    <row r="767" ht="14.25" customHeight="1" spans="4:32">
      <c r="D767" s="93"/>
      <c r="E767" s="94"/>
      <c r="F767" s="95"/>
      <c r="G767" s="96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  <c r="AA767" s="68"/>
      <c r="AB767" s="68"/>
      <c r="AC767" s="68"/>
      <c r="AD767" s="68"/>
      <c r="AE767" s="68"/>
      <c r="AF767" s="68"/>
    </row>
    <row r="768" ht="14.25" customHeight="1" spans="4:32">
      <c r="D768" s="93"/>
      <c r="E768" s="94"/>
      <c r="F768" s="95"/>
      <c r="G768" s="96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  <c r="AA768" s="68"/>
      <c r="AB768" s="68"/>
      <c r="AC768" s="68"/>
      <c r="AD768" s="68"/>
      <c r="AE768" s="68"/>
      <c r="AF768" s="68"/>
    </row>
    <row r="769" ht="14.25" customHeight="1" spans="4:32">
      <c r="D769" s="93"/>
      <c r="E769" s="94"/>
      <c r="F769" s="95"/>
      <c r="G769" s="96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  <c r="AA769" s="68"/>
      <c r="AB769" s="68"/>
      <c r="AC769" s="68"/>
      <c r="AD769" s="68"/>
      <c r="AE769" s="68"/>
      <c r="AF769" s="68"/>
    </row>
    <row r="770" ht="14.25" customHeight="1" spans="4:32">
      <c r="D770" s="93"/>
      <c r="E770" s="94"/>
      <c r="F770" s="95"/>
      <c r="G770" s="96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  <c r="AA770" s="68"/>
      <c r="AB770" s="68"/>
      <c r="AC770" s="68"/>
      <c r="AD770" s="68"/>
      <c r="AE770" s="68"/>
      <c r="AF770" s="68"/>
    </row>
    <row r="771" ht="14.25" customHeight="1" spans="4:32">
      <c r="D771" s="93"/>
      <c r="E771" s="94"/>
      <c r="F771" s="95"/>
      <c r="G771" s="96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  <c r="AA771" s="68"/>
      <c r="AB771" s="68"/>
      <c r="AC771" s="68"/>
      <c r="AD771" s="68"/>
      <c r="AE771" s="68"/>
      <c r="AF771" s="68"/>
    </row>
    <row r="772" ht="14.25" customHeight="1" spans="4:32">
      <c r="D772" s="93"/>
      <c r="E772" s="94"/>
      <c r="F772" s="95"/>
      <c r="G772" s="96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  <c r="AA772" s="68"/>
      <c r="AB772" s="68"/>
      <c r="AC772" s="68"/>
      <c r="AD772" s="68"/>
      <c r="AE772" s="68"/>
      <c r="AF772" s="68"/>
    </row>
    <row r="773" ht="14.25" customHeight="1" spans="4:32">
      <c r="D773" s="93"/>
      <c r="E773" s="94"/>
      <c r="F773" s="95"/>
      <c r="G773" s="96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  <c r="AA773" s="68"/>
      <c r="AB773" s="68"/>
      <c r="AC773" s="68"/>
      <c r="AD773" s="68"/>
      <c r="AE773" s="68"/>
      <c r="AF773" s="68"/>
    </row>
    <row r="774" ht="14.25" customHeight="1" spans="4:32">
      <c r="D774" s="93"/>
      <c r="E774" s="94"/>
      <c r="F774" s="95"/>
      <c r="G774" s="96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  <c r="AA774" s="68"/>
      <c r="AB774" s="68"/>
      <c r="AC774" s="68"/>
      <c r="AD774" s="68"/>
      <c r="AE774" s="68"/>
      <c r="AF774" s="68"/>
    </row>
    <row r="775" ht="14.25" customHeight="1" spans="4:32">
      <c r="D775" s="93"/>
      <c r="E775" s="94"/>
      <c r="F775" s="95"/>
      <c r="G775" s="96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  <c r="AA775" s="68"/>
      <c r="AB775" s="68"/>
      <c r="AC775" s="68"/>
      <c r="AD775" s="68"/>
      <c r="AE775" s="68"/>
      <c r="AF775" s="68"/>
    </row>
    <row r="776" ht="14.25" customHeight="1" spans="4:32">
      <c r="D776" s="93"/>
      <c r="E776" s="94"/>
      <c r="F776" s="95"/>
      <c r="G776" s="96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  <c r="AA776" s="68"/>
      <c r="AB776" s="68"/>
      <c r="AC776" s="68"/>
      <c r="AD776" s="68"/>
      <c r="AE776" s="68"/>
      <c r="AF776" s="68"/>
    </row>
    <row r="777" ht="14.25" customHeight="1" spans="4:32">
      <c r="D777" s="93"/>
      <c r="E777" s="94"/>
      <c r="F777" s="95"/>
      <c r="G777" s="96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  <c r="AA777" s="68"/>
      <c r="AB777" s="68"/>
      <c r="AC777" s="68"/>
      <c r="AD777" s="68"/>
      <c r="AE777" s="68"/>
      <c r="AF777" s="68"/>
    </row>
    <row r="778" ht="14.25" customHeight="1" spans="4:32">
      <c r="D778" s="93"/>
      <c r="E778" s="94"/>
      <c r="F778" s="95"/>
      <c r="G778" s="96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  <c r="AA778" s="68"/>
      <c r="AB778" s="68"/>
      <c r="AC778" s="68"/>
      <c r="AD778" s="68"/>
      <c r="AE778" s="68"/>
      <c r="AF778" s="68"/>
    </row>
    <row r="779" ht="14.25" customHeight="1" spans="4:32">
      <c r="D779" s="93"/>
      <c r="E779" s="94"/>
      <c r="F779" s="95"/>
      <c r="G779" s="96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  <c r="AA779" s="68"/>
      <c r="AB779" s="68"/>
      <c r="AC779" s="68"/>
      <c r="AD779" s="68"/>
      <c r="AE779" s="68"/>
      <c r="AF779" s="68"/>
    </row>
    <row r="780" ht="14.25" customHeight="1" spans="4:32">
      <c r="D780" s="93"/>
      <c r="E780" s="94"/>
      <c r="F780" s="95"/>
      <c r="G780" s="96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  <c r="AA780" s="68"/>
      <c r="AB780" s="68"/>
      <c r="AC780" s="68"/>
      <c r="AD780" s="68"/>
      <c r="AE780" s="68"/>
      <c r="AF780" s="68"/>
    </row>
    <row r="781" ht="14.25" customHeight="1" spans="4:32">
      <c r="D781" s="93"/>
      <c r="E781" s="94"/>
      <c r="F781" s="95"/>
      <c r="G781" s="96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  <c r="AA781" s="68"/>
      <c r="AB781" s="68"/>
      <c r="AC781" s="68"/>
      <c r="AD781" s="68"/>
      <c r="AE781" s="68"/>
      <c r="AF781" s="68"/>
    </row>
    <row r="782" ht="14.25" customHeight="1" spans="4:32">
      <c r="D782" s="93"/>
      <c r="E782" s="94"/>
      <c r="F782" s="95"/>
      <c r="G782" s="96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  <c r="AA782" s="68"/>
      <c r="AB782" s="68"/>
      <c r="AC782" s="68"/>
      <c r="AD782" s="68"/>
      <c r="AE782" s="68"/>
      <c r="AF782" s="68"/>
    </row>
    <row r="783" ht="14.25" customHeight="1" spans="4:32">
      <c r="D783" s="93"/>
      <c r="E783" s="94"/>
      <c r="F783" s="95"/>
      <c r="G783" s="96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  <c r="AA783" s="68"/>
      <c r="AB783" s="68"/>
      <c r="AC783" s="68"/>
      <c r="AD783" s="68"/>
      <c r="AE783" s="68"/>
      <c r="AF783" s="68"/>
    </row>
    <row r="784" ht="14.25" customHeight="1" spans="4:32">
      <c r="D784" s="93"/>
      <c r="E784" s="94"/>
      <c r="F784" s="95"/>
      <c r="G784" s="96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  <c r="AA784" s="68"/>
      <c r="AB784" s="68"/>
      <c r="AC784" s="68"/>
      <c r="AD784" s="68"/>
      <c r="AE784" s="68"/>
      <c r="AF784" s="68"/>
    </row>
    <row r="785" ht="14.25" customHeight="1" spans="4:32">
      <c r="D785" s="93"/>
      <c r="E785" s="94"/>
      <c r="F785" s="95"/>
      <c r="G785" s="96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  <c r="AA785" s="68"/>
      <c r="AB785" s="68"/>
      <c r="AC785" s="68"/>
      <c r="AD785" s="68"/>
      <c r="AE785" s="68"/>
      <c r="AF785" s="68"/>
    </row>
    <row r="786" ht="14.25" customHeight="1" spans="4:32">
      <c r="D786" s="93"/>
      <c r="E786" s="94"/>
      <c r="F786" s="95"/>
      <c r="G786" s="96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  <c r="AA786" s="68"/>
      <c r="AB786" s="68"/>
      <c r="AC786" s="68"/>
      <c r="AD786" s="68"/>
      <c r="AE786" s="68"/>
      <c r="AF786" s="68"/>
    </row>
    <row r="787" ht="14.25" customHeight="1" spans="4:32">
      <c r="D787" s="93"/>
      <c r="E787" s="94"/>
      <c r="F787" s="95"/>
      <c r="G787" s="96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  <c r="AA787" s="68"/>
      <c r="AB787" s="68"/>
      <c r="AC787" s="68"/>
      <c r="AD787" s="68"/>
      <c r="AE787" s="68"/>
      <c r="AF787" s="68"/>
    </row>
    <row r="788" ht="14.25" customHeight="1" spans="4:32">
      <c r="D788" s="93"/>
      <c r="E788" s="94"/>
      <c r="F788" s="95"/>
      <c r="G788" s="96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  <c r="AA788" s="68"/>
      <c r="AB788" s="68"/>
      <c r="AC788" s="68"/>
      <c r="AD788" s="68"/>
      <c r="AE788" s="68"/>
      <c r="AF788" s="68"/>
    </row>
    <row r="789" ht="14.25" customHeight="1" spans="4:32">
      <c r="D789" s="93"/>
      <c r="E789" s="94"/>
      <c r="F789" s="95"/>
      <c r="G789" s="96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  <c r="AA789" s="68"/>
      <c r="AB789" s="68"/>
      <c r="AC789" s="68"/>
      <c r="AD789" s="68"/>
      <c r="AE789" s="68"/>
      <c r="AF789" s="68"/>
    </row>
    <row r="790" ht="14.25" customHeight="1" spans="4:32">
      <c r="D790" s="93"/>
      <c r="E790" s="94"/>
      <c r="F790" s="95"/>
      <c r="G790" s="96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  <c r="AA790" s="68"/>
      <c r="AB790" s="68"/>
      <c r="AC790" s="68"/>
      <c r="AD790" s="68"/>
      <c r="AE790" s="68"/>
      <c r="AF790" s="68"/>
    </row>
    <row r="791" ht="14.25" customHeight="1" spans="4:32">
      <c r="D791" s="93"/>
      <c r="E791" s="94"/>
      <c r="F791" s="95"/>
      <c r="G791" s="96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  <c r="AA791" s="68"/>
      <c r="AB791" s="68"/>
      <c r="AC791" s="68"/>
      <c r="AD791" s="68"/>
      <c r="AE791" s="68"/>
      <c r="AF791" s="68"/>
    </row>
    <row r="792" ht="14.25" customHeight="1" spans="4:32">
      <c r="D792" s="93"/>
      <c r="E792" s="94"/>
      <c r="F792" s="95"/>
      <c r="G792" s="96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  <c r="AA792" s="68"/>
      <c r="AB792" s="68"/>
      <c r="AC792" s="68"/>
      <c r="AD792" s="68"/>
      <c r="AE792" s="68"/>
      <c r="AF792" s="68"/>
    </row>
    <row r="793" ht="14.25" customHeight="1" spans="4:32">
      <c r="D793" s="93"/>
      <c r="E793" s="94"/>
      <c r="F793" s="95"/>
      <c r="G793" s="96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  <c r="AA793" s="68"/>
      <c r="AB793" s="68"/>
      <c r="AC793" s="68"/>
      <c r="AD793" s="68"/>
      <c r="AE793" s="68"/>
      <c r="AF793" s="68"/>
    </row>
    <row r="794" ht="14.25" customHeight="1" spans="4:32">
      <c r="D794" s="93"/>
      <c r="E794" s="94"/>
      <c r="F794" s="95"/>
      <c r="G794" s="96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  <c r="AA794" s="68"/>
      <c r="AB794" s="68"/>
      <c r="AC794" s="68"/>
      <c r="AD794" s="68"/>
      <c r="AE794" s="68"/>
      <c r="AF794" s="68"/>
    </row>
    <row r="795" ht="14.25" customHeight="1" spans="4:32">
      <c r="D795" s="93"/>
      <c r="E795" s="94"/>
      <c r="F795" s="95"/>
      <c r="G795" s="96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  <c r="AA795" s="68"/>
      <c r="AB795" s="68"/>
      <c r="AC795" s="68"/>
      <c r="AD795" s="68"/>
      <c r="AE795" s="68"/>
      <c r="AF795" s="68"/>
    </row>
    <row r="796" ht="14.25" customHeight="1" spans="4:32">
      <c r="D796" s="93"/>
      <c r="E796" s="94"/>
      <c r="F796" s="95"/>
      <c r="G796" s="96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  <c r="AA796" s="68"/>
      <c r="AB796" s="68"/>
      <c r="AC796" s="68"/>
      <c r="AD796" s="68"/>
      <c r="AE796" s="68"/>
      <c r="AF796" s="68"/>
    </row>
    <row r="797" ht="14.25" customHeight="1" spans="4:32">
      <c r="D797" s="93"/>
      <c r="E797" s="94"/>
      <c r="F797" s="95"/>
      <c r="G797" s="96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  <c r="AA797" s="68"/>
      <c r="AB797" s="68"/>
      <c r="AC797" s="68"/>
      <c r="AD797" s="68"/>
      <c r="AE797" s="68"/>
      <c r="AF797" s="68"/>
    </row>
    <row r="798" ht="14.25" customHeight="1" spans="4:32">
      <c r="D798" s="93"/>
      <c r="E798" s="94"/>
      <c r="F798" s="95"/>
      <c r="G798" s="96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  <c r="AA798" s="68"/>
      <c r="AB798" s="68"/>
      <c r="AC798" s="68"/>
      <c r="AD798" s="68"/>
      <c r="AE798" s="68"/>
      <c r="AF798" s="68"/>
    </row>
    <row r="799" ht="14.25" customHeight="1" spans="4:32">
      <c r="D799" s="93"/>
      <c r="E799" s="94"/>
      <c r="F799" s="95"/>
      <c r="G799" s="96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  <c r="AA799" s="68"/>
      <c r="AB799" s="68"/>
      <c r="AC799" s="68"/>
      <c r="AD799" s="68"/>
      <c r="AE799" s="68"/>
      <c r="AF799" s="68"/>
    </row>
    <row r="800" ht="14.25" customHeight="1" spans="4:32">
      <c r="D800" s="93"/>
      <c r="E800" s="94"/>
      <c r="F800" s="95"/>
      <c r="G800" s="96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  <c r="AA800" s="68"/>
      <c r="AB800" s="68"/>
      <c r="AC800" s="68"/>
      <c r="AD800" s="68"/>
      <c r="AE800" s="68"/>
      <c r="AF800" s="68"/>
    </row>
    <row r="801" ht="14.25" customHeight="1" spans="4:32">
      <c r="D801" s="93"/>
      <c r="E801" s="94"/>
      <c r="F801" s="95"/>
      <c r="G801" s="96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  <c r="AA801" s="68"/>
      <c r="AB801" s="68"/>
      <c r="AC801" s="68"/>
      <c r="AD801" s="68"/>
      <c r="AE801" s="68"/>
      <c r="AF801" s="68"/>
    </row>
    <row r="802" ht="14.25" customHeight="1" spans="4:32">
      <c r="D802" s="93"/>
      <c r="E802" s="94"/>
      <c r="F802" s="95"/>
      <c r="G802" s="96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  <c r="AA802" s="68"/>
      <c r="AB802" s="68"/>
      <c r="AC802" s="68"/>
      <c r="AD802" s="68"/>
      <c r="AE802" s="68"/>
      <c r="AF802" s="68"/>
    </row>
    <row r="803" ht="14.25" customHeight="1" spans="4:32">
      <c r="D803" s="93"/>
      <c r="E803" s="94"/>
      <c r="F803" s="95"/>
      <c r="G803" s="96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  <c r="AA803" s="68"/>
      <c r="AB803" s="68"/>
      <c r="AC803" s="68"/>
      <c r="AD803" s="68"/>
      <c r="AE803" s="68"/>
      <c r="AF803" s="68"/>
    </row>
    <row r="804" ht="14.25" customHeight="1" spans="4:32">
      <c r="D804" s="93"/>
      <c r="E804" s="94"/>
      <c r="F804" s="95"/>
      <c r="G804" s="96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  <c r="AA804" s="68"/>
      <c r="AB804" s="68"/>
      <c r="AC804" s="68"/>
      <c r="AD804" s="68"/>
      <c r="AE804" s="68"/>
      <c r="AF804" s="68"/>
    </row>
    <row r="805" ht="14.25" customHeight="1" spans="4:32">
      <c r="D805" s="93"/>
      <c r="E805" s="94"/>
      <c r="F805" s="95"/>
      <c r="G805" s="96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  <c r="AA805" s="68"/>
      <c r="AB805" s="68"/>
      <c r="AC805" s="68"/>
      <c r="AD805" s="68"/>
      <c r="AE805" s="68"/>
      <c r="AF805" s="68"/>
    </row>
    <row r="806" ht="14.25" customHeight="1" spans="4:32">
      <c r="D806" s="93"/>
      <c r="E806" s="94"/>
      <c r="F806" s="95"/>
      <c r="G806" s="96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  <c r="AA806" s="68"/>
      <c r="AB806" s="68"/>
      <c r="AC806" s="68"/>
      <c r="AD806" s="68"/>
      <c r="AE806" s="68"/>
      <c r="AF806" s="68"/>
    </row>
    <row r="807" ht="14.25" customHeight="1" spans="4:32">
      <c r="D807" s="93"/>
      <c r="E807" s="94"/>
      <c r="F807" s="95"/>
      <c r="G807" s="96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  <c r="AA807" s="68"/>
      <c r="AB807" s="68"/>
      <c r="AC807" s="68"/>
      <c r="AD807" s="68"/>
      <c r="AE807" s="68"/>
      <c r="AF807" s="68"/>
    </row>
    <row r="808" ht="14.25" customHeight="1" spans="4:32">
      <c r="D808" s="93"/>
      <c r="E808" s="94"/>
      <c r="F808" s="95"/>
      <c r="G808" s="96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  <c r="AA808" s="68"/>
      <c r="AB808" s="68"/>
      <c r="AC808" s="68"/>
      <c r="AD808" s="68"/>
      <c r="AE808" s="68"/>
      <c r="AF808" s="68"/>
    </row>
    <row r="809" ht="14.25" customHeight="1" spans="4:32">
      <c r="D809" s="93"/>
      <c r="E809" s="94"/>
      <c r="F809" s="95"/>
      <c r="G809" s="96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  <c r="AA809" s="68"/>
      <c r="AB809" s="68"/>
      <c r="AC809" s="68"/>
      <c r="AD809" s="68"/>
      <c r="AE809" s="68"/>
      <c r="AF809" s="68"/>
    </row>
    <row r="810" ht="14.25" customHeight="1" spans="4:32">
      <c r="D810" s="93"/>
      <c r="E810" s="94"/>
      <c r="F810" s="95"/>
      <c r="G810" s="96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  <c r="AA810" s="68"/>
      <c r="AB810" s="68"/>
      <c r="AC810" s="68"/>
      <c r="AD810" s="68"/>
      <c r="AE810" s="68"/>
      <c r="AF810" s="68"/>
    </row>
    <row r="811" ht="14.25" customHeight="1" spans="4:32">
      <c r="D811" s="93"/>
      <c r="E811" s="94"/>
      <c r="F811" s="95"/>
      <c r="G811" s="96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  <c r="AA811" s="68"/>
      <c r="AB811" s="68"/>
      <c r="AC811" s="68"/>
      <c r="AD811" s="68"/>
      <c r="AE811" s="68"/>
      <c r="AF811" s="68"/>
    </row>
    <row r="812" ht="14.25" customHeight="1" spans="4:32">
      <c r="D812" s="93"/>
      <c r="E812" s="94"/>
      <c r="F812" s="95"/>
      <c r="G812" s="96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  <c r="AA812" s="68"/>
      <c r="AB812" s="68"/>
      <c r="AC812" s="68"/>
      <c r="AD812" s="68"/>
      <c r="AE812" s="68"/>
      <c r="AF812" s="68"/>
    </row>
    <row r="813" ht="14.25" customHeight="1" spans="4:32">
      <c r="D813" s="93"/>
      <c r="E813" s="94"/>
      <c r="F813" s="95"/>
      <c r="G813" s="96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  <c r="AA813" s="68"/>
      <c r="AB813" s="68"/>
      <c r="AC813" s="68"/>
      <c r="AD813" s="68"/>
      <c r="AE813" s="68"/>
      <c r="AF813" s="68"/>
    </row>
    <row r="814" ht="14.25" customHeight="1" spans="4:32">
      <c r="D814" s="93"/>
      <c r="E814" s="94"/>
      <c r="F814" s="95"/>
      <c r="G814" s="96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  <c r="AA814" s="68"/>
      <c r="AB814" s="68"/>
      <c r="AC814" s="68"/>
      <c r="AD814" s="68"/>
      <c r="AE814" s="68"/>
      <c r="AF814" s="68"/>
    </row>
    <row r="815" ht="14.25" customHeight="1" spans="4:32">
      <c r="D815" s="93"/>
      <c r="E815" s="94"/>
      <c r="F815" s="95"/>
      <c r="G815" s="96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  <c r="AA815" s="68"/>
      <c r="AB815" s="68"/>
      <c r="AC815" s="68"/>
      <c r="AD815" s="68"/>
      <c r="AE815" s="68"/>
      <c r="AF815" s="68"/>
    </row>
    <row r="816" ht="14.25" customHeight="1" spans="4:32">
      <c r="D816" s="93"/>
      <c r="E816" s="94"/>
      <c r="F816" s="95"/>
      <c r="G816" s="96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  <c r="AA816" s="68"/>
      <c r="AB816" s="68"/>
      <c r="AC816" s="68"/>
      <c r="AD816" s="68"/>
      <c r="AE816" s="68"/>
      <c r="AF816" s="68"/>
    </row>
    <row r="817" ht="14.25" customHeight="1" spans="4:32">
      <c r="D817" s="93"/>
      <c r="E817" s="94"/>
      <c r="F817" s="95"/>
      <c r="G817" s="96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  <c r="AA817" s="68"/>
      <c r="AB817" s="68"/>
      <c r="AC817" s="68"/>
      <c r="AD817" s="68"/>
      <c r="AE817" s="68"/>
      <c r="AF817" s="68"/>
    </row>
    <row r="818" ht="14.25" customHeight="1" spans="4:32">
      <c r="D818" s="93"/>
      <c r="E818" s="94"/>
      <c r="F818" s="95"/>
      <c r="G818" s="96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  <c r="AA818" s="68"/>
      <c r="AB818" s="68"/>
      <c r="AC818" s="68"/>
      <c r="AD818" s="68"/>
      <c r="AE818" s="68"/>
      <c r="AF818" s="68"/>
    </row>
    <row r="819" ht="14.25" customHeight="1" spans="4:32">
      <c r="D819" s="93"/>
      <c r="E819" s="94"/>
      <c r="F819" s="95"/>
      <c r="G819" s="96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  <c r="AA819" s="68"/>
      <c r="AB819" s="68"/>
      <c r="AC819" s="68"/>
      <c r="AD819" s="68"/>
      <c r="AE819" s="68"/>
      <c r="AF819" s="68"/>
    </row>
    <row r="820" ht="14.25" customHeight="1" spans="4:32">
      <c r="D820" s="93"/>
      <c r="E820" s="94"/>
      <c r="F820" s="95"/>
      <c r="G820" s="96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  <c r="AA820" s="68"/>
      <c r="AB820" s="68"/>
      <c r="AC820" s="68"/>
      <c r="AD820" s="68"/>
      <c r="AE820" s="68"/>
      <c r="AF820" s="68"/>
    </row>
    <row r="821" ht="14.25" customHeight="1" spans="4:32">
      <c r="D821" s="93"/>
      <c r="E821" s="94"/>
      <c r="F821" s="95"/>
      <c r="G821" s="96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  <c r="AA821" s="68"/>
      <c r="AB821" s="68"/>
      <c r="AC821" s="68"/>
      <c r="AD821" s="68"/>
      <c r="AE821" s="68"/>
      <c r="AF821" s="68"/>
    </row>
    <row r="822" ht="14.25" customHeight="1" spans="4:32">
      <c r="D822" s="93"/>
      <c r="E822" s="94"/>
      <c r="F822" s="95"/>
      <c r="G822" s="96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  <c r="AA822" s="68"/>
      <c r="AB822" s="68"/>
      <c r="AC822" s="68"/>
      <c r="AD822" s="68"/>
      <c r="AE822" s="68"/>
      <c r="AF822" s="68"/>
    </row>
    <row r="823" ht="14.25" customHeight="1" spans="4:32">
      <c r="D823" s="93"/>
      <c r="E823" s="94"/>
      <c r="F823" s="95"/>
      <c r="G823" s="96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  <c r="AA823" s="68"/>
      <c r="AB823" s="68"/>
      <c r="AC823" s="68"/>
      <c r="AD823" s="68"/>
      <c r="AE823" s="68"/>
      <c r="AF823" s="68"/>
    </row>
    <row r="824" ht="14.25" customHeight="1" spans="4:32">
      <c r="D824" s="93"/>
      <c r="E824" s="94"/>
      <c r="F824" s="95"/>
      <c r="G824" s="96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  <c r="AA824" s="68"/>
      <c r="AB824" s="68"/>
      <c r="AC824" s="68"/>
      <c r="AD824" s="68"/>
      <c r="AE824" s="68"/>
      <c r="AF824" s="68"/>
    </row>
    <row r="825" ht="14.25" customHeight="1" spans="4:32">
      <c r="D825" s="93"/>
      <c r="E825" s="94"/>
      <c r="F825" s="95"/>
      <c r="G825" s="96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  <c r="AA825" s="68"/>
      <c r="AB825" s="68"/>
      <c r="AC825" s="68"/>
      <c r="AD825" s="68"/>
      <c r="AE825" s="68"/>
      <c r="AF825" s="68"/>
    </row>
    <row r="826" ht="14.25" customHeight="1" spans="4:32">
      <c r="D826" s="93"/>
      <c r="E826" s="94"/>
      <c r="F826" s="95"/>
      <c r="G826" s="96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  <c r="AA826" s="68"/>
      <c r="AB826" s="68"/>
      <c r="AC826" s="68"/>
      <c r="AD826" s="68"/>
      <c r="AE826" s="68"/>
      <c r="AF826" s="68"/>
    </row>
    <row r="827" ht="14.25" customHeight="1" spans="4:32">
      <c r="D827" s="93"/>
      <c r="E827" s="94"/>
      <c r="F827" s="95"/>
      <c r="G827" s="96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  <c r="AA827" s="68"/>
      <c r="AB827" s="68"/>
      <c r="AC827" s="68"/>
      <c r="AD827" s="68"/>
      <c r="AE827" s="68"/>
      <c r="AF827" s="68"/>
    </row>
    <row r="828" ht="14.25" customHeight="1" spans="4:32">
      <c r="D828" s="93"/>
      <c r="E828" s="94"/>
      <c r="F828" s="95"/>
      <c r="G828" s="96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  <c r="AA828" s="68"/>
      <c r="AB828" s="68"/>
      <c r="AC828" s="68"/>
      <c r="AD828" s="68"/>
      <c r="AE828" s="68"/>
      <c r="AF828" s="68"/>
    </row>
    <row r="829" ht="14.25" customHeight="1" spans="4:32">
      <c r="D829" s="93"/>
      <c r="E829" s="94"/>
      <c r="F829" s="95"/>
      <c r="G829" s="96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  <c r="AA829" s="68"/>
      <c r="AB829" s="68"/>
      <c r="AC829" s="68"/>
      <c r="AD829" s="68"/>
      <c r="AE829" s="68"/>
      <c r="AF829" s="68"/>
    </row>
    <row r="830" ht="14.25" customHeight="1" spans="4:32">
      <c r="D830" s="93"/>
      <c r="E830" s="94"/>
      <c r="F830" s="95"/>
      <c r="G830" s="96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  <c r="AA830" s="68"/>
      <c r="AB830" s="68"/>
      <c r="AC830" s="68"/>
      <c r="AD830" s="68"/>
      <c r="AE830" s="68"/>
      <c r="AF830" s="68"/>
    </row>
    <row r="831" ht="14.25" customHeight="1" spans="4:32">
      <c r="D831" s="93"/>
      <c r="E831" s="94"/>
      <c r="F831" s="95"/>
      <c r="G831" s="96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  <c r="AA831" s="68"/>
      <c r="AB831" s="68"/>
      <c r="AC831" s="68"/>
      <c r="AD831" s="68"/>
      <c r="AE831" s="68"/>
      <c r="AF831" s="68"/>
    </row>
    <row r="832" ht="14.25" customHeight="1" spans="4:32">
      <c r="D832" s="93"/>
      <c r="E832" s="94"/>
      <c r="F832" s="95"/>
      <c r="G832" s="96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  <c r="AA832" s="68"/>
      <c r="AB832" s="68"/>
      <c r="AC832" s="68"/>
      <c r="AD832" s="68"/>
      <c r="AE832" s="68"/>
      <c r="AF832" s="68"/>
    </row>
    <row r="833" ht="14.25" customHeight="1" spans="4:32">
      <c r="D833" s="93"/>
      <c r="E833" s="94"/>
      <c r="F833" s="95"/>
      <c r="G833" s="96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  <c r="AA833" s="68"/>
      <c r="AB833" s="68"/>
      <c r="AC833" s="68"/>
      <c r="AD833" s="68"/>
      <c r="AE833" s="68"/>
      <c r="AF833" s="68"/>
    </row>
    <row r="834" ht="14.25" customHeight="1" spans="4:32">
      <c r="D834" s="93"/>
      <c r="E834" s="94"/>
      <c r="F834" s="95"/>
      <c r="G834" s="96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  <c r="AA834" s="68"/>
      <c r="AB834" s="68"/>
      <c r="AC834" s="68"/>
      <c r="AD834" s="68"/>
      <c r="AE834" s="68"/>
      <c r="AF834" s="68"/>
    </row>
    <row r="835" ht="14.25" customHeight="1" spans="4:32">
      <c r="D835" s="93"/>
      <c r="E835" s="94"/>
      <c r="F835" s="95"/>
      <c r="G835" s="96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  <c r="AA835" s="68"/>
      <c r="AB835" s="68"/>
      <c r="AC835" s="68"/>
      <c r="AD835" s="68"/>
      <c r="AE835" s="68"/>
      <c r="AF835" s="68"/>
    </row>
    <row r="836" ht="14.25" customHeight="1" spans="4:32">
      <c r="D836" s="93"/>
      <c r="E836" s="94"/>
      <c r="F836" s="95"/>
      <c r="G836" s="96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  <c r="AA836" s="68"/>
      <c r="AB836" s="68"/>
      <c r="AC836" s="68"/>
      <c r="AD836" s="68"/>
      <c r="AE836" s="68"/>
      <c r="AF836" s="68"/>
    </row>
    <row r="837" ht="14.25" customHeight="1" spans="4:32">
      <c r="D837" s="93"/>
      <c r="E837" s="94"/>
      <c r="F837" s="95"/>
      <c r="G837" s="96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  <c r="AA837" s="68"/>
      <c r="AB837" s="68"/>
      <c r="AC837" s="68"/>
      <c r="AD837" s="68"/>
      <c r="AE837" s="68"/>
      <c r="AF837" s="68"/>
    </row>
    <row r="838" ht="14.25" customHeight="1" spans="4:32">
      <c r="D838" s="93"/>
      <c r="E838" s="94"/>
      <c r="F838" s="95"/>
      <c r="G838" s="96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  <c r="AA838" s="68"/>
      <c r="AB838" s="68"/>
      <c r="AC838" s="68"/>
      <c r="AD838" s="68"/>
      <c r="AE838" s="68"/>
      <c r="AF838" s="68"/>
    </row>
    <row r="839" ht="14.25" customHeight="1" spans="4:32">
      <c r="D839" s="93"/>
      <c r="E839" s="94"/>
      <c r="F839" s="95"/>
      <c r="G839" s="96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  <c r="AA839" s="68"/>
      <c r="AB839" s="68"/>
      <c r="AC839" s="68"/>
      <c r="AD839" s="68"/>
      <c r="AE839" s="68"/>
      <c r="AF839" s="68"/>
    </row>
    <row r="840" ht="14.25" customHeight="1" spans="4:32">
      <c r="D840" s="93"/>
      <c r="E840" s="94"/>
      <c r="F840" s="95"/>
      <c r="G840" s="96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  <c r="AA840" s="68"/>
      <c r="AB840" s="68"/>
      <c r="AC840" s="68"/>
      <c r="AD840" s="68"/>
      <c r="AE840" s="68"/>
      <c r="AF840" s="68"/>
    </row>
    <row r="841" ht="14.25" customHeight="1" spans="4:32">
      <c r="D841" s="93"/>
      <c r="E841" s="94"/>
      <c r="F841" s="95"/>
      <c r="G841" s="96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  <c r="AA841" s="68"/>
      <c r="AB841" s="68"/>
      <c r="AC841" s="68"/>
      <c r="AD841" s="68"/>
      <c r="AE841" s="68"/>
      <c r="AF841" s="68"/>
    </row>
    <row r="842" ht="14.25" customHeight="1" spans="4:32">
      <c r="D842" s="93"/>
      <c r="E842" s="94"/>
      <c r="F842" s="95"/>
      <c r="G842" s="96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  <c r="AA842" s="68"/>
      <c r="AB842" s="68"/>
      <c r="AC842" s="68"/>
      <c r="AD842" s="68"/>
      <c r="AE842" s="68"/>
      <c r="AF842" s="68"/>
    </row>
    <row r="843" ht="14.25" customHeight="1" spans="4:32">
      <c r="D843" s="93"/>
      <c r="E843" s="94"/>
      <c r="F843" s="95"/>
      <c r="G843" s="96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  <c r="AA843" s="68"/>
      <c r="AB843" s="68"/>
      <c r="AC843" s="68"/>
      <c r="AD843" s="68"/>
      <c r="AE843" s="68"/>
      <c r="AF843" s="68"/>
    </row>
    <row r="844" ht="14.25" customHeight="1" spans="4:32">
      <c r="D844" s="93"/>
      <c r="E844" s="94"/>
      <c r="F844" s="95"/>
      <c r="G844" s="96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  <c r="AA844" s="68"/>
      <c r="AB844" s="68"/>
      <c r="AC844" s="68"/>
      <c r="AD844" s="68"/>
      <c r="AE844" s="68"/>
      <c r="AF844" s="68"/>
    </row>
    <row r="845" ht="14.25" customHeight="1" spans="4:32">
      <c r="D845" s="93"/>
      <c r="E845" s="94"/>
      <c r="F845" s="95"/>
      <c r="G845" s="96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  <c r="AA845" s="68"/>
      <c r="AB845" s="68"/>
      <c r="AC845" s="68"/>
      <c r="AD845" s="68"/>
      <c r="AE845" s="68"/>
      <c r="AF845" s="68"/>
    </row>
    <row r="846" ht="14.25" customHeight="1" spans="4:32">
      <c r="D846" s="93"/>
      <c r="E846" s="94"/>
      <c r="F846" s="95"/>
      <c r="G846" s="96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  <c r="AA846" s="68"/>
      <c r="AB846" s="68"/>
      <c r="AC846" s="68"/>
      <c r="AD846" s="68"/>
      <c r="AE846" s="68"/>
      <c r="AF846" s="68"/>
    </row>
    <row r="847" ht="14.25" customHeight="1" spans="4:32">
      <c r="D847" s="93"/>
      <c r="E847" s="94"/>
      <c r="F847" s="95"/>
      <c r="G847" s="96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  <c r="AA847" s="68"/>
      <c r="AB847" s="68"/>
      <c r="AC847" s="68"/>
      <c r="AD847" s="68"/>
      <c r="AE847" s="68"/>
      <c r="AF847" s="68"/>
    </row>
    <row r="848" ht="14.25" customHeight="1" spans="4:32">
      <c r="D848" s="93"/>
      <c r="E848" s="94"/>
      <c r="F848" s="95"/>
      <c r="G848" s="96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  <c r="AA848" s="68"/>
      <c r="AB848" s="68"/>
      <c r="AC848" s="68"/>
      <c r="AD848" s="68"/>
      <c r="AE848" s="68"/>
      <c r="AF848" s="68"/>
    </row>
    <row r="849" ht="14.25" customHeight="1" spans="4:32">
      <c r="D849" s="93"/>
      <c r="E849" s="94"/>
      <c r="F849" s="95"/>
      <c r="G849" s="96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  <c r="AA849" s="68"/>
      <c r="AB849" s="68"/>
      <c r="AC849" s="68"/>
      <c r="AD849" s="68"/>
      <c r="AE849" s="68"/>
      <c r="AF849" s="68"/>
    </row>
    <row r="850" ht="14.25" customHeight="1" spans="4:32">
      <c r="D850" s="93"/>
      <c r="E850" s="94"/>
      <c r="F850" s="95"/>
      <c r="G850" s="96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  <c r="AA850" s="68"/>
      <c r="AB850" s="68"/>
      <c r="AC850" s="68"/>
      <c r="AD850" s="68"/>
      <c r="AE850" s="68"/>
      <c r="AF850" s="68"/>
    </row>
    <row r="851" ht="14.25" customHeight="1" spans="4:32">
      <c r="D851" s="93"/>
      <c r="E851" s="94"/>
      <c r="F851" s="95"/>
      <c r="G851" s="96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  <c r="AA851" s="68"/>
      <c r="AB851" s="68"/>
      <c r="AC851" s="68"/>
      <c r="AD851" s="68"/>
      <c r="AE851" s="68"/>
      <c r="AF851" s="68"/>
    </row>
    <row r="852" ht="14.25" customHeight="1" spans="4:32">
      <c r="D852" s="93"/>
      <c r="E852" s="94"/>
      <c r="F852" s="95"/>
      <c r="G852" s="96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  <c r="AA852" s="68"/>
      <c r="AB852" s="68"/>
      <c r="AC852" s="68"/>
      <c r="AD852" s="68"/>
      <c r="AE852" s="68"/>
      <c r="AF852" s="68"/>
    </row>
    <row r="853" ht="14.25" customHeight="1" spans="4:32">
      <c r="D853" s="93"/>
      <c r="E853" s="94"/>
      <c r="F853" s="95"/>
      <c r="G853" s="96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  <c r="AA853" s="68"/>
      <c r="AB853" s="68"/>
      <c r="AC853" s="68"/>
      <c r="AD853" s="68"/>
      <c r="AE853" s="68"/>
      <c r="AF853" s="68"/>
    </row>
    <row r="854" ht="14.25" customHeight="1" spans="4:32">
      <c r="D854" s="93"/>
      <c r="E854" s="94"/>
      <c r="F854" s="95"/>
      <c r="G854" s="96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  <c r="AA854" s="68"/>
      <c r="AB854" s="68"/>
      <c r="AC854" s="68"/>
      <c r="AD854" s="68"/>
      <c r="AE854" s="68"/>
      <c r="AF854" s="68"/>
    </row>
    <row r="855" ht="14.25" customHeight="1" spans="4:32">
      <c r="D855" s="93"/>
      <c r="E855" s="94"/>
      <c r="F855" s="95"/>
      <c r="G855" s="96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  <c r="AA855" s="68"/>
      <c r="AB855" s="68"/>
      <c r="AC855" s="68"/>
      <c r="AD855" s="68"/>
      <c r="AE855" s="68"/>
      <c r="AF855" s="68"/>
    </row>
    <row r="856" ht="14.25" customHeight="1" spans="4:32">
      <c r="D856" s="93"/>
      <c r="E856" s="94"/>
      <c r="F856" s="95"/>
      <c r="G856" s="96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  <c r="AA856" s="68"/>
      <c r="AB856" s="68"/>
      <c r="AC856" s="68"/>
      <c r="AD856" s="68"/>
      <c r="AE856" s="68"/>
      <c r="AF856" s="68"/>
    </row>
    <row r="857" ht="14.25" customHeight="1" spans="4:32">
      <c r="D857" s="93"/>
      <c r="E857" s="94"/>
      <c r="F857" s="95"/>
      <c r="G857" s="96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  <c r="AA857" s="68"/>
      <c r="AB857" s="68"/>
      <c r="AC857" s="68"/>
      <c r="AD857" s="68"/>
      <c r="AE857" s="68"/>
      <c r="AF857" s="68"/>
    </row>
    <row r="858" ht="14.25" customHeight="1" spans="4:32">
      <c r="D858" s="93"/>
      <c r="E858" s="94"/>
      <c r="F858" s="95"/>
      <c r="G858" s="96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  <c r="AA858" s="68"/>
      <c r="AB858" s="68"/>
      <c r="AC858" s="68"/>
      <c r="AD858" s="68"/>
      <c r="AE858" s="68"/>
      <c r="AF858" s="68"/>
    </row>
    <row r="859" ht="14.25" customHeight="1" spans="4:32">
      <c r="D859" s="93"/>
      <c r="E859" s="94"/>
      <c r="F859" s="95"/>
      <c r="G859" s="96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  <c r="AA859" s="68"/>
      <c r="AB859" s="68"/>
      <c r="AC859" s="68"/>
      <c r="AD859" s="68"/>
      <c r="AE859" s="68"/>
      <c r="AF859" s="68"/>
    </row>
    <row r="860" ht="14.25" customHeight="1" spans="4:32">
      <c r="D860" s="93"/>
      <c r="E860" s="94"/>
      <c r="F860" s="95"/>
      <c r="G860" s="96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  <c r="AA860" s="68"/>
      <c r="AB860" s="68"/>
      <c r="AC860" s="68"/>
      <c r="AD860" s="68"/>
      <c r="AE860" s="68"/>
      <c r="AF860" s="68"/>
    </row>
    <row r="861" ht="14.25" customHeight="1" spans="4:32">
      <c r="D861" s="93"/>
      <c r="E861" s="94"/>
      <c r="F861" s="95"/>
      <c r="G861" s="96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  <c r="AA861" s="68"/>
      <c r="AB861" s="68"/>
      <c r="AC861" s="68"/>
      <c r="AD861" s="68"/>
      <c r="AE861" s="68"/>
      <c r="AF861" s="68"/>
    </row>
    <row r="862" ht="14.25" customHeight="1" spans="4:32">
      <c r="D862" s="93"/>
      <c r="E862" s="94"/>
      <c r="F862" s="95"/>
      <c r="G862" s="96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  <c r="AA862" s="68"/>
      <c r="AB862" s="68"/>
      <c r="AC862" s="68"/>
      <c r="AD862" s="68"/>
      <c r="AE862" s="68"/>
      <c r="AF862" s="68"/>
    </row>
    <row r="863" ht="14.25" customHeight="1" spans="4:32">
      <c r="D863" s="93"/>
      <c r="E863" s="94"/>
      <c r="F863" s="95"/>
      <c r="G863" s="96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  <c r="AA863" s="68"/>
      <c r="AB863" s="68"/>
      <c r="AC863" s="68"/>
      <c r="AD863" s="68"/>
      <c r="AE863" s="68"/>
      <c r="AF863" s="68"/>
    </row>
    <row r="864" ht="14.25" customHeight="1" spans="4:32">
      <c r="D864" s="93"/>
      <c r="E864" s="94"/>
      <c r="F864" s="95"/>
      <c r="G864" s="96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  <c r="AA864" s="68"/>
      <c r="AB864" s="68"/>
      <c r="AC864" s="68"/>
      <c r="AD864" s="68"/>
      <c r="AE864" s="68"/>
      <c r="AF864" s="68"/>
    </row>
    <row r="865" ht="14.25" customHeight="1" spans="4:32">
      <c r="D865" s="93"/>
      <c r="E865" s="94"/>
      <c r="F865" s="95"/>
      <c r="G865" s="96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  <c r="AA865" s="68"/>
      <c r="AB865" s="68"/>
      <c r="AC865" s="68"/>
      <c r="AD865" s="68"/>
      <c r="AE865" s="68"/>
      <c r="AF865" s="68"/>
    </row>
    <row r="866" ht="14.25" customHeight="1" spans="4:32">
      <c r="D866" s="93"/>
      <c r="E866" s="94"/>
      <c r="F866" s="95"/>
      <c r="G866" s="96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  <c r="AA866" s="68"/>
      <c r="AB866" s="68"/>
      <c r="AC866" s="68"/>
      <c r="AD866" s="68"/>
      <c r="AE866" s="68"/>
      <c r="AF866" s="68"/>
    </row>
    <row r="867" ht="14.25" customHeight="1" spans="4:32">
      <c r="D867" s="93"/>
      <c r="E867" s="94"/>
      <c r="F867" s="95"/>
      <c r="G867" s="96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  <c r="AA867" s="68"/>
      <c r="AB867" s="68"/>
      <c r="AC867" s="68"/>
      <c r="AD867" s="68"/>
      <c r="AE867" s="68"/>
      <c r="AF867" s="68"/>
    </row>
    <row r="868" ht="14.25" customHeight="1" spans="4:32">
      <c r="D868" s="93"/>
      <c r="E868" s="94"/>
      <c r="F868" s="95"/>
      <c r="G868" s="96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  <c r="AA868" s="68"/>
      <c r="AB868" s="68"/>
      <c r="AC868" s="68"/>
      <c r="AD868" s="68"/>
      <c r="AE868" s="68"/>
      <c r="AF868" s="68"/>
    </row>
    <row r="869" ht="14.25" customHeight="1" spans="4:32">
      <c r="D869" s="93"/>
      <c r="E869" s="94"/>
      <c r="F869" s="95"/>
      <c r="G869" s="96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  <c r="AA869" s="68"/>
      <c r="AB869" s="68"/>
      <c r="AC869" s="68"/>
      <c r="AD869" s="68"/>
      <c r="AE869" s="68"/>
      <c r="AF869" s="68"/>
    </row>
    <row r="870" ht="14.25" customHeight="1" spans="4:32">
      <c r="D870" s="93"/>
      <c r="E870" s="94"/>
      <c r="F870" s="95"/>
      <c r="G870" s="96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  <c r="AA870" s="68"/>
      <c r="AB870" s="68"/>
      <c r="AC870" s="68"/>
      <c r="AD870" s="68"/>
      <c r="AE870" s="68"/>
      <c r="AF870" s="68"/>
    </row>
    <row r="871" ht="14.25" customHeight="1" spans="4:32">
      <c r="D871" s="93"/>
      <c r="E871" s="94"/>
      <c r="F871" s="95"/>
      <c r="G871" s="96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  <c r="AA871" s="68"/>
      <c r="AB871" s="68"/>
      <c r="AC871" s="68"/>
      <c r="AD871" s="68"/>
      <c r="AE871" s="68"/>
      <c r="AF871" s="68"/>
    </row>
    <row r="872" ht="14.25" customHeight="1" spans="4:32">
      <c r="D872" s="93"/>
      <c r="E872" s="94"/>
      <c r="F872" s="95"/>
      <c r="G872" s="96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  <c r="AA872" s="68"/>
      <c r="AB872" s="68"/>
      <c r="AC872" s="68"/>
      <c r="AD872" s="68"/>
      <c r="AE872" s="68"/>
      <c r="AF872" s="68"/>
    </row>
    <row r="873" ht="14.25" customHeight="1" spans="4:32">
      <c r="D873" s="93"/>
      <c r="E873" s="94"/>
      <c r="F873" s="95"/>
      <c r="G873" s="96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  <c r="AA873" s="68"/>
      <c r="AB873" s="68"/>
      <c r="AC873" s="68"/>
      <c r="AD873" s="68"/>
      <c r="AE873" s="68"/>
      <c r="AF873" s="68"/>
    </row>
    <row r="874" ht="14.25" customHeight="1" spans="4:32">
      <c r="D874" s="93"/>
      <c r="E874" s="94"/>
      <c r="F874" s="95"/>
      <c r="G874" s="96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  <c r="AA874" s="68"/>
      <c r="AB874" s="68"/>
      <c r="AC874" s="68"/>
      <c r="AD874" s="68"/>
      <c r="AE874" s="68"/>
      <c r="AF874" s="68"/>
    </row>
    <row r="875" ht="14.25" customHeight="1" spans="4:32">
      <c r="D875" s="93"/>
      <c r="E875" s="94"/>
      <c r="F875" s="95"/>
      <c r="G875" s="96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  <c r="AA875" s="68"/>
      <c r="AB875" s="68"/>
      <c r="AC875" s="68"/>
      <c r="AD875" s="68"/>
      <c r="AE875" s="68"/>
      <c r="AF875" s="68"/>
    </row>
    <row r="876" ht="14.25" customHeight="1" spans="4:32">
      <c r="D876" s="93"/>
      <c r="E876" s="94"/>
      <c r="F876" s="95"/>
      <c r="G876" s="96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  <c r="AA876" s="68"/>
      <c r="AB876" s="68"/>
      <c r="AC876" s="68"/>
      <c r="AD876" s="68"/>
      <c r="AE876" s="68"/>
      <c r="AF876" s="68"/>
    </row>
    <row r="877" ht="14.25" customHeight="1" spans="4:32">
      <c r="D877" s="93"/>
      <c r="E877" s="94"/>
      <c r="F877" s="95"/>
      <c r="G877" s="96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  <c r="AA877" s="68"/>
      <c r="AB877" s="68"/>
      <c r="AC877" s="68"/>
      <c r="AD877" s="68"/>
      <c r="AE877" s="68"/>
      <c r="AF877" s="68"/>
    </row>
    <row r="878" ht="14.25" customHeight="1" spans="4:32">
      <c r="D878" s="93"/>
      <c r="E878" s="94"/>
      <c r="F878" s="95"/>
      <c r="G878" s="96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  <c r="AA878" s="68"/>
      <c r="AB878" s="68"/>
      <c r="AC878" s="68"/>
      <c r="AD878" s="68"/>
      <c r="AE878" s="68"/>
      <c r="AF878" s="68"/>
    </row>
    <row r="879" ht="14.25" customHeight="1" spans="4:32">
      <c r="D879" s="93"/>
      <c r="E879" s="94"/>
      <c r="F879" s="95"/>
      <c r="G879" s="96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  <c r="AA879" s="68"/>
      <c r="AB879" s="68"/>
      <c r="AC879" s="68"/>
      <c r="AD879" s="68"/>
      <c r="AE879" s="68"/>
      <c r="AF879" s="68"/>
    </row>
    <row r="880" ht="14.25" customHeight="1" spans="4:32">
      <c r="D880" s="93"/>
      <c r="E880" s="94"/>
      <c r="F880" s="95"/>
      <c r="G880" s="96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  <c r="AA880" s="68"/>
      <c r="AB880" s="68"/>
      <c r="AC880" s="68"/>
      <c r="AD880" s="68"/>
      <c r="AE880" s="68"/>
      <c r="AF880" s="68"/>
    </row>
    <row r="881" ht="14.25" customHeight="1" spans="4:32">
      <c r="D881" s="93"/>
      <c r="E881" s="94"/>
      <c r="F881" s="95"/>
      <c r="G881" s="96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  <c r="AA881" s="68"/>
      <c r="AB881" s="68"/>
      <c r="AC881" s="68"/>
      <c r="AD881" s="68"/>
      <c r="AE881" s="68"/>
      <c r="AF881" s="68"/>
    </row>
    <row r="882" ht="14.25" customHeight="1" spans="4:32">
      <c r="D882" s="93"/>
      <c r="E882" s="94"/>
      <c r="F882" s="95"/>
      <c r="G882" s="96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  <c r="AA882" s="68"/>
      <c r="AB882" s="68"/>
      <c r="AC882" s="68"/>
      <c r="AD882" s="68"/>
      <c r="AE882" s="68"/>
      <c r="AF882" s="68"/>
    </row>
    <row r="883" ht="14.25" customHeight="1" spans="4:32">
      <c r="D883" s="93"/>
      <c r="E883" s="94"/>
      <c r="F883" s="95"/>
      <c r="G883" s="96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  <c r="AA883" s="68"/>
      <c r="AB883" s="68"/>
      <c r="AC883" s="68"/>
      <c r="AD883" s="68"/>
      <c r="AE883" s="68"/>
      <c r="AF883" s="68"/>
    </row>
    <row r="884" ht="14.25" customHeight="1" spans="4:32">
      <c r="D884" s="93"/>
      <c r="E884" s="94"/>
      <c r="F884" s="95"/>
      <c r="G884" s="96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  <c r="AA884" s="68"/>
      <c r="AB884" s="68"/>
      <c r="AC884" s="68"/>
      <c r="AD884" s="68"/>
      <c r="AE884" s="68"/>
      <c r="AF884" s="68"/>
    </row>
    <row r="885" ht="14.25" customHeight="1" spans="4:32">
      <c r="D885" s="93"/>
      <c r="E885" s="94"/>
      <c r="F885" s="95"/>
      <c r="G885" s="96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  <c r="AA885" s="68"/>
      <c r="AB885" s="68"/>
      <c r="AC885" s="68"/>
      <c r="AD885" s="68"/>
      <c r="AE885" s="68"/>
      <c r="AF885" s="68"/>
    </row>
    <row r="886" ht="14.25" customHeight="1" spans="4:32">
      <c r="D886" s="93"/>
      <c r="E886" s="94"/>
      <c r="F886" s="95"/>
      <c r="G886" s="96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  <c r="AA886" s="68"/>
      <c r="AB886" s="68"/>
      <c r="AC886" s="68"/>
      <c r="AD886" s="68"/>
      <c r="AE886" s="68"/>
      <c r="AF886" s="68"/>
    </row>
    <row r="887" ht="14.25" customHeight="1" spans="4:32">
      <c r="D887" s="93"/>
      <c r="E887" s="94"/>
      <c r="F887" s="95"/>
      <c r="G887" s="96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  <c r="AA887" s="68"/>
      <c r="AB887" s="68"/>
      <c r="AC887" s="68"/>
      <c r="AD887" s="68"/>
      <c r="AE887" s="68"/>
      <c r="AF887" s="68"/>
    </row>
    <row r="888" ht="14.25" customHeight="1" spans="4:32">
      <c r="D888" s="93"/>
      <c r="E888" s="94"/>
      <c r="F888" s="95"/>
      <c r="G888" s="96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  <c r="AA888" s="68"/>
      <c r="AB888" s="68"/>
      <c r="AC888" s="68"/>
      <c r="AD888" s="68"/>
      <c r="AE888" s="68"/>
      <c r="AF888" s="68"/>
    </row>
    <row r="889" ht="14.25" customHeight="1" spans="4:32">
      <c r="D889" s="93"/>
      <c r="E889" s="94"/>
      <c r="F889" s="95"/>
      <c r="G889" s="96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  <c r="AA889" s="68"/>
      <c r="AB889" s="68"/>
      <c r="AC889" s="68"/>
      <c r="AD889" s="68"/>
      <c r="AE889" s="68"/>
      <c r="AF889" s="68"/>
    </row>
    <row r="890" ht="14.25" customHeight="1" spans="4:32">
      <c r="D890" s="93"/>
      <c r="E890" s="94"/>
      <c r="F890" s="95"/>
      <c r="G890" s="96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  <c r="AA890" s="68"/>
      <c r="AB890" s="68"/>
      <c r="AC890" s="68"/>
      <c r="AD890" s="68"/>
      <c r="AE890" s="68"/>
      <c r="AF890" s="68"/>
    </row>
    <row r="891" ht="14.25" customHeight="1" spans="4:32">
      <c r="D891" s="93"/>
      <c r="E891" s="94"/>
      <c r="F891" s="95"/>
      <c r="G891" s="96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  <c r="AA891" s="68"/>
      <c r="AB891" s="68"/>
      <c r="AC891" s="68"/>
      <c r="AD891" s="68"/>
      <c r="AE891" s="68"/>
      <c r="AF891" s="68"/>
    </row>
    <row r="892" ht="14.25" customHeight="1" spans="4:32">
      <c r="D892" s="93"/>
      <c r="E892" s="94"/>
      <c r="F892" s="95"/>
      <c r="G892" s="96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  <c r="AA892" s="68"/>
      <c r="AB892" s="68"/>
      <c r="AC892" s="68"/>
      <c r="AD892" s="68"/>
      <c r="AE892" s="68"/>
      <c r="AF892" s="68"/>
    </row>
    <row r="893" ht="14.25" customHeight="1" spans="4:32">
      <c r="D893" s="93"/>
      <c r="E893" s="94"/>
      <c r="F893" s="95"/>
      <c r="G893" s="96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  <c r="AA893" s="68"/>
      <c r="AB893" s="68"/>
      <c r="AC893" s="68"/>
      <c r="AD893" s="68"/>
      <c r="AE893" s="68"/>
      <c r="AF893" s="68"/>
    </row>
    <row r="894" ht="14.25" customHeight="1" spans="4:32">
      <c r="D894" s="93"/>
      <c r="E894" s="94"/>
      <c r="F894" s="95"/>
      <c r="G894" s="96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  <c r="AA894" s="68"/>
      <c r="AB894" s="68"/>
      <c r="AC894" s="68"/>
      <c r="AD894" s="68"/>
      <c r="AE894" s="68"/>
      <c r="AF894" s="68"/>
    </row>
    <row r="895" ht="14.25" customHeight="1" spans="4:32">
      <c r="D895" s="93"/>
      <c r="E895" s="94"/>
      <c r="F895" s="95"/>
      <c r="G895" s="96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  <c r="AA895" s="68"/>
      <c r="AB895" s="68"/>
      <c r="AC895" s="68"/>
      <c r="AD895" s="68"/>
      <c r="AE895" s="68"/>
      <c r="AF895" s="68"/>
    </row>
    <row r="896" ht="14.25" customHeight="1" spans="4:32">
      <c r="D896" s="93"/>
      <c r="E896" s="94"/>
      <c r="F896" s="95"/>
      <c r="G896" s="96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  <c r="AA896" s="68"/>
      <c r="AB896" s="68"/>
      <c r="AC896" s="68"/>
      <c r="AD896" s="68"/>
      <c r="AE896" s="68"/>
      <c r="AF896" s="68"/>
    </row>
    <row r="897" ht="14.25" customHeight="1" spans="4:32">
      <c r="D897" s="93"/>
      <c r="E897" s="94"/>
      <c r="F897" s="95"/>
      <c r="G897" s="96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  <c r="AA897" s="68"/>
      <c r="AB897" s="68"/>
      <c r="AC897" s="68"/>
      <c r="AD897" s="68"/>
      <c r="AE897" s="68"/>
      <c r="AF897" s="68"/>
    </row>
    <row r="898" ht="14.25" customHeight="1" spans="4:32">
      <c r="D898" s="93"/>
      <c r="E898" s="94"/>
      <c r="F898" s="95"/>
      <c r="G898" s="96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  <c r="AA898" s="68"/>
      <c r="AB898" s="68"/>
      <c r="AC898" s="68"/>
      <c r="AD898" s="68"/>
      <c r="AE898" s="68"/>
      <c r="AF898" s="68"/>
    </row>
    <row r="899" ht="14.25" customHeight="1" spans="4:32">
      <c r="D899" s="93"/>
      <c r="E899" s="94"/>
      <c r="F899" s="95"/>
      <c r="G899" s="96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  <c r="AA899" s="68"/>
      <c r="AB899" s="68"/>
      <c r="AC899" s="68"/>
      <c r="AD899" s="68"/>
      <c r="AE899" s="68"/>
      <c r="AF899" s="68"/>
    </row>
    <row r="900" ht="14.25" customHeight="1" spans="4:32">
      <c r="D900" s="93"/>
      <c r="E900" s="94"/>
      <c r="F900" s="95"/>
      <c r="G900" s="96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  <c r="AA900" s="68"/>
      <c r="AB900" s="68"/>
      <c r="AC900" s="68"/>
      <c r="AD900" s="68"/>
      <c r="AE900" s="68"/>
      <c r="AF900" s="68"/>
    </row>
    <row r="901" ht="14.25" customHeight="1" spans="4:32">
      <c r="D901" s="93"/>
      <c r="E901" s="94"/>
      <c r="F901" s="95"/>
      <c r="G901" s="96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  <c r="AA901" s="68"/>
      <c r="AB901" s="68"/>
      <c r="AC901" s="68"/>
      <c r="AD901" s="68"/>
      <c r="AE901" s="68"/>
      <c r="AF901" s="68"/>
    </row>
    <row r="902" ht="14.25" customHeight="1" spans="4:32">
      <c r="D902" s="93"/>
      <c r="E902" s="94"/>
      <c r="F902" s="95"/>
      <c r="G902" s="96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  <c r="AA902" s="68"/>
      <c r="AB902" s="68"/>
      <c r="AC902" s="68"/>
      <c r="AD902" s="68"/>
      <c r="AE902" s="68"/>
      <c r="AF902" s="68"/>
    </row>
    <row r="903" ht="14.25" customHeight="1" spans="4:32">
      <c r="D903" s="93"/>
      <c r="E903" s="94"/>
      <c r="F903" s="95"/>
      <c r="G903" s="96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  <c r="AA903" s="68"/>
      <c r="AB903" s="68"/>
      <c r="AC903" s="68"/>
      <c r="AD903" s="68"/>
      <c r="AE903" s="68"/>
      <c r="AF903" s="68"/>
    </row>
    <row r="904" ht="14.25" customHeight="1" spans="4:32">
      <c r="D904" s="93"/>
      <c r="E904" s="94"/>
      <c r="F904" s="95"/>
      <c r="G904" s="96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  <c r="AA904" s="68"/>
      <c r="AB904" s="68"/>
      <c r="AC904" s="68"/>
      <c r="AD904" s="68"/>
      <c r="AE904" s="68"/>
      <c r="AF904" s="68"/>
    </row>
    <row r="905" ht="14.25" customHeight="1" spans="4:32">
      <c r="D905" s="93"/>
      <c r="E905" s="94"/>
      <c r="F905" s="95"/>
      <c r="G905" s="96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  <c r="AA905" s="68"/>
      <c r="AB905" s="68"/>
      <c r="AC905" s="68"/>
      <c r="AD905" s="68"/>
      <c r="AE905" s="68"/>
      <c r="AF905" s="68"/>
    </row>
    <row r="906" ht="14.25" customHeight="1" spans="4:32">
      <c r="D906" s="93"/>
      <c r="E906" s="94"/>
      <c r="F906" s="95"/>
      <c r="G906" s="96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  <c r="AA906" s="68"/>
      <c r="AB906" s="68"/>
      <c r="AC906" s="68"/>
      <c r="AD906" s="68"/>
      <c r="AE906" s="68"/>
      <c r="AF906" s="68"/>
    </row>
    <row r="907" ht="14.25" customHeight="1" spans="4:32">
      <c r="D907" s="93"/>
      <c r="E907" s="94"/>
      <c r="F907" s="95"/>
      <c r="G907" s="96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  <c r="AA907" s="68"/>
      <c r="AB907" s="68"/>
      <c r="AC907" s="68"/>
      <c r="AD907" s="68"/>
      <c r="AE907" s="68"/>
      <c r="AF907" s="68"/>
    </row>
    <row r="908" ht="14.25" customHeight="1" spans="4:32">
      <c r="D908" s="93"/>
      <c r="E908" s="94"/>
      <c r="F908" s="95"/>
      <c r="G908" s="96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  <c r="AA908" s="68"/>
      <c r="AB908" s="68"/>
      <c r="AC908" s="68"/>
      <c r="AD908" s="68"/>
      <c r="AE908" s="68"/>
      <c r="AF908" s="68"/>
    </row>
    <row r="909" ht="14.25" customHeight="1" spans="4:32">
      <c r="D909" s="93"/>
      <c r="E909" s="94"/>
      <c r="F909" s="95"/>
      <c r="G909" s="96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  <c r="AA909" s="68"/>
      <c r="AB909" s="68"/>
      <c r="AC909" s="68"/>
      <c r="AD909" s="68"/>
      <c r="AE909" s="68"/>
      <c r="AF909" s="68"/>
    </row>
    <row r="910" ht="14.25" customHeight="1" spans="4:32">
      <c r="D910" s="93"/>
      <c r="E910" s="94"/>
      <c r="F910" s="95"/>
      <c r="G910" s="96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  <c r="AA910" s="68"/>
      <c r="AB910" s="68"/>
      <c r="AC910" s="68"/>
      <c r="AD910" s="68"/>
      <c r="AE910" s="68"/>
      <c r="AF910" s="68"/>
    </row>
    <row r="911" ht="14.25" customHeight="1" spans="4:32">
      <c r="D911" s="93"/>
      <c r="E911" s="94"/>
      <c r="F911" s="95"/>
      <c r="G911" s="96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  <c r="AA911" s="68"/>
      <c r="AB911" s="68"/>
      <c r="AC911" s="68"/>
      <c r="AD911" s="68"/>
      <c r="AE911" s="68"/>
      <c r="AF911" s="68"/>
    </row>
    <row r="912" ht="14.25" customHeight="1" spans="4:32">
      <c r="D912" s="93"/>
      <c r="E912" s="94"/>
      <c r="F912" s="95"/>
      <c r="G912" s="96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  <c r="AA912" s="68"/>
      <c r="AB912" s="68"/>
      <c r="AC912" s="68"/>
      <c r="AD912" s="68"/>
      <c r="AE912" s="68"/>
      <c r="AF912" s="68"/>
    </row>
    <row r="913" ht="14.25" customHeight="1" spans="4:32">
      <c r="D913" s="93"/>
      <c r="E913" s="94"/>
      <c r="F913" s="95"/>
      <c r="G913" s="96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  <c r="AA913" s="68"/>
      <c r="AB913" s="68"/>
      <c r="AC913" s="68"/>
      <c r="AD913" s="68"/>
      <c r="AE913" s="68"/>
      <c r="AF913" s="68"/>
    </row>
    <row r="914" ht="14.25" customHeight="1" spans="4:32">
      <c r="D914" s="93"/>
      <c r="E914" s="94"/>
      <c r="F914" s="95"/>
      <c r="G914" s="96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  <c r="AA914" s="68"/>
      <c r="AB914" s="68"/>
      <c r="AC914" s="68"/>
      <c r="AD914" s="68"/>
      <c r="AE914" s="68"/>
      <c r="AF914" s="68"/>
    </row>
    <row r="915" ht="14.25" customHeight="1" spans="4:32">
      <c r="D915" s="93"/>
      <c r="E915" s="94"/>
      <c r="F915" s="95"/>
      <c r="G915" s="96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  <c r="AA915" s="68"/>
      <c r="AB915" s="68"/>
      <c r="AC915" s="68"/>
      <c r="AD915" s="68"/>
      <c r="AE915" s="68"/>
      <c r="AF915" s="68"/>
    </row>
    <row r="916" ht="14.25" customHeight="1" spans="4:32">
      <c r="D916" s="93"/>
      <c r="E916" s="94"/>
      <c r="F916" s="95"/>
      <c r="G916" s="96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  <c r="AA916" s="68"/>
      <c r="AB916" s="68"/>
      <c r="AC916" s="68"/>
      <c r="AD916" s="68"/>
      <c r="AE916" s="68"/>
      <c r="AF916" s="68"/>
    </row>
    <row r="917" ht="14.25" customHeight="1" spans="4:32">
      <c r="D917" s="93"/>
      <c r="E917" s="94"/>
      <c r="F917" s="95"/>
      <c r="G917" s="96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  <c r="AA917" s="68"/>
      <c r="AB917" s="68"/>
      <c r="AC917" s="68"/>
      <c r="AD917" s="68"/>
      <c r="AE917" s="68"/>
      <c r="AF917" s="68"/>
    </row>
    <row r="918" ht="14.25" customHeight="1" spans="4:32">
      <c r="D918" s="93"/>
      <c r="E918" s="94"/>
      <c r="F918" s="95"/>
      <c r="G918" s="96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  <c r="AA918" s="68"/>
      <c r="AB918" s="68"/>
      <c r="AC918" s="68"/>
      <c r="AD918" s="68"/>
      <c r="AE918" s="68"/>
      <c r="AF918" s="68"/>
    </row>
    <row r="919" ht="14.25" customHeight="1" spans="4:32">
      <c r="D919" s="93"/>
      <c r="E919" s="94"/>
      <c r="F919" s="95"/>
      <c r="G919" s="96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  <c r="AA919" s="68"/>
      <c r="AB919" s="68"/>
      <c r="AC919" s="68"/>
      <c r="AD919" s="68"/>
      <c r="AE919" s="68"/>
      <c r="AF919" s="68"/>
    </row>
    <row r="920" ht="14.25" customHeight="1" spans="4:32">
      <c r="D920" s="93"/>
      <c r="E920" s="94"/>
      <c r="F920" s="95"/>
      <c r="G920" s="96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  <c r="AA920" s="68"/>
      <c r="AB920" s="68"/>
      <c r="AC920" s="68"/>
      <c r="AD920" s="68"/>
      <c r="AE920" s="68"/>
      <c r="AF920" s="68"/>
    </row>
    <row r="921" ht="14.25" customHeight="1" spans="4:32">
      <c r="D921" s="93"/>
      <c r="E921" s="94"/>
      <c r="F921" s="95"/>
      <c r="G921" s="96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  <c r="AA921" s="68"/>
      <c r="AB921" s="68"/>
      <c r="AC921" s="68"/>
      <c r="AD921" s="68"/>
      <c r="AE921" s="68"/>
      <c r="AF921" s="68"/>
    </row>
    <row r="922" ht="14.25" customHeight="1" spans="4:32">
      <c r="D922" s="93"/>
      <c r="E922" s="94"/>
      <c r="F922" s="95"/>
      <c r="G922" s="96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  <c r="AA922" s="68"/>
      <c r="AB922" s="68"/>
      <c r="AC922" s="68"/>
      <c r="AD922" s="68"/>
      <c r="AE922" s="68"/>
      <c r="AF922" s="68"/>
    </row>
    <row r="923" ht="14.25" customHeight="1" spans="4:32">
      <c r="D923" s="93"/>
      <c r="E923" s="94"/>
      <c r="F923" s="95"/>
      <c r="G923" s="96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  <c r="AA923" s="68"/>
      <c r="AB923" s="68"/>
      <c r="AC923" s="68"/>
      <c r="AD923" s="68"/>
      <c r="AE923" s="68"/>
      <c r="AF923" s="68"/>
    </row>
    <row r="924" ht="14.25" customHeight="1" spans="4:32">
      <c r="D924" s="93"/>
      <c r="E924" s="94"/>
      <c r="F924" s="95"/>
      <c r="G924" s="96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  <c r="AA924" s="68"/>
      <c r="AB924" s="68"/>
      <c r="AC924" s="68"/>
      <c r="AD924" s="68"/>
      <c r="AE924" s="68"/>
      <c r="AF924" s="68"/>
    </row>
    <row r="925" ht="14.25" customHeight="1" spans="4:32">
      <c r="D925" s="93"/>
      <c r="E925" s="94"/>
      <c r="F925" s="95"/>
      <c r="G925" s="96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  <c r="AA925" s="68"/>
      <c r="AB925" s="68"/>
      <c r="AC925" s="68"/>
      <c r="AD925" s="68"/>
      <c r="AE925" s="68"/>
      <c r="AF925" s="68"/>
    </row>
    <row r="926" ht="14.25" customHeight="1" spans="4:32">
      <c r="D926" s="93"/>
      <c r="E926" s="94"/>
      <c r="F926" s="95"/>
      <c r="G926" s="96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  <c r="AA926" s="68"/>
      <c r="AB926" s="68"/>
      <c r="AC926" s="68"/>
      <c r="AD926" s="68"/>
      <c r="AE926" s="68"/>
      <c r="AF926" s="68"/>
    </row>
    <row r="927" ht="14.25" customHeight="1" spans="4:32">
      <c r="D927" s="93"/>
      <c r="E927" s="94"/>
      <c r="F927" s="95"/>
      <c r="G927" s="96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  <c r="AA927" s="68"/>
      <c r="AB927" s="68"/>
      <c r="AC927" s="68"/>
      <c r="AD927" s="68"/>
      <c r="AE927" s="68"/>
      <c r="AF927" s="68"/>
    </row>
    <row r="928" ht="14.25" customHeight="1" spans="4:32">
      <c r="D928" s="93"/>
      <c r="E928" s="94"/>
      <c r="F928" s="95"/>
      <c r="G928" s="96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  <c r="AA928" s="68"/>
      <c r="AB928" s="68"/>
      <c r="AC928" s="68"/>
      <c r="AD928" s="68"/>
      <c r="AE928" s="68"/>
      <c r="AF928" s="68"/>
    </row>
    <row r="929" ht="14.25" customHeight="1" spans="4:32">
      <c r="D929" s="93"/>
      <c r="E929" s="94"/>
      <c r="F929" s="95"/>
      <c r="G929" s="96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  <c r="AA929" s="68"/>
      <c r="AB929" s="68"/>
      <c r="AC929" s="68"/>
      <c r="AD929" s="68"/>
      <c r="AE929" s="68"/>
      <c r="AF929" s="68"/>
    </row>
    <row r="930" ht="14.25" customHeight="1" spans="4:32">
      <c r="D930" s="93"/>
      <c r="E930" s="94"/>
      <c r="F930" s="95"/>
      <c r="G930" s="96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  <c r="AA930" s="68"/>
      <c r="AB930" s="68"/>
      <c r="AC930" s="68"/>
      <c r="AD930" s="68"/>
      <c r="AE930" s="68"/>
      <c r="AF930" s="68"/>
    </row>
    <row r="931" ht="14.25" customHeight="1" spans="4:32">
      <c r="D931" s="93"/>
      <c r="E931" s="94"/>
      <c r="F931" s="95"/>
      <c r="G931" s="96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  <c r="AA931" s="68"/>
      <c r="AB931" s="68"/>
      <c r="AC931" s="68"/>
      <c r="AD931" s="68"/>
      <c r="AE931" s="68"/>
      <c r="AF931" s="68"/>
    </row>
    <row r="932" ht="14.25" customHeight="1" spans="4:32">
      <c r="D932" s="93"/>
      <c r="E932" s="94"/>
      <c r="F932" s="95"/>
      <c r="G932" s="96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  <c r="AA932" s="68"/>
      <c r="AB932" s="68"/>
      <c r="AC932" s="68"/>
      <c r="AD932" s="68"/>
      <c r="AE932" s="68"/>
      <c r="AF932" s="68"/>
    </row>
    <row r="933" ht="14.25" customHeight="1" spans="4:32">
      <c r="D933" s="93"/>
      <c r="E933" s="94"/>
      <c r="F933" s="95"/>
      <c r="G933" s="96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  <c r="AA933" s="68"/>
      <c r="AB933" s="68"/>
      <c r="AC933" s="68"/>
      <c r="AD933" s="68"/>
      <c r="AE933" s="68"/>
      <c r="AF933" s="68"/>
    </row>
    <row r="934" ht="14.25" customHeight="1" spans="4:32">
      <c r="D934" s="93"/>
      <c r="E934" s="94"/>
      <c r="F934" s="95"/>
      <c r="G934" s="96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  <c r="AA934" s="68"/>
      <c r="AB934" s="68"/>
      <c r="AC934" s="68"/>
      <c r="AD934" s="68"/>
      <c r="AE934" s="68"/>
      <c r="AF934" s="68"/>
    </row>
    <row r="935" ht="14.25" customHeight="1" spans="4:32">
      <c r="D935" s="93"/>
      <c r="E935" s="94"/>
      <c r="F935" s="95"/>
      <c r="G935" s="96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  <c r="AA935" s="68"/>
      <c r="AB935" s="68"/>
      <c r="AC935" s="68"/>
      <c r="AD935" s="68"/>
      <c r="AE935" s="68"/>
      <c r="AF935" s="68"/>
    </row>
    <row r="936" ht="14.25" customHeight="1" spans="4:32">
      <c r="D936" s="93"/>
      <c r="E936" s="94"/>
      <c r="F936" s="95"/>
      <c r="G936" s="96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  <c r="AA936" s="68"/>
      <c r="AB936" s="68"/>
      <c r="AC936" s="68"/>
      <c r="AD936" s="68"/>
      <c r="AE936" s="68"/>
      <c r="AF936" s="68"/>
    </row>
    <row r="937" ht="14.25" customHeight="1" spans="4:32">
      <c r="D937" s="93"/>
      <c r="E937" s="94"/>
      <c r="F937" s="95"/>
      <c r="G937" s="96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  <c r="AA937" s="68"/>
      <c r="AB937" s="68"/>
      <c r="AC937" s="68"/>
      <c r="AD937" s="68"/>
      <c r="AE937" s="68"/>
      <c r="AF937" s="68"/>
    </row>
    <row r="938" ht="14.25" customHeight="1" spans="4:32">
      <c r="D938" s="93"/>
      <c r="E938" s="94"/>
      <c r="F938" s="95"/>
      <c r="G938" s="96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  <c r="AA938" s="68"/>
      <c r="AB938" s="68"/>
      <c r="AC938" s="68"/>
      <c r="AD938" s="68"/>
      <c r="AE938" s="68"/>
      <c r="AF938" s="68"/>
    </row>
    <row r="939" ht="14.25" customHeight="1" spans="4:32">
      <c r="D939" s="93"/>
      <c r="E939" s="94"/>
      <c r="F939" s="95"/>
      <c r="G939" s="96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  <c r="AA939" s="68"/>
      <c r="AB939" s="68"/>
      <c r="AC939" s="68"/>
      <c r="AD939" s="68"/>
      <c r="AE939" s="68"/>
      <c r="AF939" s="68"/>
    </row>
    <row r="940" ht="14.25" customHeight="1" spans="4:32">
      <c r="D940" s="93"/>
      <c r="E940" s="94"/>
      <c r="F940" s="95"/>
      <c r="G940" s="96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  <c r="AA940" s="68"/>
      <c r="AB940" s="68"/>
      <c r="AC940" s="68"/>
      <c r="AD940" s="68"/>
      <c r="AE940" s="68"/>
      <c r="AF940" s="68"/>
    </row>
    <row r="941" ht="14.25" customHeight="1" spans="4:32">
      <c r="D941" s="93"/>
      <c r="E941" s="94"/>
      <c r="F941" s="95"/>
      <c r="G941" s="96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  <c r="AA941" s="68"/>
      <c r="AB941" s="68"/>
      <c r="AC941" s="68"/>
      <c r="AD941" s="68"/>
      <c r="AE941" s="68"/>
      <c r="AF941" s="68"/>
    </row>
    <row r="942" ht="14.25" customHeight="1" spans="4:32">
      <c r="D942" s="93"/>
      <c r="E942" s="94"/>
      <c r="F942" s="95"/>
      <c r="G942" s="96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  <c r="AA942" s="68"/>
      <c r="AB942" s="68"/>
      <c r="AC942" s="68"/>
      <c r="AD942" s="68"/>
      <c r="AE942" s="68"/>
      <c r="AF942" s="68"/>
    </row>
    <row r="943" ht="14.25" customHeight="1" spans="4:32">
      <c r="D943" s="93"/>
      <c r="E943" s="94"/>
      <c r="F943" s="95"/>
      <c r="G943" s="96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  <c r="AA943" s="68"/>
      <c r="AB943" s="68"/>
      <c r="AC943" s="68"/>
      <c r="AD943" s="68"/>
      <c r="AE943" s="68"/>
      <c r="AF943" s="68"/>
    </row>
    <row r="944" ht="14.25" customHeight="1" spans="4:32">
      <c r="D944" s="93"/>
      <c r="E944" s="94"/>
      <c r="F944" s="95"/>
      <c r="G944" s="96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  <c r="AA944" s="68"/>
      <c r="AB944" s="68"/>
      <c r="AC944" s="68"/>
      <c r="AD944" s="68"/>
      <c r="AE944" s="68"/>
      <c r="AF944" s="68"/>
    </row>
    <row r="945" ht="14.25" customHeight="1" spans="4:32">
      <c r="D945" s="93"/>
      <c r="E945" s="94"/>
      <c r="F945" s="95"/>
      <c r="G945" s="96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  <c r="AA945" s="68"/>
      <c r="AB945" s="68"/>
      <c r="AC945" s="68"/>
      <c r="AD945" s="68"/>
      <c r="AE945" s="68"/>
      <c r="AF945" s="68"/>
    </row>
    <row r="946" ht="14.25" customHeight="1" spans="4:32">
      <c r="D946" s="93"/>
      <c r="E946" s="94"/>
      <c r="F946" s="95"/>
      <c r="G946" s="96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  <c r="AA946" s="68"/>
      <c r="AB946" s="68"/>
      <c r="AC946" s="68"/>
      <c r="AD946" s="68"/>
      <c r="AE946" s="68"/>
      <c r="AF946" s="68"/>
    </row>
    <row r="947" ht="14.25" customHeight="1" spans="4:32">
      <c r="D947" s="93"/>
      <c r="E947" s="94"/>
      <c r="F947" s="95"/>
      <c r="G947" s="96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  <c r="AA947" s="68"/>
      <c r="AB947" s="68"/>
      <c r="AC947" s="68"/>
      <c r="AD947" s="68"/>
      <c r="AE947" s="68"/>
      <c r="AF947" s="68"/>
    </row>
    <row r="948" ht="14.25" customHeight="1" spans="4:32">
      <c r="D948" s="93"/>
      <c r="E948" s="94"/>
      <c r="F948" s="95"/>
      <c r="G948" s="96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  <c r="AA948" s="68"/>
      <c r="AB948" s="68"/>
      <c r="AC948" s="68"/>
      <c r="AD948" s="68"/>
      <c r="AE948" s="68"/>
      <c r="AF948" s="68"/>
    </row>
    <row r="949" ht="14.25" customHeight="1" spans="4:32">
      <c r="D949" s="93"/>
      <c r="E949" s="94"/>
      <c r="F949" s="95"/>
      <c r="G949" s="96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  <c r="AA949" s="68"/>
      <c r="AB949" s="68"/>
      <c r="AC949" s="68"/>
      <c r="AD949" s="68"/>
      <c r="AE949" s="68"/>
      <c r="AF949" s="68"/>
    </row>
    <row r="950" ht="14.25" customHeight="1" spans="4:32">
      <c r="D950" s="93"/>
      <c r="E950" s="94"/>
      <c r="F950" s="95"/>
      <c r="G950" s="96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  <c r="AA950" s="68"/>
      <c r="AB950" s="68"/>
      <c r="AC950" s="68"/>
      <c r="AD950" s="68"/>
      <c r="AE950" s="68"/>
      <c r="AF950" s="68"/>
    </row>
    <row r="951" ht="14.25" customHeight="1" spans="4:32">
      <c r="D951" s="93"/>
      <c r="E951" s="94"/>
      <c r="F951" s="95"/>
      <c r="G951" s="96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  <c r="AA951" s="68"/>
      <c r="AB951" s="68"/>
      <c r="AC951" s="68"/>
      <c r="AD951" s="68"/>
      <c r="AE951" s="68"/>
      <c r="AF951" s="68"/>
    </row>
    <row r="952" ht="14.25" customHeight="1" spans="4:32">
      <c r="D952" s="93"/>
      <c r="E952" s="94"/>
      <c r="F952" s="95"/>
      <c r="G952" s="96"/>
      <c r="P952" s="68"/>
      <c r="Q952" s="68"/>
      <c r="R952" s="68"/>
      <c r="S952" s="68"/>
      <c r="T952" s="68"/>
      <c r="U952" s="68"/>
      <c r="V952" s="68"/>
      <c r="W952" s="68"/>
      <c r="X952" s="68"/>
      <c r="Y952" s="68"/>
      <c r="Z952" s="68"/>
      <c r="AA952" s="68"/>
      <c r="AB952" s="68"/>
      <c r="AC952" s="68"/>
      <c r="AD952" s="68"/>
      <c r="AE952" s="68"/>
      <c r="AF952" s="68"/>
    </row>
    <row r="953" ht="14.25" customHeight="1" spans="4:32">
      <c r="D953" s="93"/>
      <c r="E953" s="94"/>
      <c r="F953" s="95"/>
      <c r="G953" s="96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  <c r="AA953" s="68"/>
      <c r="AB953" s="68"/>
      <c r="AC953" s="68"/>
      <c r="AD953" s="68"/>
      <c r="AE953" s="68"/>
      <c r="AF953" s="68"/>
    </row>
    <row r="954" ht="14.25" customHeight="1" spans="4:32">
      <c r="D954" s="93"/>
      <c r="E954" s="94"/>
      <c r="F954" s="95"/>
      <c r="G954" s="96"/>
      <c r="P954" s="68"/>
      <c r="Q954" s="68"/>
      <c r="R954" s="68"/>
      <c r="S954" s="68"/>
      <c r="T954" s="68"/>
      <c r="U954" s="68"/>
      <c r="V954" s="68"/>
      <c r="W954" s="68"/>
      <c r="X954" s="68"/>
      <c r="Y954" s="68"/>
      <c r="Z954" s="68"/>
      <c r="AA954" s="68"/>
      <c r="AB954" s="68"/>
      <c r="AC954" s="68"/>
      <c r="AD954" s="68"/>
      <c r="AE954" s="68"/>
      <c r="AF954" s="68"/>
    </row>
    <row r="955" ht="14.25" customHeight="1" spans="4:32">
      <c r="D955" s="93"/>
      <c r="E955" s="94"/>
      <c r="F955" s="95"/>
      <c r="G955" s="96"/>
      <c r="P955" s="68"/>
      <c r="Q955" s="68"/>
      <c r="R955" s="68"/>
      <c r="S955" s="68"/>
      <c r="T955" s="68"/>
      <c r="U955" s="68"/>
      <c r="V955" s="68"/>
      <c r="W955" s="68"/>
      <c r="X955" s="68"/>
      <c r="Y955" s="68"/>
      <c r="Z955" s="68"/>
      <c r="AA955" s="68"/>
      <c r="AB955" s="68"/>
      <c r="AC955" s="68"/>
      <c r="AD955" s="68"/>
      <c r="AE955" s="68"/>
      <c r="AF955" s="68"/>
    </row>
    <row r="956" ht="14.25" customHeight="1" spans="4:32">
      <c r="D956" s="93"/>
      <c r="E956" s="94"/>
      <c r="F956" s="95"/>
      <c r="G956" s="96"/>
      <c r="P956" s="68"/>
      <c r="Q956" s="68"/>
      <c r="R956" s="68"/>
      <c r="S956" s="68"/>
      <c r="T956" s="68"/>
      <c r="U956" s="68"/>
      <c r="V956" s="68"/>
      <c r="W956" s="68"/>
      <c r="X956" s="68"/>
      <c r="Y956" s="68"/>
      <c r="Z956" s="68"/>
      <c r="AA956" s="68"/>
      <c r="AB956" s="68"/>
      <c r="AC956" s="68"/>
      <c r="AD956" s="68"/>
      <c r="AE956" s="68"/>
      <c r="AF956" s="68"/>
    </row>
    <row r="957" ht="14.25" customHeight="1" spans="4:32">
      <c r="D957" s="93"/>
      <c r="E957" s="94"/>
      <c r="F957" s="95"/>
      <c r="G957" s="96"/>
      <c r="P957" s="68"/>
      <c r="Q957" s="68"/>
      <c r="R957" s="68"/>
      <c r="S957" s="68"/>
      <c r="T957" s="68"/>
      <c r="U957" s="68"/>
      <c r="V957" s="68"/>
      <c r="W957" s="68"/>
      <c r="X957" s="68"/>
      <c r="Y957" s="68"/>
      <c r="Z957" s="68"/>
      <c r="AA957" s="68"/>
      <c r="AB957" s="68"/>
      <c r="AC957" s="68"/>
      <c r="AD957" s="68"/>
      <c r="AE957" s="68"/>
      <c r="AF957" s="68"/>
    </row>
    <row r="958" ht="14.25" customHeight="1" spans="4:32">
      <c r="D958" s="93"/>
      <c r="E958" s="94"/>
      <c r="F958" s="95"/>
      <c r="G958" s="96"/>
      <c r="P958" s="68"/>
      <c r="Q958" s="68"/>
      <c r="R958" s="68"/>
      <c r="S958" s="68"/>
      <c r="T958" s="68"/>
      <c r="U958" s="68"/>
      <c r="V958" s="68"/>
      <c r="W958" s="68"/>
      <c r="X958" s="68"/>
      <c r="Y958" s="68"/>
      <c r="Z958" s="68"/>
      <c r="AA958" s="68"/>
      <c r="AB958" s="68"/>
      <c r="AC958" s="68"/>
      <c r="AD958" s="68"/>
      <c r="AE958" s="68"/>
      <c r="AF958" s="68"/>
    </row>
    <row r="959" ht="14.25" customHeight="1" spans="4:32">
      <c r="D959" s="93"/>
      <c r="E959" s="94"/>
      <c r="F959" s="95"/>
      <c r="G959" s="96"/>
      <c r="P959" s="68"/>
      <c r="Q959" s="68"/>
      <c r="R959" s="68"/>
      <c r="S959" s="68"/>
      <c r="T959" s="68"/>
      <c r="U959" s="68"/>
      <c r="V959" s="68"/>
      <c r="W959" s="68"/>
      <c r="X959" s="68"/>
      <c r="Y959" s="68"/>
      <c r="Z959" s="68"/>
      <c r="AA959" s="68"/>
      <c r="AB959" s="68"/>
      <c r="AC959" s="68"/>
      <c r="AD959" s="68"/>
      <c r="AE959" s="68"/>
      <c r="AF959" s="68"/>
    </row>
    <row r="960" ht="14.25" customHeight="1" spans="4:32">
      <c r="D960" s="93"/>
      <c r="E960" s="94"/>
      <c r="F960" s="95"/>
      <c r="G960" s="96"/>
      <c r="P960" s="68"/>
      <c r="Q960" s="68"/>
      <c r="R960" s="68"/>
      <c r="S960" s="68"/>
      <c r="T960" s="68"/>
      <c r="U960" s="68"/>
      <c r="V960" s="68"/>
      <c r="W960" s="68"/>
      <c r="X960" s="68"/>
      <c r="Y960" s="68"/>
      <c r="Z960" s="68"/>
      <c r="AA960" s="68"/>
      <c r="AB960" s="68"/>
      <c r="AC960" s="68"/>
      <c r="AD960" s="68"/>
      <c r="AE960" s="68"/>
      <c r="AF960" s="68"/>
    </row>
    <row r="961" ht="14.25" customHeight="1" spans="4:32">
      <c r="D961" s="93"/>
      <c r="E961" s="94"/>
      <c r="F961" s="95"/>
      <c r="G961" s="96"/>
      <c r="P961" s="68"/>
      <c r="Q961" s="68"/>
      <c r="R961" s="68"/>
      <c r="S961" s="68"/>
      <c r="T961" s="68"/>
      <c r="U961" s="68"/>
      <c r="V961" s="68"/>
      <c r="W961" s="68"/>
      <c r="X961" s="68"/>
      <c r="Y961" s="68"/>
      <c r="Z961" s="68"/>
      <c r="AA961" s="68"/>
      <c r="AB961" s="68"/>
      <c r="AC961" s="68"/>
      <c r="AD961" s="68"/>
      <c r="AE961" s="68"/>
      <c r="AF961" s="68"/>
    </row>
    <row r="962" ht="14.25" customHeight="1" spans="4:32">
      <c r="D962" s="93"/>
      <c r="E962" s="94"/>
      <c r="F962" s="95"/>
      <c r="G962" s="96"/>
      <c r="P962" s="68"/>
      <c r="Q962" s="68"/>
      <c r="R962" s="68"/>
      <c r="S962" s="68"/>
      <c r="T962" s="68"/>
      <c r="U962" s="68"/>
      <c r="V962" s="68"/>
      <c r="W962" s="68"/>
      <c r="X962" s="68"/>
      <c r="Y962" s="68"/>
      <c r="Z962" s="68"/>
      <c r="AA962" s="68"/>
      <c r="AB962" s="68"/>
      <c r="AC962" s="68"/>
      <c r="AD962" s="68"/>
      <c r="AE962" s="68"/>
      <c r="AF962" s="68"/>
    </row>
    <row r="963" ht="14.25" customHeight="1" spans="4:32">
      <c r="D963" s="93"/>
      <c r="E963" s="94"/>
      <c r="F963" s="95"/>
      <c r="G963" s="96"/>
      <c r="P963" s="68"/>
      <c r="Q963" s="68"/>
      <c r="R963" s="68"/>
      <c r="S963" s="68"/>
      <c r="T963" s="68"/>
      <c r="U963" s="68"/>
      <c r="V963" s="68"/>
      <c r="W963" s="68"/>
      <c r="X963" s="68"/>
      <c r="Y963" s="68"/>
      <c r="Z963" s="68"/>
      <c r="AA963" s="68"/>
      <c r="AB963" s="68"/>
      <c r="AC963" s="68"/>
      <c r="AD963" s="68"/>
      <c r="AE963" s="68"/>
      <c r="AF963" s="68"/>
    </row>
    <row r="964" ht="14.25" customHeight="1" spans="4:32">
      <c r="D964" s="93"/>
      <c r="E964" s="94"/>
      <c r="F964" s="95"/>
      <c r="G964" s="96"/>
      <c r="P964" s="68"/>
      <c r="Q964" s="68"/>
      <c r="R964" s="68"/>
      <c r="S964" s="68"/>
      <c r="T964" s="68"/>
      <c r="U964" s="68"/>
      <c r="V964" s="68"/>
      <c r="W964" s="68"/>
      <c r="X964" s="68"/>
      <c r="Y964" s="68"/>
      <c r="Z964" s="68"/>
      <c r="AA964" s="68"/>
      <c r="AB964" s="68"/>
      <c r="AC964" s="68"/>
      <c r="AD964" s="68"/>
      <c r="AE964" s="68"/>
      <c r="AF964" s="68"/>
    </row>
    <row r="965" ht="14.25" customHeight="1" spans="4:32">
      <c r="D965" s="93"/>
      <c r="E965" s="94"/>
      <c r="F965" s="95"/>
      <c r="G965" s="96"/>
      <c r="P965" s="68"/>
      <c r="Q965" s="68"/>
      <c r="R965" s="68"/>
      <c r="S965" s="68"/>
      <c r="T965" s="68"/>
      <c r="U965" s="68"/>
      <c r="V965" s="68"/>
      <c r="W965" s="68"/>
      <c r="X965" s="68"/>
      <c r="Y965" s="68"/>
      <c r="Z965" s="68"/>
      <c r="AA965" s="68"/>
      <c r="AB965" s="68"/>
      <c r="AC965" s="68"/>
      <c r="AD965" s="68"/>
      <c r="AE965" s="68"/>
      <c r="AF965" s="68"/>
    </row>
    <row r="966" ht="14.25" customHeight="1" spans="4:32">
      <c r="D966" s="93"/>
      <c r="E966" s="94"/>
      <c r="F966" s="95"/>
      <c r="G966" s="96"/>
      <c r="P966" s="68"/>
      <c r="Q966" s="68"/>
      <c r="R966" s="68"/>
      <c r="S966" s="68"/>
      <c r="T966" s="68"/>
      <c r="U966" s="68"/>
      <c r="V966" s="68"/>
      <c r="W966" s="68"/>
      <c r="X966" s="68"/>
      <c r="Y966" s="68"/>
      <c r="Z966" s="68"/>
      <c r="AA966" s="68"/>
      <c r="AB966" s="68"/>
      <c r="AC966" s="68"/>
      <c r="AD966" s="68"/>
      <c r="AE966" s="68"/>
      <c r="AF966" s="68"/>
    </row>
    <row r="967" ht="14.25" customHeight="1" spans="4:32">
      <c r="D967" s="93"/>
      <c r="E967" s="94"/>
      <c r="F967" s="95"/>
      <c r="G967" s="96"/>
      <c r="P967" s="68"/>
      <c r="Q967" s="68"/>
      <c r="R967" s="68"/>
      <c r="S967" s="68"/>
      <c r="T967" s="68"/>
      <c r="U967" s="68"/>
      <c r="V967" s="68"/>
      <c r="W967" s="68"/>
      <c r="X967" s="68"/>
      <c r="Y967" s="68"/>
      <c r="Z967" s="68"/>
      <c r="AA967" s="68"/>
      <c r="AB967" s="68"/>
      <c r="AC967" s="68"/>
      <c r="AD967" s="68"/>
      <c r="AE967" s="68"/>
      <c r="AF967" s="68"/>
    </row>
    <row r="968" ht="14.25" customHeight="1" spans="4:32">
      <c r="D968" s="93"/>
      <c r="E968" s="94"/>
      <c r="F968" s="95"/>
      <c r="G968" s="96"/>
      <c r="P968" s="68"/>
      <c r="Q968" s="68"/>
      <c r="R968" s="68"/>
      <c r="S968" s="68"/>
      <c r="T968" s="68"/>
      <c r="U968" s="68"/>
      <c r="V968" s="68"/>
      <c r="W968" s="68"/>
      <c r="X968" s="68"/>
      <c r="Y968" s="68"/>
      <c r="Z968" s="68"/>
      <c r="AA968" s="68"/>
      <c r="AB968" s="68"/>
      <c r="AC968" s="68"/>
      <c r="AD968" s="68"/>
      <c r="AE968" s="68"/>
      <c r="AF968" s="68"/>
    </row>
    <row r="969" ht="14.25" customHeight="1" spans="4:32">
      <c r="D969" s="93"/>
      <c r="E969" s="94"/>
      <c r="F969" s="95"/>
      <c r="G969" s="96"/>
      <c r="P969" s="68"/>
      <c r="Q969" s="68"/>
      <c r="R969" s="68"/>
      <c r="S969" s="68"/>
      <c r="T969" s="68"/>
      <c r="U969" s="68"/>
      <c r="V969" s="68"/>
      <c r="W969" s="68"/>
      <c r="X969" s="68"/>
      <c r="Y969" s="68"/>
      <c r="Z969" s="68"/>
      <c r="AA969" s="68"/>
      <c r="AB969" s="68"/>
      <c r="AC969" s="68"/>
      <c r="AD969" s="68"/>
      <c r="AE969" s="68"/>
      <c r="AF969" s="68"/>
    </row>
    <row r="970" ht="14.25" customHeight="1" spans="4:32">
      <c r="D970" s="93"/>
      <c r="E970" s="94"/>
      <c r="F970" s="95"/>
      <c r="G970" s="96"/>
      <c r="P970" s="68"/>
      <c r="Q970" s="68"/>
      <c r="R970" s="68"/>
      <c r="S970" s="68"/>
      <c r="T970" s="68"/>
      <c r="U970" s="68"/>
      <c r="V970" s="68"/>
      <c r="W970" s="68"/>
      <c r="X970" s="68"/>
      <c r="Y970" s="68"/>
      <c r="Z970" s="68"/>
      <c r="AA970" s="68"/>
      <c r="AB970" s="68"/>
      <c r="AC970" s="68"/>
      <c r="AD970" s="68"/>
      <c r="AE970" s="68"/>
      <c r="AF970" s="68"/>
    </row>
    <row r="971" ht="14.25" customHeight="1" spans="4:32">
      <c r="D971" s="93"/>
      <c r="E971" s="94"/>
      <c r="F971" s="95"/>
      <c r="G971" s="96"/>
      <c r="P971" s="68"/>
      <c r="Q971" s="68"/>
      <c r="R971" s="68"/>
      <c r="S971" s="68"/>
      <c r="T971" s="68"/>
      <c r="U971" s="68"/>
      <c r="V971" s="68"/>
      <c r="W971" s="68"/>
      <c r="X971" s="68"/>
      <c r="Y971" s="68"/>
      <c r="Z971" s="68"/>
      <c r="AA971" s="68"/>
      <c r="AB971" s="68"/>
      <c r="AC971" s="68"/>
      <c r="AD971" s="68"/>
      <c r="AE971" s="68"/>
      <c r="AF971" s="68"/>
    </row>
    <row r="972" ht="14.25" customHeight="1" spans="4:32">
      <c r="D972" s="93"/>
      <c r="E972" s="94"/>
      <c r="F972" s="95"/>
      <c r="G972" s="96"/>
      <c r="P972" s="68"/>
      <c r="Q972" s="68"/>
      <c r="R972" s="68"/>
      <c r="S972" s="68"/>
      <c r="T972" s="68"/>
      <c r="U972" s="68"/>
      <c r="V972" s="68"/>
      <c r="W972" s="68"/>
      <c r="X972" s="68"/>
      <c r="Y972" s="68"/>
      <c r="Z972" s="68"/>
      <c r="AA972" s="68"/>
      <c r="AB972" s="68"/>
      <c r="AC972" s="68"/>
      <c r="AD972" s="68"/>
      <c r="AE972" s="68"/>
      <c r="AF972" s="68"/>
    </row>
    <row r="973" ht="14.25" customHeight="1" spans="4:32">
      <c r="D973" s="93"/>
      <c r="E973" s="94"/>
      <c r="F973" s="95"/>
      <c r="G973" s="96"/>
      <c r="P973" s="68"/>
      <c r="Q973" s="68"/>
      <c r="R973" s="68"/>
      <c r="S973" s="68"/>
      <c r="T973" s="68"/>
      <c r="U973" s="68"/>
      <c r="V973" s="68"/>
      <c r="W973" s="68"/>
      <c r="X973" s="68"/>
      <c r="Y973" s="68"/>
      <c r="Z973" s="68"/>
      <c r="AA973" s="68"/>
      <c r="AB973" s="68"/>
      <c r="AC973" s="68"/>
      <c r="AD973" s="68"/>
      <c r="AE973" s="68"/>
      <c r="AF973" s="68"/>
    </row>
    <row r="974" ht="14.25" customHeight="1" spans="4:32">
      <c r="D974" s="93"/>
      <c r="E974" s="94"/>
      <c r="F974" s="95"/>
      <c r="G974" s="96"/>
      <c r="P974" s="68"/>
      <c r="Q974" s="68"/>
      <c r="R974" s="68"/>
      <c r="S974" s="68"/>
      <c r="T974" s="68"/>
      <c r="U974" s="68"/>
      <c r="V974" s="68"/>
      <c r="W974" s="68"/>
      <c r="X974" s="68"/>
      <c r="Y974" s="68"/>
      <c r="Z974" s="68"/>
      <c r="AA974" s="68"/>
      <c r="AB974" s="68"/>
      <c r="AC974" s="68"/>
      <c r="AD974" s="68"/>
      <c r="AE974" s="68"/>
      <c r="AF974" s="68"/>
    </row>
    <row r="975" ht="14.25" customHeight="1" spans="4:32">
      <c r="D975" s="93"/>
      <c r="E975" s="94"/>
      <c r="F975" s="95"/>
      <c r="G975" s="96"/>
      <c r="P975" s="68"/>
      <c r="Q975" s="68"/>
      <c r="R975" s="68"/>
      <c r="S975" s="68"/>
      <c r="T975" s="68"/>
      <c r="U975" s="68"/>
      <c r="V975" s="68"/>
      <c r="W975" s="68"/>
      <c r="X975" s="68"/>
      <c r="Y975" s="68"/>
      <c r="Z975" s="68"/>
      <c r="AA975" s="68"/>
      <c r="AB975" s="68"/>
      <c r="AC975" s="68"/>
      <c r="AD975" s="68"/>
      <c r="AE975" s="68"/>
      <c r="AF975" s="68"/>
    </row>
    <row r="976" ht="14.25" customHeight="1" spans="4:32">
      <c r="D976" s="93"/>
      <c r="E976" s="94"/>
      <c r="F976" s="95"/>
      <c r="G976" s="96"/>
      <c r="P976" s="68"/>
      <c r="Q976" s="68"/>
      <c r="R976" s="68"/>
      <c r="S976" s="68"/>
      <c r="T976" s="68"/>
      <c r="U976" s="68"/>
      <c r="V976" s="68"/>
      <c r="W976" s="68"/>
      <c r="X976" s="68"/>
      <c r="Y976" s="68"/>
      <c r="Z976" s="68"/>
      <c r="AA976" s="68"/>
      <c r="AB976" s="68"/>
      <c r="AC976" s="68"/>
      <c r="AD976" s="68"/>
      <c r="AE976" s="68"/>
      <c r="AF976" s="68"/>
    </row>
    <row r="977" ht="14.25" customHeight="1" spans="4:32">
      <c r="D977" s="93"/>
      <c r="E977" s="94"/>
      <c r="F977" s="95"/>
      <c r="G977" s="96"/>
      <c r="P977" s="68"/>
      <c r="Q977" s="68"/>
      <c r="R977" s="68"/>
      <c r="S977" s="68"/>
      <c r="T977" s="68"/>
      <c r="U977" s="68"/>
      <c r="V977" s="68"/>
      <c r="W977" s="68"/>
      <c r="X977" s="68"/>
      <c r="Y977" s="68"/>
      <c r="Z977" s="68"/>
      <c r="AA977" s="68"/>
      <c r="AB977" s="68"/>
      <c r="AC977" s="68"/>
      <c r="AD977" s="68"/>
      <c r="AE977" s="68"/>
      <c r="AF977" s="68"/>
    </row>
    <row r="978" ht="14.25" customHeight="1" spans="4:32">
      <c r="D978" s="93"/>
      <c r="E978" s="94"/>
      <c r="F978" s="95"/>
      <c r="G978" s="96"/>
      <c r="P978" s="68"/>
      <c r="Q978" s="68"/>
      <c r="R978" s="68"/>
      <c r="S978" s="68"/>
      <c r="T978" s="68"/>
      <c r="U978" s="68"/>
      <c r="V978" s="68"/>
      <c r="W978" s="68"/>
      <c r="X978" s="68"/>
      <c r="Y978" s="68"/>
      <c r="Z978" s="68"/>
      <c r="AA978" s="68"/>
      <c r="AB978" s="68"/>
      <c r="AC978" s="68"/>
      <c r="AD978" s="68"/>
      <c r="AE978" s="68"/>
      <c r="AF978" s="68"/>
    </row>
    <row r="979" ht="14.25" customHeight="1" spans="4:32">
      <c r="D979" s="93"/>
      <c r="E979" s="94"/>
      <c r="F979" s="95"/>
      <c r="G979" s="96"/>
      <c r="P979" s="68"/>
      <c r="Q979" s="68"/>
      <c r="R979" s="68"/>
      <c r="S979" s="68"/>
      <c r="T979" s="68"/>
      <c r="U979" s="68"/>
      <c r="V979" s="68"/>
      <c r="W979" s="68"/>
      <c r="X979" s="68"/>
      <c r="Y979" s="68"/>
      <c r="Z979" s="68"/>
      <c r="AA979" s="68"/>
      <c r="AB979" s="68"/>
      <c r="AC979" s="68"/>
      <c r="AD979" s="68"/>
      <c r="AE979" s="68"/>
      <c r="AF979" s="68"/>
    </row>
    <row r="980" ht="14.25" customHeight="1" spans="4:32">
      <c r="D980" s="93"/>
      <c r="E980" s="94"/>
      <c r="F980" s="95"/>
      <c r="G980" s="96"/>
      <c r="P980" s="68"/>
      <c r="Q980" s="68"/>
      <c r="R980" s="68"/>
      <c r="S980" s="68"/>
      <c r="T980" s="68"/>
      <c r="U980" s="68"/>
      <c r="V980" s="68"/>
      <c r="W980" s="68"/>
      <c r="X980" s="68"/>
      <c r="Y980" s="68"/>
      <c r="Z980" s="68"/>
      <c r="AA980" s="68"/>
      <c r="AB980" s="68"/>
      <c r="AC980" s="68"/>
      <c r="AD980" s="68"/>
      <c r="AE980" s="68"/>
      <c r="AF980" s="68"/>
    </row>
    <row r="981" ht="14.25" customHeight="1" spans="4:32">
      <c r="D981" s="93"/>
      <c r="E981" s="94"/>
      <c r="F981" s="95"/>
      <c r="G981" s="96"/>
      <c r="P981" s="68"/>
      <c r="Q981" s="68"/>
      <c r="R981" s="68"/>
      <c r="S981" s="68"/>
      <c r="T981" s="68"/>
      <c r="U981" s="68"/>
      <c r="V981" s="68"/>
      <c r="W981" s="68"/>
      <c r="X981" s="68"/>
      <c r="Y981" s="68"/>
      <c r="Z981" s="68"/>
      <c r="AA981" s="68"/>
      <c r="AB981" s="68"/>
      <c r="AC981" s="68"/>
      <c r="AD981" s="68"/>
      <c r="AE981" s="68"/>
      <c r="AF981" s="68"/>
    </row>
    <row r="982" ht="14.25" customHeight="1" spans="4:32">
      <c r="D982" s="93"/>
      <c r="E982" s="94"/>
      <c r="F982" s="95"/>
      <c r="G982" s="96"/>
      <c r="P982" s="68"/>
      <c r="Q982" s="68"/>
      <c r="R982" s="68"/>
      <c r="S982" s="68"/>
      <c r="T982" s="68"/>
      <c r="U982" s="68"/>
      <c r="V982" s="68"/>
      <c r="W982" s="68"/>
      <c r="X982" s="68"/>
      <c r="Y982" s="68"/>
      <c r="Z982" s="68"/>
      <c r="AA982" s="68"/>
      <c r="AB982" s="68"/>
      <c r="AC982" s="68"/>
      <c r="AD982" s="68"/>
      <c r="AE982" s="68"/>
      <c r="AF982" s="68"/>
    </row>
    <row r="983" ht="14.25" customHeight="1" spans="4:32">
      <c r="D983" s="93"/>
      <c r="E983" s="94"/>
      <c r="F983" s="95"/>
      <c r="G983" s="96"/>
      <c r="P983" s="68"/>
      <c r="Q983" s="68"/>
      <c r="R983" s="68"/>
      <c r="S983" s="68"/>
      <c r="T983" s="68"/>
      <c r="U983" s="68"/>
      <c r="V983" s="68"/>
      <c r="W983" s="68"/>
      <c r="X983" s="68"/>
      <c r="Y983" s="68"/>
      <c r="Z983" s="68"/>
      <c r="AA983" s="68"/>
      <c r="AB983" s="68"/>
      <c r="AC983" s="68"/>
      <c r="AD983" s="68"/>
      <c r="AE983" s="68"/>
      <c r="AF983" s="68"/>
    </row>
    <row r="984" ht="14.25" customHeight="1" spans="4:32">
      <c r="D984" s="93"/>
      <c r="E984" s="94"/>
      <c r="F984" s="95"/>
      <c r="G984" s="96"/>
      <c r="P984" s="68"/>
      <c r="Q984" s="68"/>
      <c r="R984" s="68"/>
      <c r="S984" s="68"/>
      <c r="T984" s="68"/>
      <c r="U984" s="68"/>
      <c r="V984" s="68"/>
      <c r="W984" s="68"/>
      <c r="X984" s="68"/>
      <c r="Y984" s="68"/>
      <c r="Z984" s="68"/>
      <c r="AA984" s="68"/>
      <c r="AB984" s="68"/>
      <c r="AC984" s="68"/>
      <c r="AD984" s="68"/>
      <c r="AE984" s="68"/>
      <c r="AF984" s="68"/>
    </row>
    <row r="985" ht="14.25" customHeight="1" spans="4:32">
      <c r="D985" s="93"/>
      <c r="E985" s="94"/>
      <c r="F985" s="95"/>
      <c r="G985" s="96"/>
      <c r="P985" s="68"/>
      <c r="Q985" s="68"/>
      <c r="R985" s="68"/>
      <c r="S985" s="68"/>
      <c r="T985" s="68"/>
      <c r="U985" s="68"/>
      <c r="V985" s="68"/>
      <c r="W985" s="68"/>
      <c r="X985" s="68"/>
      <c r="Y985" s="68"/>
      <c r="Z985" s="68"/>
      <c r="AA985" s="68"/>
      <c r="AB985" s="68"/>
      <c r="AC985" s="68"/>
      <c r="AD985" s="68"/>
      <c r="AE985" s="68"/>
      <c r="AF985" s="68"/>
    </row>
    <row r="986" ht="14.25" customHeight="1" spans="4:32">
      <c r="D986" s="93"/>
      <c r="E986" s="94"/>
      <c r="F986" s="95"/>
      <c r="G986" s="96"/>
      <c r="P986" s="68"/>
      <c r="Q986" s="68"/>
      <c r="R986" s="68"/>
      <c r="S986" s="68"/>
      <c r="T986" s="68"/>
      <c r="U986" s="68"/>
      <c r="V986" s="68"/>
      <c r="W986" s="68"/>
      <c r="X986" s="68"/>
      <c r="Y986" s="68"/>
      <c r="Z986" s="68"/>
      <c r="AA986" s="68"/>
      <c r="AB986" s="68"/>
      <c r="AC986" s="68"/>
      <c r="AD986" s="68"/>
      <c r="AE986" s="68"/>
      <c r="AF986" s="68"/>
    </row>
    <row r="987" ht="14.25" customHeight="1" spans="4:32">
      <c r="D987" s="93"/>
      <c r="E987" s="94"/>
      <c r="F987" s="95"/>
      <c r="G987" s="96"/>
      <c r="P987" s="68"/>
      <c r="Q987" s="68"/>
      <c r="R987" s="68"/>
      <c r="S987" s="68"/>
      <c r="T987" s="68"/>
      <c r="U987" s="68"/>
      <c r="V987" s="68"/>
      <c r="W987" s="68"/>
      <c r="X987" s="68"/>
      <c r="Y987" s="68"/>
      <c r="Z987" s="68"/>
      <c r="AA987" s="68"/>
      <c r="AB987" s="68"/>
      <c r="AC987" s="68"/>
      <c r="AD987" s="68"/>
      <c r="AE987" s="68"/>
      <c r="AF987" s="68"/>
    </row>
    <row r="988" ht="14.25" customHeight="1" spans="4:32">
      <c r="D988" s="93"/>
      <c r="E988" s="94"/>
      <c r="F988" s="95"/>
      <c r="G988" s="96"/>
      <c r="P988" s="68"/>
      <c r="Q988" s="68"/>
      <c r="R988" s="68"/>
      <c r="S988" s="68"/>
      <c r="T988" s="68"/>
      <c r="U988" s="68"/>
      <c r="V988" s="68"/>
      <c r="W988" s="68"/>
      <c r="X988" s="68"/>
      <c r="Y988" s="68"/>
      <c r="Z988" s="68"/>
      <c r="AA988" s="68"/>
      <c r="AB988" s="68"/>
      <c r="AC988" s="68"/>
      <c r="AD988" s="68"/>
      <c r="AE988" s="68"/>
      <c r="AF988" s="68"/>
    </row>
    <row r="989" ht="14.25" customHeight="1" spans="4:32">
      <c r="D989" s="93"/>
      <c r="E989" s="94"/>
      <c r="F989" s="95"/>
      <c r="G989" s="96"/>
      <c r="P989" s="68"/>
      <c r="Q989" s="68"/>
      <c r="R989" s="68"/>
      <c r="S989" s="68"/>
      <c r="T989" s="68"/>
      <c r="U989" s="68"/>
      <c r="V989" s="68"/>
      <c r="W989" s="68"/>
      <c r="X989" s="68"/>
      <c r="Y989" s="68"/>
      <c r="Z989" s="68"/>
      <c r="AA989" s="68"/>
      <c r="AB989" s="68"/>
      <c r="AC989" s="68"/>
      <c r="AD989" s="68"/>
      <c r="AE989" s="68"/>
      <c r="AF989" s="68"/>
    </row>
    <row r="990" ht="14.25" customHeight="1" spans="4:32">
      <c r="D990" s="93"/>
      <c r="E990" s="94"/>
      <c r="F990" s="95"/>
      <c r="G990" s="96"/>
      <c r="P990" s="68"/>
      <c r="Q990" s="68"/>
      <c r="R990" s="68"/>
      <c r="S990" s="68"/>
      <c r="T990" s="68"/>
      <c r="U990" s="68"/>
      <c r="V990" s="68"/>
      <c r="W990" s="68"/>
      <c r="X990" s="68"/>
      <c r="Y990" s="68"/>
      <c r="Z990" s="68"/>
      <c r="AA990" s="68"/>
      <c r="AB990" s="68"/>
      <c r="AC990" s="68"/>
      <c r="AD990" s="68"/>
      <c r="AE990" s="68"/>
      <c r="AF990" s="68"/>
    </row>
    <row r="991" ht="14.25" customHeight="1" spans="4:32">
      <c r="D991" s="93"/>
      <c r="E991" s="94"/>
      <c r="F991" s="95"/>
      <c r="G991" s="96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  <c r="AA991" s="68"/>
      <c r="AB991" s="68"/>
      <c r="AC991" s="68"/>
      <c r="AD991" s="68"/>
      <c r="AE991" s="68"/>
      <c r="AF991" s="68"/>
    </row>
    <row r="992" ht="14.25" customHeight="1" spans="4:32">
      <c r="D992" s="93"/>
      <c r="E992" s="94"/>
      <c r="F992" s="95"/>
      <c r="G992" s="96"/>
      <c r="P992" s="68"/>
      <c r="Q992" s="68"/>
      <c r="R992" s="68"/>
      <c r="S992" s="68"/>
      <c r="T992" s="68"/>
      <c r="U992" s="68"/>
      <c r="V992" s="68"/>
      <c r="W992" s="68"/>
      <c r="X992" s="68"/>
      <c r="Y992" s="68"/>
      <c r="Z992" s="68"/>
      <c r="AA992" s="68"/>
      <c r="AB992" s="68"/>
      <c r="AC992" s="68"/>
      <c r="AD992" s="68"/>
      <c r="AE992" s="68"/>
      <c r="AF992" s="68"/>
    </row>
    <row r="993" ht="14.25" customHeight="1" spans="4:32">
      <c r="D993" s="93"/>
      <c r="E993" s="94"/>
      <c r="F993" s="95"/>
      <c r="G993" s="96"/>
      <c r="P993" s="68"/>
      <c r="Q993" s="68"/>
      <c r="R993" s="68"/>
      <c r="S993" s="68"/>
      <c r="T993" s="68"/>
      <c r="U993" s="68"/>
      <c r="V993" s="68"/>
      <c r="W993" s="68"/>
      <c r="X993" s="68"/>
      <c r="Y993" s="68"/>
      <c r="Z993" s="68"/>
      <c r="AA993" s="68"/>
      <c r="AB993" s="68"/>
      <c r="AC993" s="68"/>
      <c r="AD993" s="68"/>
      <c r="AE993" s="68"/>
      <c r="AF993" s="68"/>
    </row>
    <row r="994" ht="14.25" customHeight="1" spans="4:32">
      <c r="D994" s="93"/>
      <c r="E994" s="94"/>
      <c r="F994" s="95"/>
      <c r="G994" s="96"/>
      <c r="P994" s="68"/>
      <c r="Q994" s="68"/>
      <c r="R994" s="68"/>
      <c r="S994" s="68"/>
      <c r="T994" s="68"/>
      <c r="U994" s="68"/>
      <c r="V994" s="68"/>
      <c r="W994" s="68"/>
      <c r="X994" s="68"/>
      <c r="Y994" s="68"/>
      <c r="Z994" s="68"/>
      <c r="AA994" s="68"/>
      <c r="AB994" s="68"/>
      <c r="AC994" s="68"/>
      <c r="AD994" s="68"/>
      <c r="AE994" s="68"/>
      <c r="AF994" s="68"/>
    </row>
    <row r="995" ht="14.25" customHeight="1" spans="4:32">
      <c r="D995" s="93"/>
      <c r="E995" s="94"/>
      <c r="F995" s="95"/>
      <c r="G995" s="96"/>
      <c r="P995" s="68"/>
      <c r="Q995" s="68"/>
      <c r="R995" s="68"/>
      <c r="S995" s="68"/>
      <c r="T995" s="68"/>
      <c r="U995" s="68"/>
      <c r="V995" s="68"/>
      <c r="W995" s="68"/>
      <c r="X995" s="68"/>
      <c r="Y995" s="68"/>
      <c r="Z995" s="68"/>
      <c r="AA995" s="68"/>
      <c r="AB995" s="68"/>
      <c r="AC995" s="68"/>
      <c r="AD995" s="68"/>
      <c r="AE995" s="68"/>
      <c r="AF995" s="68"/>
    </row>
    <row r="996" ht="14.25" customHeight="1" spans="4:32">
      <c r="D996" s="93"/>
      <c r="E996" s="94"/>
      <c r="F996" s="95"/>
      <c r="G996" s="96"/>
      <c r="P996" s="68"/>
      <c r="Q996" s="68"/>
      <c r="R996" s="68"/>
      <c r="S996" s="68"/>
      <c r="T996" s="68"/>
      <c r="U996" s="68"/>
      <c r="V996" s="68"/>
      <c r="W996" s="68"/>
      <c r="X996" s="68"/>
      <c r="Y996" s="68"/>
      <c r="Z996" s="68"/>
      <c r="AA996" s="68"/>
      <c r="AB996" s="68"/>
      <c r="AC996" s="68"/>
      <c r="AD996" s="68"/>
      <c r="AE996" s="68"/>
      <c r="AF996" s="68"/>
    </row>
    <row r="997" ht="14.25" customHeight="1" spans="4:32">
      <c r="D997" s="93"/>
      <c r="E997" s="94"/>
      <c r="F997" s="95"/>
      <c r="G997" s="96"/>
      <c r="P997" s="68"/>
      <c r="Q997" s="68"/>
      <c r="R997" s="68"/>
      <c r="S997" s="68"/>
      <c r="T997" s="68"/>
      <c r="U997" s="68"/>
      <c r="V997" s="68"/>
      <c r="W997" s="68"/>
      <c r="X997" s="68"/>
      <c r="Y997" s="68"/>
      <c r="Z997" s="68"/>
      <c r="AA997" s="68"/>
      <c r="AB997" s="68"/>
      <c r="AC997" s="68"/>
      <c r="AD997" s="68"/>
      <c r="AE997" s="68"/>
      <c r="AF997" s="68"/>
    </row>
    <row r="998" ht="14.25" customHeight="1" spans="4:32">
      <c r="D998" s="93"/>
      <c r="E998" s="94"/>
      <c r="F998" s="95"/>
      <c r="G998" s="96"/>
      <c r="P998" s="68"/>
      <c r="Q998" s="68"/>
      <c r="R998" s="68"/>
      <c r="S998" s="68"/>
      <c r="T998" s="68"/>
      <c r="U998" s="68"/>
      <c r="V998" s="68"/>
      <c r="W998" s="68"/>
      <c r="X998" s="68"/>
      <c r="Y998" s="68"/>
      <c r="Z998" s="68"/>
      <c r="AA998" s="68"/>
      <c r="AB998" s="68"/>
      <c r="AC998" s="68"/>
      <c r="AD998" s="68"/>
      <c r="AE998" s="68"/>
      <c r="AF998" s="68"/>
    </row>
    <row r="999" ht="14.25" customHeight="1" spans="4:32">
      <c r="D999" s="93"/>
      <c r="E999" s="94"/>
      <c r="F999" s="95"/>
      <c r="G999" s="96"/>
      <c r="P999" s="68"/>
      <c r="Q999" s="68"/>
      <c r="R999" s="68"/>
      <c r="S999" s="68"/>
      <c r="T999" s="68"/>
      <c r="U999" s="68"/>
      <c r="V999" s="68"/>
      <c r="W999" s="68"/>
      <c r="X999" s="68"/>
      <c r="Y999" s="68"/>
      <c r="Z999" s="68"/>
      <c r="AA999" s="68"/>
      <c r="AB999" s="68"/>
      <c r="AC999" s="68"/>
      <c r="AD999" s="68"/>
      <c r="AE999" s="68"/>
      <c r="AF999" s="68"/>
    </row>
    <row r="1000" ht="14.25" customHeight="1" spans="4:32">
      <c r="D1000" s="93"/>
      <c r="E1000" s="94"/>
      <c r="F1000" s="95"/>
      <c r="G1000" s="96"/>
      <c r="P1000" s="68"/>
      <c r="Q1000" s="68"/>
      <c r="R1000" s="68"/>
      <c r="S1000" s="68"/>
      <c r="T1000" s="68"/>
      <c r="U1000" s="68"/>
      <c r="V1000" s="68"/>
      <c r="W1000" s="68"/>
      <c r="X1000" s="68"/>
      <c r="Y1000" s="68"/>
      <c r="Z1000" s="68"/>
      <c r="AA1000" s="68"/>
      <c r="AB1000" s="68"/>
      <c r="AC1000" s="68"/>
      <c r="AD1000" s="68"/>
      <c r="AE1000" s="68"/>
      <c r="AF1000" s="68"/>
    </row>
    <row r="1001" ht="14.25" customHeight="1" spans="4:32">
      <c r="D1001" s="93"/>
      <c r="E1001" s="94"/>
      <c r="F1001" s="95"/>
      <c r="G1001" s="96"/>
      <c r="P1001" s="68"/>
      <c r="Q1001" s="68"/>
      <c r="R1001" s="68"/>
      <c r="S1001" s="68"/>
      <c r="T1001" s="68"/>
      <c r="U1001" s="68"/>
      <c r="V1001" s="68"/>
      <c r="W1001" s="68"/>
      <c r="X1001" s="68"/>
      <c r="Y1001" s="68"/>
      <c r="Z1001" s="68"/>
      <c r="AA1001" s="68"/>
      <c r="AB1001" s="68"/>
      <c r="AC1001" s="68"/>
      <c r="AD1001" s="68"/>
      <c r="AE1001" s="68"/>
      <c r="AF1001" s="68"/>
    </row>
    <row r="1002" ht="14.25" customHeight="1" spans="4:32">
      <c r="D1002" s="93"/>
      <c r="E1002" s="94"/>
      <c r="F1002" s="95"/>
      <c r="G1002" s="96"/>
      <c r="P1002" s="68"/>
      <c r="Q1002" s="68"/>
      <c r="R1002" s="68"/>
      <c r="S1002" s="68"/>
      <c r="T1002" s="68"/>
      <c r="U1002" s="68"/>
      <c r="V1002" s="68"/>
      <c r="W1002" s="68"/>
      <c r="X1002" s="68"/>
      <c r="Y1002" s="68"/>
      <c r="Z1002" s="68"/>
      <c r="AA1002" s="68"/>
      <c r="AB1002" s="68"/>
      <c r="AC1002" s="68"/>
      <c r="AD1002" s="68"/>
      <c r="AE1002" s="68"/>
      <c r="AF1002" s="68"/>
    </row>
    <row r="1003" ht="14.25" customHeight="1" spans="4:32">
      <c r="D1003" s="93"/>
      <c r="E1003" s="94"/>
      <c r="F1003" s="95"/>
      <c r="G1003" s="96"/>
      <c r="P1003" s="68"/>
      <c r="Q1003" s="68"/>
      <c r="R1003" s="68"/>
      <c r="S1003" s="68"/>
      <c r="T1003" s="68"/>
      <c r="U1003" s="68"/>
      <c r="V1003" s="68"/>
      <c r="W1003" s="68"/>
      <c r="X1003" s="68"/>
      <c r="Y1003" s="68"/>
      <c r="Z1003" s="68"/>
      <c r="AA1003" s="68"/>
      <c r="AB1003" s="68"/>
      <c r="AC1003" s="68"/>
      <c r="AD1003" s="68"/>
      <c r="AE1003" s="68"/>
      <c r="AF1003" s="68"/>
    </row>
    <row r="1004" ht="14.25" customHeight="1" spans="4:32">
      <c r="D1004" s="93"/>
      <c r="E1004" s="94"/>
      <c r="F1004" s="95"/>
      <c r="G1004" s="96"/>
      <c r="P1004" s="68"/>
      <c r="Q1004" s="68"/>
      <c r="R1004" s="68"/>
      <c r="S1004" s="68"/>
      <c r="T1004" s="68"/>
      <c r="U1004" s="68"/>
      <c r="V1004" s="68"/>
      <c r="W1004" s="68"/>
      <c r="X1004" s="68"/>
      <c r="Y1004" s="68"/>
      <c r="Z1004" s="68"/>
      <c r="AA1004" s="68"/>
      <c r="AB1004" s="68"/>
      <c r="AC1004" s="68"/>
      <c r="AD1004" s="68"/>
      <c r="AE1004" s="68"/>
      <c r="AF1004" s="68"/>
    </row>
    <row r="1005" ht="14.25" customHeight="1" spans="4:32">
      <c r="D1005" s="93"/>
      <c r="E1005" s="94"/>
      <c r="F1005" s="95"/>
      <c r="G1005" s="96"/>
      <c r="P1005" s="68"/>
      <c r="Q1005" s="68"/>
      <c r="R1005" s="68"/>
      <c r="S1005" s="68"/>
      <c r="T1005" s="68"/>
      <c r="U1005" s="68"/>
      <c r="V1005" s="68"/>
      <c r="W1005" s="68"/>
      <c r="X1005" s="68"/>
      <c r="Y1005" s="68"/>
      <c r="Z1005" s="68"/>
      <c r="AA1005" s="68"/>
      <c r="AB1005" s="68"/>
      <c r="AC1005" s="68"/>
      <c r="AD1005" s="68"/>
      <c r="AE1005" s="68"/>
      <c r="AF1005" s="68"/>
    </row>
    <row r="1006" ht="14.25" customHeight="1" spans="4:32">
      <c r="D1006" s="93"/>
      <c r="E1006" s="94"/>
      <c r="F1006" s="95"/>
      <c r="G1006" s="96"/>
      <c r="P1006" s="68"/>
      <c r="Q1006" s="68"/>
      <c r="R1006" s="68"/>
      <c r="S1006" s="68"/>
      <c r="T1006" s="68"/>
      <c r="U1006" s="68"/>
      <c r="V1006" s="68"/>
      <c r="W1006" s="68"/>
      <c r="X1006" s="68"/>
      <c r="Y1006" s="68"/>
      <c r="Z1006" s="68"/>
      <c r="AA1006" s="68"/>
      <c r="AB1006" s="68"/>
      <c r="AC1006" s="68"/>
      <c r="AD1006" s="68"/>
      <c r="AE1006" s="68"/>
      <c r="AF1006" s="68"/>
    </row>
    <row r="1007" ht="14.25" customHeight="1" spans="4:32">
      <c r="D1007" s="93"/>
      <c r="E1007" s="94"/>
      <c r="F1007" s="95"/>
      <c r="G1007" s="96"/>
      <c r="P1007" s="68"/>
      <c r="Q1007" s="68"/>
      <c r="R1007" s="68"/>
      <c r="S1007" s="68"/>
      <c r="T1007" s="68"/>
      <c r="U1007" s="68"/>
      <c r="V1007" s="68"/>
      <c r="W1007" s="68"/>
      <c r="X1007" s="68"/>
      <c r="Y1007" s="68"/>
      <c r="Z1007" s="68"/>
      <c r="AA1007" s="68"/>
      <c r="AB1007" s="68"/>
      <c r="AC1007" s="68"/>
      <c r="AD1007" s="68"/>
      <c r="AE1007" s="68"/>
      <c r="AF1007" s="68"/>
    </row>
    <row r="1008" ht="14.25" customHeight="1" spans="4:32">
      <c r="D1008" s="93"/>
      <c r="E1008" s="94"/>
      <c r="F1008" s="95"/>
      <c r="G1008" s="96"/>
      <c r="P1008" s="68"/>
      <c r="Q1008" s="68"/>
      <c r="R1008" s="68"/>
      <c r="S1008" s="68"/>
      <c r="T1008" s="68"/>
      <c r="U1008" s="68"/>
      <c r="V1008" s="68"/>
      <c r="W1008" s="68"/>
      <c r="X1008" s="68"/>
      <c r="Y1008" s="68"/>
      <c r="Z1008" s="68"/>
      <c r="AA1008" s="68"/>
      <c r="AB1008" s="68"/>
      <c r="AC1008" s="68"/>
      <c r="AD1008" s="68"/>
      <c r="AE1008" s="68"/>
      <c r="AF1008" s="68"/>
    </row>
    <row r="1009" ht="14.25" customHeight="1" spans="16:32">
      <c r="P1009" s="68"/>
      <c r="Q1009" s="68"/>
      <c r="R1009" s="68"/>
      <c r="S1009" s="68"/>
      <c r="T1009" s="68"/>
      <c r="U1009" s="68"/>
      <c r="V1009" s="68"/>
      <c r="W1009" s="68"/>
      <c r="X1009" s="68"/>
      <c r="Y1009" s="68"/>
      <c r="Z1009" s="68"/>
      <c r="AA1009" s="68"/>
      <c r="AB1009" s="68"/>
      <c r="AC1009" s="68"/>
      <c r="AD1009" s="68"/>
      <c r="AE1009" s="68"/>
      <c r="AF1009" s="68"/>
    </row>
    <row r="1010" ht="14.25" customHeight="1" spans="16:32">
      <c r="P1010" s="68"/>
      <c r="Q1010" s="68"/>
      <c r="R1010" s="68"/>
      <c r="S1010" s="68"/>
      <c r="T1010" s="68"/>
      <c r="U1010" s="68"/>
      <c r="V1010" s="68"/>
      <c r="W1010" s="68"/>
      <c r="X1010" s="68"/>
      <c r="Y1010" s="68"/>
      <c r="Z1010" s="68"/>
      <c r="AA1010" s="68"/>
      <c r="AB1010" s="68"/>
      <c r="AC1010" s="68"/>
      <c r="AD1010" s="68"/>
      <c r="AE1010" s="68"/>
      <c r="AF1010" s="68"/>
    </row>
  </sheetData>
  <mergeCells count="13">
    <mergeCell ref="D1:G1"/>
    <mergeCell ref="H1:K1"/>
    <mergeCell ref="L1:O1"/>
    <mergeCell ref="D4:O4"/>
    <mergeCell ref="A13:O13"/>
    <mergeCell ref="A22:O22"/>
    <mergeCell ref="D42:G42"/>
    <mergeCell ref="H42:K42"/>
    <mergeCell ref="L42:O42"/>
    <mergeCell ref="A5:A12"/>
    <mergeCell ref="A14:A21"/>
    <mergeCell ref="A23:A31"/>
    <mergeCell ref="A1:B3"/>
  </mergeCells>
  <pageMargins left="0.7" right="0.7" top="0.75" bottom="0.75" header="0" footer="0"/>
  <pageSetup paperSize="1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010"/>
  <sheetViews>
    <sheetView topLeftCell="A21" workbookViewId="0">
      <selection activeCell="C44" sqref="C44"/>
    </sheetView>
  </sheetViews>
  <sheetFormatPr defaultColWidth="14.4285714285714" defaultRowHeight="15" customHeight="1"/>
  <cols>
    <col min="1" max="2" width="10.7142857142857" customWidth="1"/>
    <col min="3" max="3" width="55.2857142857143" customWidth="1"/>
    <col min="4" max="32" width="9.42857142857143" customWidth="1"/>
  </cols>
  <sheetData>
    <row r="1" ht="14.25" customHeight="1" spans="1:32">
      <c r="A1" s="17"/>
      <c r="B1" s="18"/>
      <c r="C1" s="19" t="s">
        <v>0</v>
      </c>
      <c r="D1" s="20">
        <v>2022</v>
      </c>
      <c r="E1" s="3"/>
      <c r="F1" s="3"/>
      <c r="G1" s="4"/>
      <c r="H1" s="20">
        <v>2023</v>
      </c>
      <c r="I1" s="3"/>
      <c r="J1" s="3"/>
      <c r="K1" s="4"/>
      <c r="L1" s="20">
        <v>2024</v>
      </c>
      <c r="M1" s="3"/>
      <c r="N1" s="3"/>
      <c r="O1" s="4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</row>
    <row r="2" ht="14.25" customHeight="1" spans="1:32">
      <c r="A2" s="21"/>
      <c r="B2" s="22"/>
      <c r="C2" s="19" t="s">
        <v>1</v>
      </c>
      <c r="D2" s="23" t="s">
        <v>2</v>
      </c>
      <c r="E2" s="24" t="s">
        <v>3</v>
      </c>
      <c r="F2" s="25" t="s">
        <v>4</v>
      </c>
      <c r="G2" s="26" t="s">
        <v>5</v>
      </c>
      <c r="H2" s="23" t="s">
        <v>2</v>
      </c>
      <c r="I2" s="24" t="s">
        <v>3</v>
      </c>
      <c r="J2" s="25" t="s">
        <v>4</v>
      </c>
      <c r="K2" s="26" t="s">
        <v>5</v>
      </c>
      <c r="L2" s="23" t="s">
        <v>2</v>
      </c>
      <c r="M2" s="24" t="s">
        <v>3</v>
      </c>
      <c r="N2" s="25" t="s">
        <v>4</v>
      </c>
      <c r="O2" s="26" t="s">
        <v>5</v>
      </c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</row>
    <row r="3" ht="14.25" customHeight="1" spans="1:32">
      <c r="A3" s="27"/>
      <c r="B3" s="28"/>
      <c r="C3" s="29" t="s">
        <v>6</v>
      </c>
      <c r="D3" s="30" t="s">
        <v>59</v>
      </c>
      <c r="E3" s="31" t="s">
        <v>59</v>
      </c>
      <c r="F3" s="32">
        <v>44917</v>
      </c>
      <c r="G3" s="85" t="s">
        <v>59</v>
      </c>
      <c r="H3" s="34">
        <v>45083</v>
      </c>
      <c r="I3" s="31" t="s">
        <v>59</v>
      </c>
      <c r="J3" s="83">
        <v>45283</v>
      </c>
      <c r="K3" s="85"/>
      <c r="L3" s="30"/>
      <c r="M3" s="31"/>
      <c r="N3" s="84"/>
      <c r="O3" s="85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</row>
    <row r="4" ht="14.25" customHeight="1" spans="1:32">
      <c r="A4" s="35" t="s">
        <v>7</v>
      </c>
      <c r="B4" s="35" t="s">
        <v>8</v>
      </c>
      <c r="C4" s="35" t="s">
        <v>9</v>
      </c>
      <c r="D4" s="36"/>
      <c r="E4" s="3"/>
      <c r="F4" s="3"/>
      <c r="G4" s="3"/>
      <c r="H4" s="3"/>
      <c r="I4" s="3"/>
      <c r="J4" s="3"/>
      <c r="K4" s="3"/>
      <c r="L4" s="3"/>
      <c r="M4" s="3"/>
      <c r="N4" s="3"/>
      <c r="O4" s="4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</row>
    <row r="5" ht="23.25" customHeight="1" spans="1:32">
      <c r="A5" s="37" t="s">
        <v>10</v>
      </c>
      <c r="B5" s="38" t="s">
        <v>11</v>
      </c>
      <c r="C5" s="38" t="s">
        <v>12</v>
      </c>
      <c r="D5" s="39" t="s">
        <v>59</v>
      </c>
      <c r="E5" s="40" t="s">
        <v>59</v>
      </c>
      <c r="F5" s="41">
        <v>0</v>
      </c>
      <c r="G5" s="42" t="s">
        <v>59</v>
      </c>
      <c r="H5" s="39">
        <v>0</v>
      </c>
      <c r="I5" s="40" t="s">
        <v>59</v>
      </c>
      <c r="J5" s="41">
        <v>0</v>
      </c>
      <c r="K5" s="42"/>
      <c r="L5" s="39"/>
      <c r="M5" s="40"/>
      <c r="N5" s="41"/>
      <c r="O5" s="42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</row>
    <row r="6" ht="22.5" customHeight="1" spans="1:32">
      <c r="A6" s="43"/>
      <c r="B6" s="44" t="s">
        <v>13</v>
      </c>
      <c r="C6" s="44" t="s">
        <v>14</v>
      </c>
      <c r="D6" s="6" t="s">
        <v>59</v>
      </c>
      <c r="E6" s="7" t="s">
        <v>59</v>
      </c>
      <c r="F6" s="25">
        <v>0</v>
      </c>
      <c r="G6" s="26" t="s">
        <v>59</v>
      </c>
      <c r="H6" s="6">
        <v>0</v>
      </c>
      <c r="I6" s="7" t="s">
        <v>59</v>
      </c>
      <c r="J6" s="25">
        <v>0</v>
      </c>
      <c r="K6" s="26"/>
      <c r="L6" s="6"/>
      <c r="M6" s="7"/>
      <c r="N6" s="25"/>
      <c r="O6" s="26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</row>
    <row r="7" ht="22.5" customHeight="1" spans="1:32">
      <c r="A7" s="43"/>
      <c r="B7" s="38" t="s">
        <v>15</v>
      </c>
      <c r="C7" s="38" t="s">
        <v>16</v>
      </c>
      <c r="D7" s="39" t="s">
        <v>59</v>
      </c>
      <c r="E7" s="40" t="s">
        <v>59</v>
      </c>
      <c r="F7" s="41">
        <v>0</v>
      </c>
      <c r="G7" s="42" t="s">
        <v>59</v>
      </c>
      <c r="H7" s="39">
        <v>0</v>
      </c>
      <c r="I7" s="40" t="s">
        <v>59</v>
      </c>
      <c r="J7" s="41">
        <v>0</v>
      </c>
      <c r="K7" s="42"/>
      <c r="L7" s="39"/>
      <c r="M7" s="40"/>
      <c r="N7" s="41"/>
      <c r="O7" s="42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</row>
    <row r="8" ht="22.5" customHeight="1" spans="1:32">
      <c r="A8" s="43"/>
      <c r="B8" s="44" t="s">
        <v>17</v>
      </c>
      <c r="C8" s="44" t="s">
        <v>18</v>
      </c>
      <c r="D8" s="6" t="s">
        <v>59</v>
      </c>
      <c r="E8" s="7" t="s">
        <v>59</v>
      </c>
      <c r="F8" s="25">
        <v>0</v>
      </c>
      <c r="G8" s="26" t="s">
        <v>59</v>
      </c>
      <c r="H8" s="6"/>
      <c r="I8" s="7" t="s">
        <v>59</v>
      </c>
      <c r="J8" s="25">
        <v>1</v>
      </c>
      <c r="K8" s="26"/>
      <c r="L8" s="6"/>
      <c r="M8" s="7"/>
      <c r="N8" s="25"/>
      <c r="O8" s="26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</row>
    <row r="9" ht="22.5" customHeight="1" spans="1:32">
      <c r="A9" s="43"/>
      <c r="B9" s="38" t="s">
        <v>19</v>
      </c>
      <c r="C9" s="38" t="s">
        <v>20</v>
      </c>
      <c r="D9" s="39" t="s">
        <v>59</v>
      </c>
      <c r="E9" s="40" t="s">
        <v>59</v>
      </c>
      <c r="F9" s="41">
        <v>3</v>
      </c>
      <c r="G9" s="42" t="s">
        <v>59</v>
      </c>
      <c r="H9" s="39">
        <v>0</v>
      </c>
      <c r="I9" s="40" t="s">
        <v>59</v>
      </c>
      <c r="J9" s="41">
        <v>14</v>
      </c>
      <c r="K9" s="42"/>
      <c r="L9" s="39"/>
      <c r="M9" s="40"/>
      <c r="N9" s="41"/>
      <c r="O9" s="42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</row>
    <row r="10" ht="23.25" customHeight="1" spans="1:32">
      <c r="A10" s="43"/>
      <c r="B10" s="44" t="s">
        <v>21</v>
      </c>
      <c r="C10" s="44" t="s">
        <v>22</v>
      </c>
      <c r="D10" s="6" t="s">
        <v>59</v>
      </c>
      <c r="E10" s="7" t="s">
        <v>59</v>
      </c>
      <c r="F10" s="25">
        <v>0</v>
      </c>
      <c r="G10" s="26" t="s">
        <v>59</v>
      </c>
      <c r="H10" s="6">
        <v>0</v>
      </c>
      <c r="I10" s="7" t="s">
        <v>59</v>
      </c>
      <c r="J10" s="25">
        <v>3</v>
      </c>
      <c r="K10" s="26"/>
      <c r="L10" s="6"/>
      <c r="M10" s="7"/>
      <c r="N10" s="25"/>
      <c r="O10" s="26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</row>
    <row r="11" ht="24" customHeight="1" spans="1:32">
      <c r="A11" s="43"/>
      <c r="B11" s="38" t="s">
        <v>23</v>
      </c>
      <c r="C11" s="38" t="s">
        <v>24</v>
      </c>
      <c r="D11" s="39" t="s">
        <v>59</v>
      </c>
      <c r="E11" s="40" t="s">
        <v>59</v>
      </c>
      <c r="F11" s="41">
        <v>0</v>
      </c>
      <c r="G11" s="42" t="s">
        <v>59</v>
      </c>
      <c r="H11" s="39">
        <v>0</v>
      </c>
      <c r="I11" s="40" t="s">
        <v>59</v>
      </c>
      <c r="J11" s="41">
        <v>0</v>
      </c>
      <c r="K11" s="42"/>
      <c r="L11" s="39"/>
      <c r="M11" s="40"/>
      <c r="N11" s="41"/>
      <c r="O11" s="42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</row>
    <row r="12" ht="24.75" customHeight="1" spans="1:32">
      <c r="A12" s="5"/>
      <c r="B12" s="44" t="s">
        <v>25</v>
      </c>
      <c r="C12" s="44" t="s">
        <v>26</v>
      </c>
      <c r="D12" s="6" t="s">
        <v>59</v>
      </c>
      <c r="E12" s="7" t="s">
        <v>59</v>
      </c>
      <c r="F12" s="25">
        <v>0</v>
      </c>
      <c r="G12" s="26" t="s">
        <v>59</v>
      </c>
      <c r="H12" s="6">
        <v>0</v>
      </c>
      <c r="I12" s="7" t="s">
        <v>59</v>
      </c>
      <c r="J12" s="25">
        <v>0</v>
      </c>
      <c r="K12" s="26"/>
      <c r="L12" s="6"/>
      <c r="M12" s="7"/>
      <c r="N12" s="25"/>
      <c r="O12" s="26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</row>
    <row r="13" ht="6" customHeight="1" spans="1:32">
      <c r="A13" s="45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4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</row>
    <row r="14" ht="24.75" customHeight="1" spans="1:32">
      <c r="A14" s="46" t="s">
        <v>27</v>
      </c>
      <c r="B14" s="38" t="s">
        <v>11</v>
      </c>
      <c r="C14" s="38" t="s">
        <v>12</v>
      </c>
      <c r="D14" s="39" t="s">
        <v>59</v>
      </c>
      <c r="E14" s="40" t="s">
        <v>59</v>
      </c>
      <c r="F14" s="47">
        <v>0</v>
      </c>
      <c r="G14" s="48" t="s">
        <v>59</v>
      </c>
      <c r="H14" s="39">
        <v>0</v>
      </c>
      <c r="I14" s="40" t="s">
        <v>59</v>
      </c>
      <c r="J14" s="47">
        <v>0</v>
      </c>
      <c r="K14" s="48"/>
      <c r="L14" s="39"/>
      <c r="M14" s="40"/>
      <c r="N14" s="47"/>
      <c r="O14" s="48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</row>
    <row r="15" ht="25.5" customHeight="1" spans="1:32">
      <c r="A15" s="43"/>
      <c r="B15" s="44" t="s">
        <v>28</v>
      </c>
      <c r="C15" s="44" t="s">
        <v>29</v>
      </c>
      <c r="D15" s="6" t="s">
        <v>59</v>
      </c>
      <c r="E15" s="7" t="s">
        <v>59</v>
      </c>
      <c r="F15" s="8">
        <v>0</v>
      </c>
      <c r="G15" s="9" t="s">
        <v>59</v>
      </c>
      <c r="H15" s="6">
        <v>0</v>
      </c>
      <c r="I15" s="7" t="s">
        <v>59</v>
      </c>
      <c r="J15" s="8">
        <v>2</v>
      </c>
      <c r="K15" s="9"/>
      <c r="L15" s="6"/>
      <c r="M15" s="7"/>
      <c r="N15" s="8"/>
      <c r="O15" s="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</row>
    <row r="16" ht="23.25" customHeight="1" spans="1:32">
      <c r="A16" s="43"/>
      <c r="B16" s="38" t="s">
        <v>15</v>
      </c>
      <c r="C16" s="38" t="s">
        <v>16</v>
      </c>
      <c r="D16" s="39" t="s">
        <v>59</v>
      </c>
      <c r="E16" s="49" t="s">
        <v>59</v>
      </c>
      <c r="F16" s="47">
        <v>0</v>
      </c>
      <c r="G16" s="48" t="s">
        <v>59</v>
      </c>
      <c r="H16" s="39">
        <v>0</v>
      </c>
      <c r="I16" s="40" t="s">
        <v>59</v>
      </c>
      <c r="J16" s="47">
        <v>0</v>
      </c>
      <c r="K16" s="48"/>
      <c r="L16" s="39"/>
      <c r="M16" s="40"/>
      <c r="N16" s="47"/>
      <c r="O16" s="48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</row>
    <row r="17" ht="25.5" customHeight="1" spans="1:32">
      <c r="A17" s="43"/>
      <c r="B17" s="44" t="s">
        <v>17</v>
      </c>
      <c r="C17" s="44" t="s">
        <v>18</v>
      </c>
      <c r="D17" s="6" t="s">
        <v>59</v>
      </c>
      <c r="E17" s="7" t="s">
        <v>59</v>
      </c>
      <c r="F17" s="8">
        <v>0</v>
      </c>
      <c r="G17" s="9" t="s">
        <v>59</v>
      </c>
      <c r="H17" s="6">
        <v>0</v>
      </c>
      <c r="I17" s="7" t="s">
        <v>59</v>
      </c>
      <c r="J17" s="8">
        <v>0</v>
      </c>
      <c r="K17" s="9"/>
      <c r="L17" s="6"/>
      <c r="M17" s="7"/>
      <c r="N17" s="8"/>
      <c r="O17" s="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</row>
    <row r="18" ht="22.5" customHeight="1" spans="1:32">
      <c r="A18" s="43"/>
      <c r="B18" s="38" t="s">
        <v>19</v>
      </c>
      <c r="C18" s="38" t="s">
        <v>20</v>
      </c>
      <c r="D18" s="39" t="s">
        <v>59</v>
      </c>
      <c r="E18" s="49" t="s">
        <v>59</v>
      </c>
      <c r="F18" s="47">
        <v>7</v>
      </c>
      <c r="G18" s="48" t="s">
        <v>59</v>
      </c>
      <c r="H18" s="39">
        <v>0</v>
      </c>
      <c r="I18" s="40" t="s">
        <v>59</v>
      </c>
      <c r="J18" s="47">
        <v>0</v>
      </c>
      <c r="K18" s="48"/>
      <c r="L18" s="39"/>
      <c r="M18" s="40"/>
      <c r="N18" s="47"/>
      <c r="O18" s="48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</row>
    <row r="19" ht="24" customHeight="1" spans="1:32">
      <c r="A19" s="43"/>
      <c r="B19" s="44" t="s">
        <v>21</v>
      </c>
      <c r="C19" s="44" t="s">
        <v>22</v>
      </c>
      <c r="D19" s="6" t="s">
        <v>59</v>
      </c>
      <c r="E19" s="50" t="s">
        <v>59</v>
      </c>
      <c r="F19" s="8">
        <v>0</v>
      </c>
      <c r="G19" s="9" t="s">
        <v>59</v>
      </c>
      <c r="H19" s="6">
        <v>0</v>
      </c>
      <c r="I19" s="7" t="s">
        <v>59</v>
      </c>
      <c r="J19" s="8">
        <v>0</v>
      </c>
      <c r="K19" s="9"/>
      <c r="L19" s="6"/>
      <c r="M19" s="7"/>
      <c r="N19" s="8"/>
      <c r="O19" s="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</row>
    <row r="20" ht="25.5" customHeight="1" spans="1:32">
      <c r="A20" s="43"/>
      <c r="B20" s="38" t="s">
        <v>23</v>
      </c>
      <c r="C20" s="38" t="s">
        <v>24</v>
      </c>
      <c r="D20" s="39" t="s">
        <v>59</v>
      </c>
      <c r="E20" s="40" t="s">
        <v>59</v>
      </c>
      <c r="F20" s="47">
        <v>0</v>
      </c>
      <c r="G20" s="48" t="s">
        <v>59</v>
      </c>
      <c r="H20" s="39">
        <v>0</v>
      </c>
      <c r="I20" s="40" t="s">
        <v>59</v>
      </c>
      <c r="J20" s="47">
        <v>0</v>
      </c>
      <c r="K20" s="48"/>
      <c r="L20" s="39"/>
      <c r="M20" s="40"/>
      <c r="N20" s="47"/>
      <c r="O20" s="48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</row>
    <row r="21" ht="25.5" customHeight="1" spans="1:32">
      <c r="A21" s="5"/>
      <c r="B21" s="44" t="s">
        <v>25</v>
      </c>
      <c r="C21" s="44" t="s">
        <v>26</v>
      </c>
      <c r="D21" s="6" t="s">
        <v>59</v>
      </c>
      <c r="E21" s="7" t="s">
        <v>59</v>
      </c>
      <c r="F21" s="8">
        <v>1</v>
      </c>
      <c r="G21" s="9" t="s">
        <v>59</v>
      </c>
      <c r="H21" s="6">
        <v>0</v>
      </c>
      <c r="I21" s="7" t="s">
        <v>59</v>
      </c>
      <c r="J21" s="8">
        <v>0</v>
      </c>
      <c r="K21" s="9"/>
      <c r="L21" s="6"/>
      <c r="M21" s="7"/>
      <c r="N21" s="8"/>
      <c r="O21" s="9"/>
      <c r="P21" s="89"/>
      <c r="Q21" s="89"/>
      <c r="R21" s="89"/>
      <c r="S21" s="89"/>
      <c r="T21" s="89"/>
      <c r="U21" s="89"/>
      <c r="V21" s="89"/>
      <c r="W21" s="89"/>
      <c r="X21" s="89"/>
      <c r="Y21" s="101"/>
      <c r="Z21" s="101"/>
      <c r="AA21" s="101"/>
      <c r="AB21" s="101"/>
      <c r="AC21" s="101"/>
      <c r="AD21" s="101"/>
      <c r="AE21" s="101"/>
      <c r="AF21" s="101"/>
    </row>
    <row r="22" ht="6" customHeight="1" spans="1:32">
      <c r="A22" s="45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4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</row>
    <row r="23" ht="22.5" customHeight="1" spans="1:32">
      <c r="A23" s="51" t="s">
        <v>30</v>
      </c>
      <c r="B23" s="52" t="s">
        <v>11</v>
      </c>
      <c r="C23" s="52" t="s">
        <v>12</v>
      </c>
      <c r="D23" s="39" t="s">
        <v>59</v>
      </c>
      <c r="E23" s="40" t="s">
        <v>59</v>
      </c>
      <c r="F23" s="47">
        <f t="shared" ref="F23:O23" si="0">SUM(F5+F14)</f>
        <v>0</v>
      </c>
      <c r="G23" s="48" t="e">
        <f t="shared" si="0"/>
        <v>#VALUE!</v>
      </c>
      <c r="H23" s="39">
        <f t="shared" si="0"/>
        <v>0</v>
      </c>
      <c r="I23" s="40" t="e">
        <f t="shared" si="0"/>
        <v>#VALUE!</v>
      </c>
      <c r="J23" s="47">
        <f t="shared" si="0"/>
        <v>0</v>
      </c>
      <c r="K23" s="48">
        <f t="shared" si="0"/>
        <v>0</v>
      </c>
      <c r="L23" s="39">
        <f t="shared" si="0"/>
        <v>0</v>
      </c>
      <c r="M23" s="40">
        <f t="shared" si="0"/>
        <v>0</v>
      </c>
      <c r="N23" s="47">
        <f t="shared" si="0"/>
        <v>0</v>
      </c>
      <c r="O23" s="48">
        <f t="shared" si="0"/>
        <v>0</v>
      </c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</row>
    <row r="24" ht="22.5" customHeight="1" spans="1:32">
      <c r="A24" s="43"/>
      <c r="B24" s="44" t="s">
        <v>13</v>
      </c>
      <c r="C24" s="44" t="s">
        <v>14</v>
      </c>
      <c r="D24" s="6" t="s">
        <v>59</v>
      </c>
      <c r="E24" s="7" t="s">
        <v>59</v>
      </c>
      <c r="F24" s="8">
        <f>SUM(F6)</f>
        <v>0</v>
      </c>
      <c r="G24" s="9" t="e">
        <f t="shared" ref="G24:O24" si="1">SUM(G5+G14)</f>
        <v>#VALUE!</v>
      </c>
      <c r="H24" s="6">
        <f t="shared" si="1"/>
        <v>0</v>
      </c>
      <c r="I24" s="7" t="e">
        <f t="shared" si="1"/>
        <v>#VALUE!</v>
      </c>
      <c r="J24" s="8">
        <f t="shared" si="1"/>
        <v>0</v>
      </c>
      <c r="K24" s="9">
        <f t="shared" si="1"/>
        <v>0</v>
      </c>
      <c r="L24" s="6">
        <f t="shared" si="1"/>
        <v>0</v>
      </c>
      <c r="M24" s="7">
        <f t="shared" si="1"/>
        <v>0</v>
      </c>
      <c r="N24" s="8">
        <f t="shared" si="1"/>
        <v>0</v>
      </c>
      <c r="O24" s="9">
        <f t="shared" si="1"/>
        <v>0</v>
      </c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</row>
    <row r="25" ht="25.5" customHeight="1" spans="1:32">
      <c r="A25" s="43"/>
      <c r="B25" s="52" t="s">
        <v>28</v>
      </c>
      <c r="C25" s="52" t="s">
        <v>29</v>
      </c>
      <c r="D25" s="39" t="s">
        <v>59</v>
      </c>
      <c r="E25" s="40" t="s">
        <v>59</v>
      </c>
      <c r="F25" s="47">
        <f t="shared" ref="F25:H25" si="2">SUM(F7+F16)</f>
        <v>0</v>
      </c>
      <c r="G25" s="48" t="e">
        <f t="shared" si="2"/>
        <v>#VALUE!</v>
      </c>
      <c r="H25" s="39">
        <f t="shared" si="2"/>
        <v>0</v>
      </c>
      <c r="I25" s="40" t="e">
        <f>SUM(I6+I15)</f>
        <v>#VALUE!</v>
      </c>
      <c r="J25" s="47">
        <f>SUM(J15)</f>
        <v>2</v>
      </c>
      <c r="K25" s="48">
        <f t="shared" ref="K25:L25" si="3">SUM(K7+K16)</f>
        <v>0</v>
      </c>
      <c r="L25" s="39">
        <f t="shared" si="3"/>
        <v>0</v>
      </c>
      <c r="M25" s="40">
        <f>SUM(M6+M15)</f>
        <v>0</v>
      </c>
      <c r="N25" s="47">
        <v>0</v>
      </c>
      <c r="O25" s="48">
        <f>SUM(O7+O16)</f>
        <v>0</v>
      </c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</row>
    <row r="26" ht="24.75" customHeight="1" spans="1:32">
      <c r="A26" s="43"/>
      <c r="B26" s="44" t="s">
        <v>15</v>
      </c>
      <c r="C26" s="44" t="s">
        <v>16</v>
      </c>
      <c r="D26" s="6" t="s">
        <v>59</v>
      </c>
      <c r="E26" s="7" t="s">
        <v>59</v>
      </c>
      <c r="F26" s="8">
        <f t="shared" ref="F26:O26" si="4">SUM(F7+F16)</f>
        <v>0</v>
      </c>
      <c r="G26" s="9" t="e">
        <f t="shared" si="4"/>
        <v>#VALUE!</v>
      </c>
      <c r="H26" s="6">
        <f t="shared" si="4"/>
        <v>0</v>
      </c>
      <c r="I26" s="7" t="e">
        <f t="shared" si="4"/>
        <v>#VALUE!</v>
      </c>
      <c r="J26" s="8">
        <f t="shared" si="4"/>
        <v>0</v>
      </c>
      <c r="K26" s="9">
        <f t="shared" si="4"/>
        <v>0</v>
      </c>
      <c r="L26" s="6">
        <f t="shared" si="4"/>
        <v>0</v>
      </c>
      <c r="M26" s="7">
        <f t="shared" si="4"/>
        <v>0</v>
      </c>
      <c r="N26" s="8">
        <f t="shared" si="4"/>
        <v>0</v>
      </c>
      <c r="O26" s="9">
        <f t="shared" si="4"/>
        <v>0</v>
      </c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</row>
    <row r="27" ht="23.25" customHeight="1" spans="1:32">
      <c r="A27" s="43"/>
      <c r="B27" s="52" t="s">
        <v>17</v>
      </c>
      <c r="C27" s="52" t="s">
        <v>18</v>
      </c>
      <c r="D27" s="39" t="s">
        <v>59</v>
      </c>
      <c r="E27" s="40" t="s">
        <v>59</v>
      </c>
      <c r="F27" s="47">
        <f t="shared" ref="F27:O27" si="5">SUM(F8+F17)</f>
        <v>0</v>
      </c>
      <c r="G27" s="48" t="e">
        <f t="shared" si="5"/>
        <v>#VALUE!</v>
      </c>
      <c r="H27" s="39">
        <f t="shared" si="5"/>
        <v>0</v>
      </c>
      <c r="I27" s="40" t="e">
        <f t="shared" si="5"/>
        <v>#VALUE!</v>
      </c>
      <c r="J27" s="47">
        <f t="shared" si="5"/>
        <v>1</v>
      </c>
      <c r="K27" s="48">
        <f t="shared" si="5"/>
        <v>0</v>
      </c>
      <c r="L27" s="39">
        <f t="shared" si="5"/>
        <v>0</v>
      </c>
      <c r="M27" s="40">
        <f t="shared" si="5"/>
        <v>0</v>
      </c>
      <c r="N27" s="47">
        <f t="shared" si="5"/>
        <v>0</v>
      </c>
      <c r="O27" s="48">
        <f t="shared" si="5"/>
        <v>0</v>
      </c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</row>
    <row r="28" ht="22.5" customHeight="1" spans="1:32">
      <c r="A28" s="43"/>
      <c r="B28" s="44" t="s">
        <v>19</v>
      </c>
      <c r="C28" s="44" t="s">
        <v>20</v>
      </c>
      <c r="D28" s="6" t="s">
        <v>59</v>
      </c>
      <c r="E28" s="7" t="s">
        <v>59</v>
      </c>
      <c r="F28" s="8">
        <f t="shared" ref="F28:O28" si="6">SUM(F9+F18)</f>
        <v>10</v>
      </c>
      <c r="G28" s="9" t="e">
        <f t="shared" si="6"/>
        <v>#VALUE!</v>
      </c>
      <c r="H28" s="6">
        <f t="shared" si="6"/>
        <v>0</v>
      </c>
      <c r="I28" s="7" t="e">
        <f t="shared" si="6"/>
        <v>#VALUE!</v>
      </c>
      <c r="J28" s="8">
        <f t="shared" si="6"/>
        <v>14</v>
      </c>
      <c r="K28" s="9">
        <f t="shared" si="6"/>
        <v>0</v>
      </c>
      <c r="L28" s="6">
        <f t="shared" si="6"/>
        <v>0</v>
      </c>
      <c r="M28" s="7">
        <f t="shared" si="6"/>
        <v>0</v>
      </c>
      <c r="N28" s="8">
        <f t="shared" si="6"/>
        <v>0</v>
      </c>
      <c r="O28" s="9">
        <f t="shared" si="6"/>
        <v>0</v>
      </c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</row>
    <row r="29" ht="24.75" customHeight="1" spans="1:32">
      <c r="A29" s="43"/>
      <c r="B29" s="52" t="s">
        <v>21</v>
      </c>
      <c r="C29" s="52" t="s">
        <v>22</v>
      </c>
      <c r="D29" s="39" t="s">
        <v>59</v>
      </c>
      <c r="E29" s="40" t="s">
        <v>59</v>
      </c>
      <c r="F29" s="47">
        <f t="shared" ref="F29:O29" si="7">SUM(F10+F19)</f>
        <v>0</v>
      </c>
      <c r="G29" s="48" t="e">
        <f t="shared" si="7"/>
        <v>#VALUE!</v>
      </c>
      <c r="H29" s="39">
        <f t="shared" si="7"/>
        <v>0</v>
      </c>
      <c r="I29" s="40" t="e">
        <f t="shared" si="7"/>
        <v>#VALUE!</v>
      </c>
      <c r="J29" s="47">
        <f t="shared" si="7"/>
        <v>3</v>
      </c>
      <c r="K29" s="48">
        <f t="shared" si="7"/>
        <v>0</v>
      </c>
      <c r="L29" s="39">
        <f t="shared" si="7"/>
        <v>0</v>
      </c>
      <c r="M29" s="40">
        <f t="shared" si="7"/>
        <v>0</v>
      </c>
      <c r="N29" s="47">
        <f t="shared" si="7"/>
        <v>0</v>
      </c>
      <c r="O29" s="48">
        <f t="shared" si="7"/>
        <v>0</v>
      </c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</row>
    <row r="30" ht="24.75" customHeight="1" spans="1:32">
      <c r="A30" s="43"/>
      <c r="B30" s="44" t="s">
        <v>23</v>
      </c>
      <c r="C30" s="44" t="s">
        <v>24</v>
      </c>
      <c r="D30" s="6" t="s">
        <v>59</v>
      </c>
      <c r="E30" s="7" t="s">
        <v>59</v>
      </c>
      <c r="F30" s="8">
        <f t="shared" ref="F30:O30" si="8">SUM(F11+F20)</f>
        <v>0</v>
      </c>
      <c r="G30" s="9" t="e">
        <f t="shared" si="8"/>
        <v>#VALUE!</v>
      </c>
      <c r="H30" s="6">
        <f t="shared" si="8"/>
        <v>0</v>
      </c>
      <c r="I30" s="7" t="e">
        <f t="shared" si="8"/>
        <v>#VALUE!</v>
      </c>
      <c r="J30" s="8">
        <f t="shared" si="8"/>
        <v>0</v>
      </c>
      <c r="K30" s="9">
        <f t="shared" si="8"/>
        <v>0</v>
      </c>
      <c r="L30" s="6">
        <f t="shared" si="8"/>
        <v>0</v>
      </c>
      <c r="M30" s="7">
        <f t="shared" si="8"/>
        <v>0</v>
      </c>
      <c r="N30" s="8">
        <f t="shared" si="8"/>
        <v>0</v>
      </c>
      <c r="O30" s="9">
        <f t="shared" si="8"/>
        <v>0</v>
      </c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</row>
    <row r="31" ht="25.5" customHeight="1" spans="1:32">
      <c r="A31" s="5"/>
      <c r="B31" s="52" t="s">
        <v>25</v>
      </c>
      <c r="C31" s="52" t="s">
        <v>26</v>
      </c>
      <c r="D31" s="39" t="s">
        <v>59</v>
      </c>
      <c r="E31" s="40" t="s">
        <v>59</v>
      </c>
      <c r="F31" s="47">
        <f t="shared" ref="F31:O31" si="9">SUM(F12+F21)</f>
        <v>1</v>
      </c>
      <c r="G31" s="48" t="e">
        <f t="shared" si="9"/>
        <v>#VALUE!</v>
      </c>
      <c r="H31" s="39">
        <f t="shared" si="9"/>
        <v>0</v>
      </c>
      <c r="I31" s="40" t="e">
        <f t="shared" si="9"/>
        <v>#VALUE!</v>
      </c>
      <c r="J31" s="47">
        <f t="shared" si="9"/>
        <v>0</v>
      </c>
      <c r="K31" s="48">
        <f t="shared" si="9"/>
        <v>0</v>
      </c>
      <c r="L31" s="39">
        <f t="shared" si="9"/>
        <v>0</v>
      </c>
      <c r="M31" s="40">
        <f t="shared" si="9"/>
        <v>0</v>
      </c>
      <c r="N31" s="47">
        <f t="shared" si="9"/>
        <v>0</v>
      </c>
      <c r="O31" s="48">
        <f t="shared" si="9"/>
        <v>0</v>
      </c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</row>
    <row r="32" ht="21.75" customHeight="1" spans="1:32">
      <c r="A32" s="53"/>
      <c r="B32" s="53"/>
      <c r="C32" s="54" t="s">
        <v>30</v>
      </c>
      <c r="D32" s="55" t="s">
        <v>59</v>
      </c>
      <c r="E32" s="56" t="s">
        <v>59</v>
      </c>
      <c r="F32" s="90">
        <f t="shared" ref="F32:O32" si="10">SUM(F23:F31)</f>
        <v>11</v>
      </c>
      <c r="G32" s="57" t="e">
        <f t="shared" si="10"/>
        <v>#VALUE!</v>
      </c>
      <c r="H32" s="55">
        <f t="shared" si="10"/>
        <v>0</v>
      </c>
      <c r="I32" s="56" t="e">
        <f t="shared" si="10"/>
        <v>#VALUE!</v>
      </c>
      <c r="J32" s="90">
        <f t="shared" si="10"/>
        <v>20</v>
      </c>
      <c r="K32" s="57">
        <f t="shared" si="10"/>
        <v>0</v>
      </c>
      <c r="L32" s="55">
        <f t="shared" si="10"/>
        <v>0</v>
      </c>
      <c r="M32" s="56">
        <f t="shared" si="10"/>
        <v>0</v>
      </c>
      <c r="N32" s="90">
        <f t="shared" si="10"/>
        <v>0</v>
      </c>
      <c r="O32" s="57">
        <f t="shared" si="10"/>
        <v>0</v>
      </c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</row>
    <row r="33" ht="24.75" customHeight="1" spans="1:32">
      <c r="A33" s="58"/>
      <c r="B33" s="58"/>
      <c r="C33" s="54" t="s">
        <v>31</v>
      </c>
      <c r="D33" s="59" t="s">
        <v>59</v>
      </c>
      <c r="E33" s="60" t="s">
        <v>59</v>
      </c>
      <c r="F33" s="61">
        <f t="shared" ref="F33:O33" si="11">F32*40</f>
        <v>440</v>
      </c>
      <c r="G33" s="62" t="e">
        <f t="shared" si="11"/>
        <v>#VALUE!</v>
      </c>
      <c r="H33" s="59">
        <f t="shared" si="11"/>
        <v>0</v>
      </c>
      <c r="I33" s="60" t="e">
        <f t="shared" si="11"/>
        <v>#VALUE!</v>
      </c>
      <c r="J33" s="61">
        <f t="shared" si="11"/>
        <v>800</v>
      </c>
      <c r="K33" s="62">
        <f t="shared" si="11"/>
        <v>0</v>
      </c>
      <c r="L33" s="59">
        <f t="shared" si="11"/>
        <v>0</v>
      </c>
      <c r="M33" s="60">
        <f t="shared" si="11"/>
        <v>0</v>
      </c>
      <c r="N33" s="61">
        <f t="shared" si="11"/>
        <v>0</v>
      </c>
      <c r="O33" s="62">
        <f t="shared" si="11"/>
        <v>0</v>
      </c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</row>
    <row r="34" ht="27.75" customHeight="1" spans="1:32">
      <c r="A34" s="58"/>
      <c r="C34" s="63" t="s">
        <v>37</v>
      </c>
      <c r="D34" s="64"/>
      <c r="E34" s="64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</row>
    <row r="35" customHeight="1" spans="4:32">
      <c r="D35" s="67"/>
      <c r="E35" s="67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</row>
    <row r="36" customHeight="1" spans="2:32">
      <c r="B36" s="69" t="s">
        <v>32</v>
      </c>
      <c r="C36" s="70"/>
      <c r="D36" s="67"/>
      <c r="O36" s="67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</row>
    <row r="37" ht="18.75" customHeight="1" spans="2:32">
      <c r="B37" s="71" t="s">
        <v>33</v>
      </c>
      <c r="C37" s="97" t="s">
        <v>78</v>
      </c>
      <c r="D37" s="67"/>
      <c r="E37" s="67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</row>
    <row r="38" ht="17.25" customHeight="1" spans="2:32">
      <c r="B38" s="71" t="s">
        <v>34</v>
      </c>
      <c r="C38" s="97" t="s">
        <v>78</v>
      </c>
      <c r="D38" s="67"/>
      <c r="E38" s="67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</row>
    <row r="39" customHeight="1" spans="1:32">
      <c r="A39" s="58"/>
      <c r="B39" s="71" t="s">
        <v>35</v>
      </c>
      <c r="C39" s="97" t="s">
        <v>78</v>
      </c>
      <c r="D39" s="67"/>
      <c r="E39" s="67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</row>
    <row r="40" customHeight="1" spans="1:32">
      <c r="A40" s="58"/>
      <c r="B40" s="71" t="s">
        <v>36</v>
      </c>
      <c r="C40" s="97" t="s">
        <v>78</v>
      </c>
      <c r="D40" s="67"/>
      <c r="E40" s="67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</row>
    <row r="41" customHeight="1" spans="1:32">
      <c r="A41" s="58"/>
      <c r="B41" s="58"/>
      <c r="C41" s="58"/>
      <c r="D41" s="67"/>
      <c r="E41" s="67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</row>
    <row r="42" customHeight="1" spans="1:32">
      <c r="A42" s="58"/>
      <c r="B42" s="58"/>
      <c r="C42" s="58"/>
      <c r="D42" s="67"/>
      <c r="E42" s="67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</row>
    <row r="43" ht="23.25" customHeight="1" spans="3:32">
      <c r="C43" s="58"/>
      <c r="D43" s="73">
        <v>2022</v>
      </c>
      <c r="E43" s="3"/>
      <c r="F43" s="3"/>
      <c r="G43" s="4"/>
      <c r="H43" s="74">
        <v>2023</v>
      </c>
      <c r="I43" s="3"/>
      <c r="J43" s="3"/>
      <c r="K43" s="4"/>
      <c r="L43" s="74">
        <v>2024</v>
      </c>
      <c r="M43" s="3"/>
      <c r="N43" s="3"/>
      <c r="O43" s="4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  <c r="AA43" s="99"/>
      <c r="AB43" s="99"/>
      <c r="AC43" s="99"/>
      <c r="AD43" s="99"/>
      <c r="AE43" s="99"/>
      <c r="AF43" s="99"/>
    </row>
    <row r="44" ht="14.25" customHeight="1" spans="3:32">
      <c r="C44" s="58"/>
      <c r="D44" s="75" t="s">
        <v>42</v>
      </c>
      <c r="E44" s="76" t="s">
        <v>43</v>
      </c>
      <c r="F44" s="77" t="s">
        <v>44</v>
      </c>
      <c r="G44" s="78" t="s">
        <v>45</v>
      </c>
      <c r="H44" s="79" t="s">
        <v>46</v>
      </c>
      <c r="I44" s="76" t="s">
        <v>47</v>
      </c>
      <c r="J44" s="77" t="s">
        <v>48</v>
      </c>
      <c r="K44" s="78" t="s">
        <v>49</v>
      </c>
      <c r="L44" s="79" t="s">
        <v>50</v>
      </c>
      <c r="M44" s="76" t="s">
        <v>51</v>
      </c>
      <c r="N44" s="77" t="s">
        <v>52</v>
      </c>
      <c r="O44" s="78" t="s">
        <v>53</v>
      </c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  <c r="AF44" s="100"/>
    </row>
    <row r="45" ht="14.25" customHeight="1" spans="3:32">
      <c r="C45" s="52" t="s">
        <v>11</v>
      </c>
      <c r="D45" s="11" t="e">
        <f t="shared" ref="D45:E45" si="12">D24/5*100</f>
        <v>#VALUE!</v>
      </c>
      <c r="E45" s="11" t="e">
        <f t="shared" si="12"/>
        <v>#VALUE!</v>
      </c>
      <c r="F45" s="98">
        <f t="shared" ref="F45:K45" si="13">F23/5*100</f>
        <v>0</v>
      </c>
      <c r="G45" s="98" t="e">
        <f t="shared" si="13"/>
        <v>#VALUE!</v>
      </c>
      <c r="H45" s="98">
        <f t="shared" si="13"/>
        <v>0</v>
      </c>
      <c r="I45" s="98" t="e">
        <f t="shared" si="13"/>
        <v>#VALUE!</v>
      </c>
      <c r="J45" s="98">
        <f t="shared" si="13"/>
        <v>0</v>
      </c>
      <c r="K45" s="98">
        <f t="shared" si="13"/>
        <v>0</v>
      </c>
      <c r="L45" s="66"/>
      <c r="M45" s="66"/>
      <c r="N45" s="66"/>
      <c r="O45" s="66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</row>
    <row r="46" ht="14.25" customHeight="1" spans="3:32">
      <c r="C46" s="44" t="s">
        <v>13</v>
      </c>
      <c r="D46" s="11" t="e">
        <f t="shared" ref="D46:E46" si="14">D25/5*100</f>
        <v>#VALUE!</v>
      </c>
      <c r="E46" s="11" t="e">
        <f t="shared" si="14"/>
        <v>#VALUE!</v>
      </c>
      <c r="F46" s="98">
        <f t="shared" ref="F46:K46" si="15">F24/5*100</f>
        <v>0</v>
      </c>
      <c r="G46" s="98" t="e">
        <f t="shared" si="15"/>
        <v>#VALUE!</v>
      </c>
      <c r="H46" s="98">
        <f t="shared" si="15"/>
        <v>0</v>
      </c>
      <c r="I46" s="98" t="e">
        <f t="shared" si="15"/>
        <v>#VALUE!</v>
      </c>
      <c r="J46" s="98">
        <f t="shared" si="15"/>
        <v>0</v>
      </c>
      <c r="K46" s="98">
        <f t="shared" si="15"/>
        <v>0</v>
      </c>
      <c r="L46" s="66"/>
      <c r="M46" s="66"/>
      <c r="N46" s="66"/>
      <c r="O46" s="66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</row>
    <row r="47" ht="14.25" customHeight="1" spans="3:32">
      <c r="C47" s="52" t="s">
        <v>28</v>
      </c>
      <c r="D47" s="11" t="e">
        <f t="shared" ref="D47:E47" si="16">D26/5*100</f>
        <v>#VALUE!</v>
      </c>
      <c r="E47" s="11" t="e">
        <f t="shared" si="16"/>
        <v>#VALUE!</v>
      </c>
      <c r="F47" s="98">
        <f t="shared" ref="F47:K47" si="17">F25/5*100</f>
        <v>0</v>
      </c>
      <c r="G47" s="98" t="e">
        <f t="shared" si="17"/>
        <v>#VALUE!</v>
      </c>
      <c r="H47" s="98">
        <f t="shared" si="17"/>
        <v>0</v>
      </c>
      <c r="I47" s="98" t="e">
        <f t="shared" si="17"/>
        <v>#VALUE!</v>
      </c>
      <c r="J47" s="98">
        <f t="shared" si="17"/>
        <v>40</v>
      </c>
      <c r="K47" s="98">
        <f t="shared" si="17"/>
        <v>0</v>
      </c>
      <c r="L47" s="66"/>
      <c r="M47" s="66"/>
      <c r="N47" s="66"/>
      <c r="O47" s="66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</row>
    <row r="48" ht="14.25" customHeight="1" spans="3:32">
      <c r="C48" s="44" t="s">
        <v>15</v>
      </c>
      <c r="D48" s="11" t="e">
        <f t="shared" ref="D48:E48" si="18">D27/5*100</f>
        <v>#VALUE!</v>
      </c>
      <c r="E48" s="11" t="e">
        <f t="shared" si="18"/>
        <v>#VALUE!</v>
      </c>
      <c r="F48" s="98">
        <f t="shared" ref="F48:K48" si="19">F26/5*100</f>
        <v>0</v>
      </c>
      <c r="G48" s="98" t="e">
        <f t="shared" si="19"/>
        <v>#VALUE!</v>
      </c>
      <c r="H48" s="98">
        <f t="shared" si="19"/>
        <v>0</v>
      </c>
      <c r="I48" s="98" t="e">
        <f t="shared" si="19"/>
        <v>#VALUE!</v>
      </c>
      <c r="J48" s="98">
        <f t="shared" si="19"/>
        <v>0</v>
      </c>
      <c r="K48" s="98">
        <f t="shared" si="19"/>
        <v>0</v>
      </c>
      <c r="L48" s="66"/>
      <c r="M48" s="66"/>
      <c r="N48" s="66"/>
      <c r="O48" s="66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</row>
    <row r="49" ht="14.25" customHeight="1" spans="3:32">
      <c r="C49" s="52" t="s">
        <v>17</v>
      </c>
      <c r="D49" s="11" t="e">
        <f t="shared" ref="D49:E49" si="20">D28/5*100</f>
        <v>#VALUE!</v>
      </c>
      <c r="E49" s="11" t="e">
        <f t="shared" si="20"/>
        <v>#VALUE!</v>
      </c>
      <c r="F49" s="98">
        <f t="shared" ref="F49:K49" si="21">F27/5*100</f>
        <v>0</v>
      </c>
      <c r="G49" s="98" t="e">
        <f t="shared" si="21"/>
        <v>#VALUE!</v>
      </c>
      <c r="H49" s="98">
        <f t="shared" si="21"/>
        <v>0</v>
      </c>
      <c r="I49" s="98" t="e">
        <f t="shared" si="21"/>
        <v>#VALUE!</v>
      </c>
      <c r="J49" s="98">
        <f t="shared" si="21"/>
        <v>20</v>
      </c>
      <c r="K49" s="98">
        <f t="shared" si="21"/>
        <v>0</v>
      </c>
      <c r="L49" s="66"/>
      <c r="M49" s="66"/>
      <c r="N49" s="66"/>
      <c r="O49" s="66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</row>
    <row r="50" ht="14.25" customHeight="1" spans="3:32">
      <c r="C50" s="44" t="s">
        <v>19</v>
      </c>
      <c r="D50" s="11" t="e">
        <f t="shared" ref="D50:E50" si="22">D29/5*100</f>
        <v>#VALUE!</v>
      </c>
      <c r="E50" s="11" t="e">
        <f t="shared" si="22"/>
        <v>#VALUE!</v>
      </c>
      <c r="F50" s="98">
        <f t="shared" ref="F50:K50" si="23">F28/5*100</f>
        <v>200</v>
      </c>
      <c r="G50" s="98" t="e">
        <f t="shared" si="23"/>
        <v>#VALUE!</v>
      </c>
      <c r="H50" s="98">
        <f t="shared" si="23"/>
        <v>0</v>
      </c>
      <c r="I50" s="98" t="e">
        <f t="shared" si="23"/>
        <v>#VALUE!</v>
      </c>
      <c r="J50" s="98">
        <f t="shared" si="23"/>
        <v>280</v>
      </c>
      <c r="K50" s="98">
        <f t="shared" si="23"/>
        <v>0</v>
      </c>
      <c r="L50" s="66"/>
      <c r="M50" s="66"/>
      <c r="N50" s="66"/>
      <c r="O50" s="66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</row>
    <row r="51" ht="14.25" customHeight="1" spans="3:32">
      <c r="C51" s="52" t="s">
        <v>21</v>
      </c>
      <c r="D51" s="11" t="e">
        <f t="shared" ref="D51:E51" si="24">D30/5*100</f>
        <v>#VALUE!</v>
      </c>
      <c r="E51" s="11" t="e">
        <f t="shared" si="24"/>
        <v>#VALUE!</v>
      </c>
      <c r="F51" s="98">
        <f t="shared" ref="F51:K51" si="25">F29/5*100</f>
        <v>0</v>
      </c>
      <c r="G51" s="98" t="e">
        <f t="shared" si="25"/>
        <v>#VALUE!</v>
      </c>
      <c r="H51" s="98">
        <f t="shared" si="25"/>
        <v>0</v>
      </c>
      <c r="I51" s="98" t="e">
        <f t="shared" si="25"/>
        <v>#VALUE!</v>
      </c>
      <c r="J51" s="98">
        <f t="shared" si="25"/>
        <v>60</v>
      </c>
      <c r="K51" s="98">
        <f t="shared" si="25"/>
        <v>0</v>
      </c>
      <c r="L51" s="66"/>
      <c r="M51" s="66"/>
      <c r="N51" s="66"/>
      <c r="O51" s="66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</row>
    <row r="52" ht="14.25" customHeight="1" spans="3:32">
      <c r="C52" s="44" t="s">
        <v>23</v>
      </c>
      <c r="D52" s="11" t="e">
        <f t="shared" ref="D52:E52" si="26">D31/5*100</f>
        <v>#VALUE!</v>
      </c>
      <c r="E52" s="11" t="e">
        <f t="shared" si="26"/>
        <v>#VALUE!</v>
      </c>
      <c r="F52" s="98">
        <f t="shared" ref="F52:K52" si="27">F30/5*100</f>
        <v>0</v>
      </c>
      <c r="G52" s="98" t="e">
        <f t="shared" si="27"/>
        <v>#VALUE!</v>
      </c>
      <c r="H52" s="98">
        <f t="shared" si="27"/>
        <v>0</v>
      </c>
      <c r="I52" s="98" t="e">
        <f t="shared" si="27"/>
        <v>#VALUE!</v>
      </c>
      <c r="J52" s="98">
        <f t="shared" si="27"/>
        <v>0</v>
      </c>
      <c r="K52" s="98">
        <f t="shared" si="27"/>
        <v>0</v>
      </c>
      <c r="L52" s="66"/>
      <c r="M52" s="66"/>
      <c r="N52" s="66"/>
      <c r="O52" s="66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</row>
    <row r="53" ht="14.25" customHeight="1" spans="3:32">
      <c r="C53" s="52" t="s">
        <v>25</v>
      </c>
      <c r="D53" s="11" t="e">
        <f t="shared" ref="D53:E53" si="28">D32/5*100</f>
        <v>#VALUE!</v>
      </c>
      <c r="E53" s="11" t="e">
        <f t="shared" si="28"/>
        <v>#VALUE!</v>
      </c>
      <c r="F53" s="98">
        <f t="shared" ref="F53:K53" si="29">F31/5*100</f>
        <v>20</v>
      </c>
      <c r="G53" s="98" t="e">
        <f t="shared" si="29"/>
        <v>#VALUE!</v>
      </c>
      <c r="H53" s="98">
        <f t="shared" si="29"/>
        <v>0</v>
      </c>
      <c r="I53" s="98" t="e">
        <f t="shared" si="29"/>
        <v>#VALUE!</v>
      </c>
      <c r="J53" s="98">
        <f t="shared" si="29"/>
        <v>0</v>
      </c>
      <c r="K53" s="98">
        <f t="shared" si="29"/>
        <v>0</v>
      </c>
      <c r="L53" s="66"/>
      <c r="M53" s="66"/>
      <c r="N53" s="66"/>
      <c r="O53" s="66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</row>
    <row r="54" ht="14.25" customHeight="1" spans="4:32"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</row>
    <row r="55" ht="14.25" customHeight="1" spans="4:32"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</row>
    <row r="56" ht="14.25" customHeight="1" spans="4:32"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68"/>
      <c r="AE56" s="68"/>
      <c r="AF56" s="68"/>
    </row>
    <row r="57" ht="14.25" customHeight="1" spans="4:32"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  <c r="AC57" s="68"/>
      <c r="AD57" s="68"/>
      <c r="AE57" s="68"/>
      <c r="AF57" s="68"/>
    </row>
    <row r="58" ht="14.25" customHeight="1" spans="4:32"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  <c r="AE58" s="68"/>
      <c r="AF58" s="68"/>
    </row>
    <row r="59" ht="14.25" customHeight="1" spans="4:32"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8"/>
    </row>
    <row r="60" ht="14.25" customHeight="1" spans="4:32"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  <c r="AB60" s="68"/>
      <c r="AC60" s="68"/>
      <c r="AD60" s="68"/>
      <c r="AE60" s="68"/>
      <c r="AF60" s="68"/>
    </row>
    <row r="61" ht="14.25" customHeight="1" spans="4:32"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  <c r="AB61" s="68"/>
      <c r="AC61" s="68"/>
      <c r="AD61" s="68"/>
      <c r="AE61" s="68"/>
      <c r="AF61" s="68"/>
    </row>
    <row r="62" ht="14.25" customHeight="1" spans="4:32"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  <c r="AB62" s="68"/>
      <c r="AC62" s="68"/>
      <c r="AD62" s="68"/>
      <c r="AE62" s="68"/>
      <c r="AF62" s="68"/>
    </row>
    <row r="63" ht="14.25" customHeight="1" spans="4:32"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</row>
    <row r="64" ht="14.25" customHeight="1" spans="4:32"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  <c r="AB64" s="68"/>
      <c r="AC64" s="68"/>
      <c r="AD64" s="68"/>
      <c r="AE64" s="68"/>
      <c r="AF64" s="68"/>
    </row>
    <row r="65" ht="14.25" customHeight="1" spans="4:32"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</row>
    <row r="66" ht="14.25" customHeight="1" spans="4:32"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</row>
    <row r="67" ht="14.25" customHeight="1" spans="4:32"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  <c r="AB67" s="68"/>
      <c r="AC67" s="68"/>
      <c r="AD67" s="68"/>
      <c r="AE67" s="68"/>
      <c r="AF67" s="68"/>
    </row>
    <row r="68" ht="14.25" customHeight="1" spans="4:32"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</row>
    <row r="69" ht="14.25" customHeight="1" spans="4:32"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</row>
    <row r="70" ht="14.25" customHeight="1" spans="4:32"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  <c r="AB70" s="68"/>
      <c r="AC70" s="68"/>
      <c r="AD70" s="68"/>
      <c r="AE70" s="68"/>
      <c r="AF70" s="68"/>
    </row>
    <row r="71" ht="14.25" customHeight="1" spans="4:32"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  <c r="AB71" s="68"/>
      <c r="AC71" s="68"/>
      <c r="AD71" s="68"/>
      <c r="AE71" s="68"/>
      <c r="AF71" s="68"/>
    </row>
    <row r="72" ht="14.25" customHeight="1" spans="4:32"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  <c r="AB72" s="68"/>
      <c r="AC72" s="68"/>
      <c r="AD72" s="68"/>
      <c r="AE72" s="68"/>
      <c r="AF72" s="68"/>
    </row>
    <row r="73" ht="14.25" customHeight="1" spans="4:32"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  <c r="AE73" s="68"/>
      <c r="AF73" s="68"/>
    </row>
    <row r="74" ht="14.25" customHeight="1" spans="4:32"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  <c r="AB74" s="68"/>
      <c r="AC74" s="68"/>
      <c r="AD74" s="68"/>
      <c r="AE74" s="68"/>
      <c r="AF74" s="68"/>
    </row>
    <row r="75" ht="14.25" customHeight="1" spans="4:32"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68"/>
      <c r="AC75" s="68"/>
      <c r="AD75" s="68"/>
      <c r="AE75" s="68"/>
      <c r="AF75" s="68"/>
    </row>
    <row r="76" ht="14.25" customHeight="1" spans="4:32"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</row>
    <row r="77" ht="14.25" customHeight="1" spans="4:32"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</row>
    <row r="78" ht="14.25" customHeight="1" spans="4:32"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  <c r="AC78" s="68"/>
      <c r="AD78" s="68"/>
      <c r="AE78" s="68"/>
      <c r="AF78" s="68"/>
    </row>
    <row r="79" ht="14.25" customHeight="1" spans="4:32"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</row>
    <row r="80" ht="14.25" customHeight="1" spans="4:32"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</row>
    <row r="81" ht="14.25" customHeight="1" spans="4:32"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  <c r="AB81" s="68"/>
      <c r="AC81" s="68"/>
      <c r="AD81" s="68"/>
      <c r="AE81" s="68"/>
      <c r="AF81" s="68"/>
    </row>
    <row r="82" ht="14.25" customHeight="1" spans="4:32"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</row>
    <row r="83" ht="14.25" customHeight="1" spans="4:32"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</row>
    <row r="84" ht="14.25" customHeight="1" spans="4:32"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</row>
    <row r="85" ht="14.25" customHeight="1" spans="4:32"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</row>
    <row r="86" ht="14.25" customHeight="1" spans="4:32"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</row>
    <row r="87" ht="14.25" customHeight="1" spans="4:32"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</row>
    <row r="88" ht="14.25" customHeight="1" spans="4:32"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</row>
    <row r="89" ht="14.25" customHeight="1" spans="4:32"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</row>
    <row r="90" ht="14.25" customHeight="1" spans="4:32"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</row>
    <row r="91" ht="14.25" customHeight="1" spans="4:32"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</row>
    <row r="92" ht="14.25" customHeight="1" spans="4:32"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</row>
    <row r="93" ht="14.25" customHeight="1" spans="4:32"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</row>
    <row r="94" ht="14.25" customHeight="1" spans="4:32"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</row>
    <row r="95" ht="14.25" customHeight="1" spans="4:32"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</row>
    <row r="96" ht="14.25" customHeight="1" spans="4:32"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</row>
    <row r="97" ht="14.25" customHeight="1" spans="4:32"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</row>
    <row r="98" ht="14.25" customHeight="1" spans="4:32"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</row>
    <row r="99" ht="14.25" customHeight="1" spans="4:32"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</row>
    <row r="100" ht="14.25" customHeight="1" spans="4:32"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</row>
    <row r="101" ht="14.25" customHeight="1" spans="4:32"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</row>
    <row r="102" ht="14.25" customHeight="1" spans="4:32"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</row>
    <row r="103" ht="14.25" customHeight="1" spans="4:32"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</row>
    <row r="104" ht="14.25" customHeight="1" spans="4:32"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</row>
    <row r="105" ht="14.25" customHeight="1" spans="4:32"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</row>
    <row r="106" ht="14.25" customHeight="1" spans="4:32"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</row>
    <row r="107" ht="14.25" customHeight="1" spans="4:32"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</row>
    <row r="108" ht="14.25" customHeight="1" spans="4:32"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</row>
    <row r="109" ht="14.25" customHeight="1" spans="4:32"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/>
    </row>
    <row r="110" ht="14.25" customHeight="1" spans="4:32"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8"/>
      <c r="AB110" s="68"/>
      <c r="AC110" s="68"/>
      <c r="AD110" s="68"/>
      <c r="AE110" s="68"/>
      <c r="AF110" s="68"/>
    </row>
    <row r="111" ht="14.25" customHeight="1" spans="4:32"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</row>
    <row r="112" ht="14.25" customHeight="1" spans="4:32"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68"/>
      <c r="AB112" s="68"/>
      <c r="AC112" s="68"/>
      <c r="AD112" s="68"/>
      <c r="AE112" s="68"/>
      <c r="AF112" s="68"/>
    </row>
    <row r="113" ht="14.25" customHeight="1" spans="4:7">
      <c r="D113" s="93"/>
      <c r="E113" s="94"/>
      <c r="F113" s="95"/>
      <c r="G113" s="96"/>
    </row>
    <row r="114" ht="14.25" customHeight="1" spans="4:7">
      <c r="D114" s="93"/>
      <c r="E114" s="94"/>
      <c r="F114" s="95"/>
      <c r="G114" s="96"/>
    </row>
    <row r="115" ht="14.25" customHeight="1" spans="4:7">
      <c r="D115" s="93"/>
      <c r="E115" s="94"/>
      <c r="F115" s="95"/>
      <c r="G115" s="96"/>
    </row>
    <row r="116" ht="14.25" customHeight="1" spans="4:7">
      <c r="D116" s="93"/>
      <c r="E116" s="94"/>
      <c r="F116" s="95"/>
      <c r="G116" s="96"/>
    </row>
    <row r="117" ht="14.25" customHeight="1" spans="4:7">
      <c r="D117" s="93"/>
      <c r="E117" s="94"/>
      <c r="F117" s="95"/>
      <c r="G117" s="96"/>
    </row>
    <row r="118" ht="14.25" customHeight="1" spans="4:7">
      <c r="D118" s="93"/>
      <c r="E118" s="94"/>
      <c r="F118" s="95"/>
      <c r="G118" s="96"/>
    </row>
    <row r="119" ht="14.25" customHeight="1" spans="4:7">
      <c r="D119" s="93"/>
      <c r="E119" s="94"/>
      <c r="F119" s="95"/>
      <c r="G119" s="96"/>
    </row>
    <row r="120" ht="14.25" customHeight="1" spans="4:7">
      <c r="D120" s="93"/>
      <c r="E120" s="94"/>
      <c r="F120" s="95"/>
      <c r="G120" s="96"/>
    </row>
    <row r="121" ht="14.25" customHeight="1" spans="4:7">
      <c r="D121" s="93"/>
      <c r="E121" s="94"/>
      <c r="F121" s="95"/>
      <c r="G121" s="96"/>
    </row>
    <row r="122" ht="14.25" customHeight="1" spans="4:7">
      <c r="D122" s="93"/>
      <c r="E122" s="94"/>
      <c r="F122" s="95"/>
      <c r="G122" s="96"/>
    </row>
    <row r="123" ht="14.25" customHeight="1" spans="4:7">
      <c r="D123" s="93"/>
      <c r="E123" s="94"/>
      <c r="F123" s="95"/>
      <c r="G123" s="96"/>
    </row>
    <row r="124" ht="14.25" customHeight="1" spans="4:7">
      <c r="D124" s="93"/>
      <c r="E124" s="94"/>
      <c r="F124" s="95"/>
      <c r="G124" s="96"/>
    </row>
    <row r="125" ht="14.25" customHeight="1" spans="4:7">
      <c r="D125" s="93"/>
      <c r="E125" s="94"/>
      <c r="F125" s="95"/>
      <c r="G125" s="96"/>
    </row>
    <row r="126" ht="14.25" customHeight="1" spans="4:7">
      <c r="D126" s="93"/>
      <c r="E126" s="94"/>
      <c r="F126" s="95"/>
      <c r="G126" s="96"/>
    </row>
    <row r="127" ht="14.25" customHeight="1" spans="4:7">
      <c r="D127" s="93"/>
      <c r="E127" s="94"/>
      <c r="F127" s="95"/>
      <c r="G127" s="96"/>
    </row>
    <row r="128" ht="14.25" customHeight="1" spans="4:7">
      <c r="D128" s="93"/>
      <c r="E128" s="94"/>
      <c r="F128" s="95"/>
      <c r="G128" s="96"/>
    </row>
    <row r="129" ht="14.25" customHeight="1" spans="4:7">
      <c r="D129" s="93"/>
      <c r="E129" s="94"/>
      <c r="F129" s="95"/>
      <c r="G129" s="96"/>
    </row>
    <row r="130" ht="14.25" customHeight="1" spans="4:7">
      <c r="D130" s="93"/>
      <c r="E130" s="94"/>
      <c r="F130" s="95"/>
      <c r="G130" s="96"/>
    </row>
    <row r="131" ht="14.25" customHeight="1" spans="4:7">
      <c r="D131" s="93"/>
      <c r="E131" s="94"/>
      <c r="F131" s="95"/>
      <c r="G131" s="96"/>
    </row>
    <row r="132" ht="14.25" customHeight="1" spans="4:7">
      <c r="D132" s="93"/>
      <c r="E132" s="94"/>
      <c r="F132" s="95"/>
      <c r="G132" s="96"/>
    </row>
    <row r="133" ht="14.25" customHeight="1" spans="4:7">
      <c r="D133" s="93"/>
      <c r="E133" s="94"/>
      <c r="F133" s="95"/>
      <c r="G133" s="96"/>
    </row>
    <row r="134" ht="14.25" customHeight="1" spans="4:7">
      <c r="D134" s="93"/>
      <c r="E134" s="94"/>
      <c r="F134" s="95"/>
      <c r="G134" s="96"/>
    </row>
    <row r="135" ht="14.25" customHeight="1" spans="4:7">
      <c r="D135" s="93"/>
      <c r="E135" s="94"/>
      <c r="F135" s="95"/>
      <c r="G135" s="96"/>
    </row>
    <row r="136" ht="14.25" customHeight="1" spans="4:7">
      <c r="D136" s="93"/>
      <c r="E136" s="94"/>
      <c r="F136" s="95"/>
      <c r="G136" s="96"/>
    </row>
    <row r="137" ht="14.25" customHeight="1" spans="4:7">
      <c r="D137" s="93"/>
      <c r="E137" s="94"/>
      <c r="F137" s="95"/>
      <c r="G137" s="96"/>
    </row>
    <row r="138" ht="14.25" customHeight="1" spans="4:7">
      <c r="D138" s="93"/>
      <c r="E138" s="94"/>
      <c r="F138" s="95"/>
      <c r="G138" s="96"/>
    </row>
    <row r="139" ht="14.25" customHeight="1" spans="4:7">
      <c r="D139" s="93"/>
      <c r="E139" s="94"/>
      <c r="F139" s="95"/>
      <c r="G139" s="96"/>
    </row>
    <row r="140" ht="14.25" customHeight="1" spans="4:7">
      <c r="D140" s="93"/>
      <c r="E140" s="94"/>
      <c r="F140" s="95"/>
      <c r="G140" s="96"/>
    </row>
    <row r="141" ht="14.25" customHeight="1" spans="4:7">
      <c r="D141" s="93"/>
      <c r="E141" s="94"/>
      <c r="F141" s="95"/>
      <c r="G141" s="96"/>
    </row>
    <row r="142" ht="14.25" customHeight="1" spans="4:7">
      <c r="D142" s="93"/>
      <c r="E142" s="94"/>
      <c r="F142" s="95"/>
      <c r="G142" s="96"/>
    </row>
    <row r="143" ht="14.25" customHeight="1" spans="4:7">
      <c r="D143" s="93"/>
      <c r="E143" s="94"/>
      <c r="F143" s="95"/>
      <c r="G143" s="96"/>
    </row>
    <row r="144" ht="14.25" customHeight="1" spans="4:7">
      <c r="D144" s="93"/>
      <c r="E144" s="94"/>
      <c r="F144" s="95"/>
      <c r="G144" s="96"/>
    </row>
    <row r="145" ht="14.25" customHeight="1" spans="4:7">
      <c r="D145" s="93"/>
      <c r="E145" s="94"/>
      <c r="F145" s="95"/>
      <c r="G145" s="96"/>
    </row>
    <row r="146" ht="14.25" customHeight="1" spans="4:7">
      <c r="D146" s="93"/>
      <c r="E146" s="94"/>
      <c r="F146" s="95"/>
      <c r="G146" s="96"/>
    </row>
    <row r="147" ht="14.25" customHeight="1" spans="4:7">
      <c r="D147" s="93"/>
      <c r="E147" s="94"/>
      <c r="F147" s="95"/>
      <c r="G147" s="96"/>
    </row>
    <row r="148" ht="14.25" customHeight="1" spans="4:7">
      <c r="D148" s="93"/>
      <c r="E148" s="94"/>
      <c r="F148" s="95"/>
      <c r="G148" s="96"/>
    </row>
    <row r="149" ht="14.25" customHeight="1" spans="4:7">
      <c r="D149" s="93"/>
      <c r="E149" s="94"/>
      <c r="F149" s="95"/>
      <c r="G149" s="96"/>
    </row>
    <row r="150" ht="14.25" customHeight="1" spans="4:7">
      <c r="D150" s="93"/>
      <c r="E150" s="94"/>
      <c r="F150" s="95"/>
      <c r="G150" s="96"/>
    </row>
    <row r="151" ht="14.25" customHeight="1" spans="4:7">
      <c r="D151" s="93"/>
      <c r="E151" s="94"/>
      <c r="F151" s="95"/>
      <c r="G151" s="96"/>
    </row>
    <row r="152" ht="14.25" customHeight="1" spans="4:7">
      <c r="D152" s="93"/>
      <c r="E152" s="94"/>
      <c r="F152" s="95"/>
      <c r="G152" s="96"/>
    </row>
    <row r="153" ht="14.25" customHeight="1" spans="4:7">
      <c r="D153" s="93"/>
      <c r="E153" s="94"/>
      <c r="F153" s="95"/>
      <c r="G153" s="96"/>
    </row>
    <row r="154" ht="14.25" customHeight="1" spans="4:7">
      <c r="D154" s="93"/>
      <c r="E154" s="94"/>
      <c r="F154" s="95"/>
      <c r="G154" s="96"/>
    </row>
    <row r="155" ht="14.25" customHeight="1" spans="4:7">
      <c r="D155" s="93"/>
      <c r="E155" s="94"/>
      <c r="F155" s="95"/>
      <c r="G155" s="96"/>
    </row>
    <row r="156" ht="14.25" customHeight="1" spans="4:7">
      <c r="D156" s="93"/>
      <c r="E156" s="94"/>
      <c r="F156" s="95"/>
      <c r="G156" s="96"/>
    </row>
    <row r="157" ht="14.25" customHeight="1" spans="4:7">
      <c r="D157" s="93"/>
      <c r="E157" s="94"/>
      <c r="F157" s="95"/>
      <c r="G157" s="96"/>
    </row>
    <row r="158" ht="14.25" customHeight="1" spans="4:7">
      <c r="D158" s="93"/>
      <c r="E158" s="94"/>
      <c r="F158" s="95"/>
      <c r="G158" s="96"/>
    </row>
    <row r="159" ht="14.25" customHeight="1" spans="4:7">
      <c r="D159" s="93"/>
      <c r="E159" s="94"/>
      <c r="F159" s="95"/>
      <c r="G159" s="96"/>
    </row>
    <row r="160" ht="14.25" customHeight="1" spans="4:7">
      <c r="D160" s="93"/>
      <c r="E160" s="94"/>
      <c r="F160" s="95"/>
      <c r="G160" s="96"/>
    </row>
    <row r="161" ht="14.25" customHeight="1" spans="4:7">
      <c r="D161" s="93"/>
      <c r="E161" s="94"/>
      <c r="F161" s="95"/>
      <c r="G161" s="96"/>
    </row>
    <row r="162" ht="14.25" customHeight="1" spans="4:7">
      <c r="D162" s="93"/>
      <c r="E162" s="94"/>
      <c r="F162" s="95"/>
      <c r="G162" s="96"/>
    </row>
    <row r="163" ht="14.25" customHeight="1" spans="4:7">
      <c r="D163" s="93"/>
      <c r="E163" s="94"/>
      <c r="F163" s="95"/>
      <c r="G163" s="96"/>
    </row>
    <row r="164" ht="14.25" customHeight="1" spans="4:7">
      <c r="D164" s="93"/>
      <c r="E164" s="94"/>
      <c r="F164" s="95"/>
      <c r="G164" s="96"/>
    </row>
    <row r="165" ht="14.25" customHeight="1" spans="4:7">
      <c r="D165" s="93"/>
      <c r="E165" s="94"/>
      <c r="F165" s="95"/>
      <c r="G165" s="96"/>
    </row>
    <row r="166" ht="14.25" customHeight="1" spans="4:7">
      <c r="D166" s="93"/>
      <c r="E166" s="94"/>
      <c r="F166" s="95"/>
      <c r="G166" s="96"/>
    </row>
    <row r="167" ht="14.25" customHeight="1" spans="4:7">
      <c r="D167" s="93"/>
      <c r="E167" s="94"/>
      <c r="F167" s="95"/>
      <c r="G167" s="96"/>
    </row>
    <row r="168" ht="14.25" customHeight="1" spans="4:7">
      <c r="D168" s="93"/>
      <c r="E168" s="94"/>
      <c r="F168" s="95"/>
      <c r="G168" s="96"/>
    </row>
    <row r="169" ht="14.25" customHeight="1" spans="4:7">
      <c r="D169" s="93"/>
      <c r="E169" s="94"/>
      <c r="F169" s="95"/>
      <c r="G169" s="96"/>
    </row>
    <row r="170" ht="14.25" customHeight="1" spans="4:7">
      <c r="D170" s="93"/>
      <c r="E170" s="94"/>
      <c r="F170" s="95"/>
      <c r="G170" s="96"/>
    </row>
    <row r="171" ht="14.25" customHeight="1" spans="4:7">
      <c r="D171" s="93"/>
      <c r="E171" s="94"/>
      <c r="F171" s="95"/>
      <c r="G171" s="96"/>
    </row>
    <row r="172" ht="14.25" customHeight="1" spans="4:7">
      <c r="D172" s="93"/>
      <c r="E172" s="94"/>
      <c r="F172" s="95"/>
      <c r="G172" s="96"/>
    </row>
    <row r="173" ht="14.25" customHeight="1" spans="4:7">
      <c r="D173" s="93"/>
      <c r="E173" s="94"/>
      <c r="F173" s="95"/>
      <c r="G173" s="96"/>
    </row>
    <row r="174" ht="14.25" customHeight="1" spans="4:7">
      <c r="D174" s="93"/>
      <c r="E174" s="94"/>
      <c r="F174" s="95"/>
      <c r="G174" s="96"/>
    </row>
    <row r="175" ht="14.25" customHeight="1" spans="4:7">
      <c r="D175" s="93"/>
      <c r="E175" s="94"/>
      <c r="F175" s="95"/>
      <c r="G175" s="96"/>
    </row>
    <row r="176" ht="14.25" customHeight="1" spans="4:7">
      <c r="D176" s="93"/>
      <c r="E176" s="94"/>
      <c r="F176" s="95"/>
      <c r="G176" s="96"/>
    </row>
    <row r="177" ht="14.25" customHeight="1" spans="4:7">
      <c r="D177" s="93"/>
      <c r="E177" s="94"/>
      <c r="F177" s="95"/>
      <c r="G177" s="96"/>
    </row>
    <row r="178" ht="14.25" customHeight="1" spans="4:7">
      <c r="D178" s="93"/>
      <c r="E178" s="94"/>
      <c r="F178" s="95"/>
      <c r="G178" s="96"/>
    </row>
    <row r="179" ht="14.25" customHeight="1" spans="4:7">
      <c r="D179" s="93"/>
      <c r="E179" s="94"/>
      <c r="F179" s="95"/>
      <c r="G179" s="96"/>
    </row>
    <row r="180" ht="14.25" customHeight="1" spans="4:7">
      <c r="D180" s="93"/>
      <c r="E180" s="94"/>
      <c r="F180" s="95"/>
      <c r="G180" s="96"/>
    </row>
    <row r="181" ht="14.25" customHeight="1" spans="4:7">
      <c r="D181" s="93"/>
      <c r="E181" s="94"/>
      <c r="F181" s="95"/>
      <c r="G181" s="96"/>
    </row>
    <row r="182" ht="14.25" customHeight="1" spans="4:7">
      <c r="D182" s="93"/>
      <c r="E182" s="94"/>
      <c r="F182" s="95"/>
      <c r="G182" s="96"/>
    </row>
    <row r="183" ht="14.25" customHeight="1" spans="4:7">
      <c r="D183" s="93"/>
      <c r="E183" s="94"/>
      <c r="F183" s="95"/>
      <c r="G183" s="96"/>
    </row>
    <row r="184" ht="14.25" customHeight="1" spans="4:7">
      <c r="D184" s="93"/>
      <c r="E184" s="94"/>
      <c r="F184" s="95"/>
      <c r="G184" s="96"/>
    </row>
    <row r="185" ht="14.25" customHeight="1" spans="4:7">
      <c r="D185" s="93"/>
      <c r="E185" s="94"/>
      <c r="F185" s="95"/>
      <c r="G185" s="96"/>
    </row>
    <row r="186" ht="14.25" customHeight="1" spans="4:7">
      <c r="D186" s="93"/>
      <c r="E186" s="94"/>
      <c r="F186" s="95"/>
      <c r="G186" s="96"/>
    </row>
    <row r="187" ht="14.25" customHeight="1" spans="4:7">
      <c r="D187" s="93"/>
      <c r="E187" s="94"/>
      <c r="F187" s="95"/>
      <c r="G187" s="96"/>
    </row>
    <row r="188" ht="14.25" customHeight="1" spans="4:7">
      <c r="D188" s="93"/>
      <c r="E188" s="94"/>
      <c r="F188" s="95"/>
      <c r="G188" s="96"/>
    </row>
    <row r="189" ht="14.25" customHeight="1" spans="4:7">
      <c r="D189" s="93"/>
      <c r="E189" s="94"/>
      <c r="F189" s="95"/>
      <c r="G189" s="96"/>
    </row>
    <row r="190" ht="14.25" customHeight="1" spans="4:7">
      <c r="D190" s="93"/>
      <c r="E190" s="94"/>
      <c r="F190" s="95"/>
      <c r="G190" s="96"/>
    </row>
    <row r="191" ht="14.25" customHeight="1" spans="4:7">
      <c r="D191" s="93"/>
      <c r="E191" s="94"/>
      <c r="F191" s="95"/>
      <c r="G191" s="96"/>
    </row>
    <row r="192" ht="14.25" customHeight="1" spans="4:7">
      <c r="D192" s="93"/>
      <c r="E192" s="94"/>
      <c r="F192" s="95"/>
      <c r="G192" s="96"/>
    </row>
    <row r="193" ht="14.25" customHeight="1" spans="4:7">
      <c r="D193" s="93"/>
      <c r="E193" s="94"/>
      <c r="F193" s="95"/>
      <c r="G193" s="96"/>
    </row>
    <row r="194" ht="14.25" customHeight="1" spans="4:7">
      <c r="D194" s="93"/>
      <c r="E194" s="94"/>
      <c r="F194" s="95"/>
      <c r="G194" s="96"/>
    </row>
    <row r="195" ht="14.25" customHeight="1" spans="4:7">
      <c r="D195" s="93"/>
      <c r="E195" s="94"/>
      <c r="F195" s="95"/>
      <c r="G195" s="96"/>
    </row>
    <row r="196" ht="14.25" customHeight="1" spans="4:7">
      <c r="D196" s="93"/>
      <c r="E196" s="94"/>
      <c r="F196" s="95"/>
      <c r="G196" s="96"/>
    </row>
    <row r="197" ht="14.25" customHeight="1" spans="4:7">
      <c r="D197" s="93"/>
      <c r="E197" s="94"/>
      <c r="F197" s="95"/>
      <c r="G197" s="96"/>
    </row>
    <row r="198" ht="14.25" customHeight="1" spans="4:7">
      <c r="D198" s="93"/>
      <c r="E198" s="94"/>
      <c r="F198" s="95"/>
      <c r="G198" s="96"/>
    </row>
    <row r="199" ht="14.25" customHeight="1" spans="4:7">
      <c r="D199" s="93"/>
      <c r="E199" s="94"/>
      <c r="F199" s="95"/>
      <c r="G199" s="96"/>
    </row>
    <row r="200" ht="14.25" customHeight="1" spans="4:7">
      <c r="D200" s="93"/>
      <c r="E200" s="94"/>
      <c r="F200" s="95"/>
      <c r="G200" s="96"/>
    </row>
    <row r="201" ht="14.25" customHeight="1" spans="4:7">
      <c r="D201" s="93"/>
      <c r="E201" s="94"/>
      <c r="F201" s="95"/>
      <c r="G201" s="96"/>
    </row>
    <row r="202" ht="14.25" customHeight="1" spans="4:7">
      <c r="D202" s="93"/>
      <c r="E202" s="94"/>
      <c r="F202" s="95"/>
      <c r="G202" s="96"/>
    </row>
    <row r="203" ht="14.25" customHeight="1" spans="4:7">
      <c r="D203" s="93"/>
      <c r="E203" s="94"/>
      <c r="F203" s="95"/>
      <c r="G203" s="96"/>
    </row>
    <row r="204" ht="14.25" customHeight="1" spans="4:7">
      <c r="D204" s="93"/>
      <c r="E204" s="94"/>
      <c r="F204" s="95"/>
      <c r="G204" s="96"/>
    </row>
    <row r="205" ht="14.25" customHeight="1" spans="4:7">
      <c r="D205" s="93"/>
      <c r="E205" s="94"/>
      <c r="F205" s="95"/>
      <c r="G205" s="96"/>
    </row>
    <row r="206" ht="14.25" customHeight="1" spans="4:7">
      <c r="D206" s="93"/>
      <c r="E206" s="94"/>
      <c r="F206" s="95"/>
      <c r="G206" s="96"/>
    </row>
    <row r="207" ht="14.25" customHeight="1" spans="4:7">
      <c r="D207" s="93"/>
      <c r="E207" s="94"/>
      <c r="F207" s="95"/>
      <c r="G207" s="96"/>
    </row>
    <row r="208" ht="14.25" customHeight="1" spans="4:7">
      <c r="D208" s="93"/>
      <c r="E208" s="94"/>
      <c r="F208" s="95"/>
      <c r="G208" s="96"/>
    </row>
    <row r="209" ht="14.25" customHeight="1" spans="4:7">
      <c r="D209" s="93"/>
      <c r="E209" s="94"/>
      <c r="F209" s="95"/>
      <c r="G209" s="96"/>
    </row>
    <row r="210" ht="14.25" customHeight="1" spans="4:7">
      <c r="D210" s="93"/>
      <c r="E210" s="94"/>
      <c r="F210" s="95"/>
      <c r="G210" s="96"/>
    </row>
    <row r="211" ht="14.25" customHeight="1" spans="4:7">
      <c r="D211" s="93"/>
      <c r="E211" s="94"/>
      <c r="F211" s="95"/>
      <c r="G211" s="96"/>
    </row>
    <row r="212" ht="14.25" customHeight="1" spans="4:7">
      <c r="D212" s="93"/>
      <c r="E212" s="94"/>
      <c r="F212" s="95"/>
      <c r="G212" s="96"/>
    </row>
    <row r="213" ht="14.25" customHeight="1" spans="4:7">
      <c r="D213" s="93"/>
      <c r="E213" s="94"/>
      <c r="F213" s="95"/>
      <c r="G213" s="96"/>
    </row>
    <row r="214" ht="14.25" customHeight="1" spans="4:7">
      <c r="D214" s="93"/>
      <c r="E214" s="94"/>
      <c r="F214" s="95"/>
      <c r="G214" s="96"/>
    </row>
    <row r="215" ht="14.25" customHeight="1" spans="4:7">
      <c r="D215" s="93"/>
      <c r="E215" s="94"/>
      <c r="F215" s="95"/>
      <c r="G215" s="96"/>
    </row>
    <row r="216" ht="14.25" customHeight="1" spans="4:7">
      <c r="D216" s="93"/>
      <c r="E216" s="94"/>
      <c r="F216" s="95"/>
      <c r="G216" s="96"/>
    </row>
    <row r="217" ht="14.25" customHeight="1" spans="4:7">
      <c r="D217" s="93"/>
      <c r="E217" s="94"/>
      <c r="F217" s="95"/>
      <c r="G217" s="96"/>
    </row>
    <row r="218" ht="14.25" customHeight="1" spans="4:7">
      <c r="D218" s="93"/>
      <c r="E218" s="94"/>
      <c r="F218" s="95"/>
      <c r="G218" s="96"/>
    </row>
    <row r="219" ht="14.25" customHeight="1" spans="4:7">
      <c r="D219" s="93"/>
      <c r="E219" s="94"/>
      <c r="F219" s="95"/>
      <c r="G219" s="96"/>
    </row>
    <row r="220" ht="14.25" customHeight="1" spans="4:7">
      <c r="D220" s="93"/>
      <c r="E220" s="94"/>
      <c r="F220" s="95"/>
      <c r="G220" s="96"/>
    </row>
    <row r="221" ht="14.25" customHeight="1" spans="4:7">
      <c r="D221" s="93"/>
      <c r="E221" s="94"/>
      <c r="F221" s="95"/>
      <c r="G221" s="96"/>
    </row>
    <row r="222" ht="14.25" customHeight="1" spans="4:7">
      <c r="D222" s="93"/>
      <c r="E222" s="94"/>
      <c r="F222" s="95"/>
      <c r="G222" s="96"/>
    </row>
    <row r="223" ht="14.25" customHeight="1" spans="4:7">
      <c r="D223" s="93"/>
      <c r="E223" s="94"/>
      <c r="F223" s="95"/>
      <c r="G223" s="96"/>
    </row>
    <row r="224" ht="14.25" customHeight="1" spans="4:7">
      <c r="D224" s="93"/>
      <c r="E224" s="94"/>
      <c r="F224" s="95"/>
      <c r="G224" s="96"/>
    </row>
    <row r="225" ht="14.25" customHeight="1" spans="4:7">
      <c r="D225" s="93"/>
      <c r="E225" s="94"/>
      <c r="F225" s="95"/>
      <c r="G225" s="96"/>
    </row>
    <row r="226" ht="14.25" customHeight="1" spans="4:7">
      <c r="D226" s="93"/>
      <c r="E226" s="94"/>
      <c r="F226" s="95"/>
      <c r="G226" s="96"/>
    </row>
    <row r="227" ht="14.25" customHeight="1" spans="4:7">
      <c r="D227" s="93"/>
      <c r="E227" s="94"/>
      <c r="F227" s="95"/>
      <c r="G227" s="96"/>
    </row>
    <row r="228" ht="14.25" customHeight="1" spans="4:7">
      <c r="D228" s="93"/>
      <c r="E228" s="94"/>
      <c r="F228" s="95"/>
      <c r="G228" s="96"/>
    </row>
    <row r="229" ht="14.25" customHeight="1" spans="4:7">
      <c r="D229" s="93"/>
      <c r="E229" s="94"/>
      <c r="F229" s="95"/>
      <c r="G229" s="96"/>
    </row>
    <row r="230" ht="14.25" customHeight="1" spans="4:7">
      <c r="D230" s="93"/>
      <c r="E230" s="94"/>
      <c r="F230" s="95"/>
      <c r="G230" s="96"/>
    </row>
    <row r="231" ht="14.25" customHeight="1" spans="4:7">
      <c r="D231" s="93"/>
      <c r="E231" s="94"/>
      <c r="F231" s="95"/>
      <c r="G231" s="96"/>
    </row>
    <row r="232" ht="14.25" customHeight="1" spans="4:7">
      <c r="D232" s="93"/>
      <c r="E232" s="94"/>
      <c r="F232" s="95"/>
      <c r="G232" s="96"/>
    </row>
    <row r="233" ht="14.25" customHeight="1" spans="4:7">
      <c r="D233" s="93"/>
      <c r="E233" s="94"/>
      <c r="F233" s="95"/>
      <c r="G233" s="96"/>
    </row>
    <row r="234" ht="14.25" customHeight="1" spans="4:7">
      <c r="D234" s="93"/>
      <c r="E234" s="94"/>
      <c r="F234" s="95"/>
      <c r="G234" s="96"/>
    </row>
    <row r="235" ht="14.25" customHeight="1" spans="4:7">
      <c r="D235" s="93"/>
      <c r="E235" s="94"/>
      <c r="F235" s="95"/>
      <c r="G235" s="96"/>
    </row>
    <row r="236" ht="14.25" customHeight="1" spans="4:7">
      <c r="D236" s="93"/>
      <c r="E236" s="94"/>
      <c r="F236" s="95"/>
      <c r="G236" s="96"/>
    </row>
    <row r="237" ht="14.25" customHeight="1" spans="4:7">
      <c r="D237" s="93"/>
      <c r="E237" s="94"/>
      <c r="F237" s="95"/>
      <c r="G237" s="96"/>
    </row>
    <row r="238" ht="14.25" customHeight="1" spans="4:7">
      <c r="D238" s="93"/>
      <c r="E238" s="94"/>
      <c r="F238" s="95"/>
      <c r="G238" s="96"/>
    </row>
    <row r="239" ht="14.25" customHeight="1" spans="4:7">
      <c r="D239" s="93"/>
      <c r="E239" s="94"/>
      <c r="F239" s="95"/>
      <c r="G239" s="96"/>
    </row>
    <row r="240" ht="14.25" customHeight="1" spans="4:7">
      <c r="D240" s="93"/>
      <c r="E240" s="94"/>
      <c r="F240" s="95"/>
      <c r="G240" s="96"/>
    </row>
    <row r="241" ht="14.25" customHeight="1" spans="4:7">
      <c r="D241" s="93"/>
      <c r="E241" s="94"/>
      <c r="F241" s="95"/>
      <c r="G241" s="96"/>
    </row>
    <row r="242" ht="14.25" customHeight="1" spans="4:7">
      <c r="D242" s="93"/>
      <c r="E242" s="94"/>
      <c r="F242" s="95"/>
      <c r="G242" s="96"/>
    </row>
    <row r="243" ht="14.25" customHeight="1" spans="4:7">
      <c r="D243" s="93"/>
      <c r="E243" s="94"/>
      <c r="F243" s="95"/>
      <c r="G243" s="96"/>
    </row>
    <row r="244" ht="14.25" customHeight="1" spans="4:7">
      <c r="D244" s="93"/>
      <c r="E244" s="94"/>
      <c r="F244" s="95"/>
      <c r="G244" s="96"/>
    </row>
    <row r="245" ht="14.25" customHeight="1" spans="4:7">
      <c r="D245" s="93"/>
      <c r="E245" s="94"/>
      <c r="F245" s="95"/>
      <c r="G245" s="96"/>
    </row>
    <row r="246" ht="14.25" customHeight="1" spans="4:7">
      <c r="D246" s="93"/>
      <c r="E246" s="94"/>
      <c r="F246" s="95"/>
      <c r="G246" s="96"/>
    </row>
    <row r="247" ht="14.25" customHeight="1" spans="4:7">
      <c r="D247" s="93"/>
      <c r="E247" s="94"/>
      <c r="F247" s="95"/>
      <c r="G247" s="96"/>
    </row>
    <row r="248" ht="14.25" customHeight="1" spans="4:7">
      <c r="D248" s="93"/>
      <c r="E248" s="94"/>
      <c r="F248" s="95"/>
      <c r="G248" s="96"/>
    </row>
    <row r="249" ht="14.25" customHeight="1" spans="4:7">
      <c r="D249" s="93"/>
      <c r="E249" s="94"/>
      <c r="F249" s="95"/>
      <c r="G249" s="96"/>
    </row>
    <row r="250" ht="14.25" customHeight="1" spans="4:7">
      <c r="D250" s="93"/>
      <c r="E250" s="94"/>
      <c r="F250" s="95"/>
      <c r="G250" s="96"/>
    </row>
    <row r="251" ht="14.25" customHeight="1" spans="4:7">
      <c r="D251" s="93"/>
      <c r="E251" s="94"/>
      <c r="F251" s="95"/>
      <c r="G251" s="96"/>
    </row>
    <row r="252" ht="14.25" customHeight="1" spans="4:7">
      <c r="D252" s="93"/>
      <c r="E252" s="94"/>
      <c r="F252" s="95"/>
      <c r="G252" s="96"/>
    </row>
    <row r="253" ht="14.25" customHeight="1" spans="4:7">
      <c r="D253" s="93"/>
      <c r="E253" s="94"/>
      <c r="F253" s="95"/>
      <c r="G253" s="96"/>
    </row>
    <row r="254" ht="14.25" customHeight="1" spans="4:7">
      <c r="D254" s="93"/>
      <c r="E254" s="94"/>
      <c r="F254" s="95"/>
      <c r="G254" s="96"/>
    </row>
    <row r="255" ht="14.25" customHeight="1" spans="4:7">
      <c r="D255" s="93"/>
      <c r="E255" s="94"/>
      <c r="F255" s="95"/>
      <c r="G255" s="96"/>
    </row>
    <row r="256" ht="14.25" customHeight="1" spans="4:7">
      <c r="D256" s="93"/>
      <c r="E256" s="94"/>
      <c r="F256" s="95"/>
      <c r="G256" s="96"/>
    </row>
    <row r="257" ht="14.25" customHeight="1" spans="4:7">
      <c r="D257" s="93"/>
      <c r="E257" s="94"/>
      <c r="F257" s="95"/>
      <c r="G257" s="96"/>
    </row>
    <row r="258" ht="14.25" customHeight="1" spans="4:7">
      <c r="D258" s="93"/>
      <c r="E258" s="94"/>
      <c r="F258" s="95"/>
      <c r="G258" s="96"/>
    </row>
    <row r="259" ht="14.25" customHeight="1" spans="4:7">
      <c r="D259" s="93"/>
      <c r="E259" s="94"/>
      <c r="F259" s="95"/>
      <c r="G259" s="96"/>
    </row>
    <row r="260" ht="14.25" customHeight="1" spans="4:7">
      <c r="D260" s="93"/>
      <c r="E260" s="94"/>
      <c r="F260" s="95"/>
      <c r="G260" s="96"/>
    </row>
    <row r="261" ht="14.25" customHeight="1" spans="4:7">
      <c r="D261" s="93"/>
      <c r="E261" s="94"/>
      <c r="F261" s="95"/>
      <c r="G261" s="96"/>
    </row>
    <row r="262" ht="14.25" customHeight="1" spans="4:7">
      <c r="D262" s="93"/>
      <c r="E262" s="94"/>
      <c r="F262" s="95"/>
      <c r="G262" s="96"/>
    </row>
    <row r="263" ht="14.25" customHeight="1" spans="4:7">
      <c r="D263" s="93"/>
      <c r="E263" s="94"/>
      <c r="F263" s="95"/>
      <c r="G263" s="96"/>
    </row>
    <row r="264" ht="14.25" customHeight="1" spans="4:7">
      <c r="D264" s="93"/>
      <c r="E264" s="94"/>
      <c r="F264" s="95"/>
      <c r="G264" s="96"/>
    </row>
    <row r="265" ht="14.25" customHeight="1" spans="4:7">
      <c r="D265" s="93"/>
      <c r="E265" s="94"/>
      <c r="F265" s="95"/>
      <c r="G265" s="96"/>
    </row>
    <row r="266" ht="14.25" customHeight="1" spans="4:7">
      <c r="D266" s="93"/>
      <c r="E266" s="94"/>
      <c r="F266" s="95"/>
      <c r="G266" s="96"/>
    </row>
    <row r="267" ht="14.25" customHeight="1" spans="4:7">
      <c r="D267" s="93"/>
      <c r="E267" s="94"/>
      <c r="F267" s="95"/>
      <c r="G267" s="96"/>
    </row>
    <row r="268" ht="14.25" customHeight="1" spans="4:7">
      <c r="D268" s="93"/>
      <c r="E268" s="94"/>
      <c r="F268" s="95"/>
      <c r="G268" s="96"/>
    </row>
    <row r="269" ht="14.25" customHeight="1" spans="4:7">
      <c r="D269" s="93"/>
      <c r="E269" s="94"/>
      <c r="F269" s="95"/>
      <c r="G269" s="96"/>
    </row>
    <row r="270" ht="14.25" customHeight="1" spans="4:7">
      <c r="D270" s="93"/>
      <c r="E270" s="94"/>
      <c r="F270" s="95"/>
      <c r="G270" s="96"/>
    </row>
    <row r="271" ht="14.25" customHeight="1" spans="4:7">
      <c r="D271" s="93"/>
      <c r="E271" s="94"/>
      <c r="F271" s="95"/>
      <c r="G271" s="96"/>
    </row>
    <row r="272" ht="14.25" customHeight="1" spans="4:7">
      <c r="D272" s="93"/>
      <c r="E272" s="94"/>
      <c r="F272" s="95"/>
      <c r="G272" s="96"/>
    </row>
    <row r="273" ht="14.25" customHeight="1" spans="4:7">
      <c r="D273" s="93"/>
      <c r="E273" s="94"/>
      <c r="F273" s="95"/>
      <c r="G273" s="96"/>
    </row>
    <row r="274" ht="14.25" customHeight="1" spans="4:7">
      <c r="D274" s="93"/>
      <c r="E274" s="94"/>
      <c r="F274" s="95"/>
      <c r="G274" s="96"/>
    </row>
    <row r="275" ht="14.25" customHeight="1" spans="4:7">
      <c r="D275" s="93"/>
      <c r="E275" s="94"/>
      <c r="F275" s="95"/>
      <c r="G275" s="96"/>
    </row>
    <row r="276" ht="14.25" customHeight="1" spans="4:7">
      <c r="D276" s="93"/>
      <c r="E276" s="94"/>
      <c r="F276" s="95"/>
      <c r="G276" s="96"/>
    </row>
    <row r="277" ht="14.25" customHeight="1" spans="4:7">
      <c r="D277" s="93"/>
      <c r="E277" s="94"/>
      <c r="F277" s="95"/>
      <c r="G277" s="96"/>
    </row>
    <row r="278" ht="14.25" customHeight="1" spans="4:7">
      <c r="D278" s="93"/>
      <c r="E278" s="94"/>
      <c r="F278" s="95"/>
      <c r="G278" s="96"/>
    </row>
    <row r="279" ht="14.25" customHeight="1" spans="4:7">
      <c r="D279" s="93"/>
      <c r="E279" s="94"/>
      <c r="F279" s="95"/>
      <c r="G279" s="96"/>
    </row>
    <row r="280" ht="14.25" customHeight="1" spans="4:7">
      <c r="D280" s="93"/>
      <c r="E280" s="94"/>
      <c r="F280" s="95"/>
      <c r="G280" s="96"/>
    </row>
    <row r="281" ht="14.25" customHeight="1" spans="4:7">
      <c r="D281" s="93"/>
      <c r="E281" s="94"/>
      <c r="F281" s="95"/>
      <c r="G281" s="96"/>
    </row>
    <row r="282" ht="14.25" customHeight="1" spans="4:7">
      <c r="D282" s="93"/>
      <c r="E282" s="94"/>
      <c r="F282" s="95"/>
      <c r="G282" s="96"/>
    </row>
    <row r="283" ht="14.25" customHeight="1" spans="4:7">
      <c r="D283" s="93"/>
      <c r="E283" s="94"/>
      <c r="F283" s="95"/>
      <c r="G283" s="96"/>
    </row>
    <row r="284" ht="14.25" customHeight="1" spans="4:7">
      <c r="D284" s="93"/>
      <c r="E284" s="94"/>
      <c r="F284" s="95"/>
      <c r="G284" s="96"/>
    </row>
    <row r="285" ht="14.25" customHeight="1" spans="4:7">
      <c r="D285" s="93"/>
      <c r="E285" s="94"/>
      <c r="F285" s="95"/>
      <c r="G285" s="96"/>
    </row>
    <row r="286" ht="14.25" customHeight="1" spans="4:7">
      <c r="D286" s="93"/>
      <c r="E286" s="94"/>
      <c r="F286" s="95"/>
      <c r="G286" s="96"/>
    </row>
    <row r="287" ht="14.25" customHeight="1" spans="4:7">
      <c r="D287" s="93"/>
      <c r="E287" s="94"/>
      <c r="F287" s="95"/>
      <c r="G287" s="96"/>
    </row>
    <row r="288" ht="14.25" customHeight="1" spans="4:7">
      <c r="D288" s="93"/>
      <c r="E288" s="94"/>
      <c r="F288" s="95"/>
      <c r="G288" s="96"/>
    </row>
    <row r="289" ht="14.25" customHeight="1" spans="4:7">
      <c r="D289" s="93"/>
      <c r="E289" s="94"/>
      <c r="F289" s="95"/>
      <c r="G289" s="96"/>
    </row>
    <row r="290" ht="14.25" customHeight="1" spans="4:7">
      <c r="D290" s="93"/>
      <c r="E290" s="94"/>
      <c r="F290" s="95"/>
      <c r="G290" s="96"/>
    </row>
    <row r="291" ht="14.25" customHeight="1" spans="4:7">
      <c r="D291" s="93"/>
      <c r="E291" s="94"/>
      <c r="F291" s="95"/>
      <c r="G291" s="96"/>
    </row>
    <row r="292" ht="14.25" customHeight="1" spans="4:7">
      <c r="D292" s="93"/>
      <c r="E292" s="94"/>
      <c r="F292" s="95"/>
      <c r="G292" s="96"/>
    </row>
    <row r="293" ht="14.25" customHeight="1" spans="4:7">
      <c r="D293" s="93"/>
      <c r="E293" s="94"/>
      <c r="F293" s="95"/>
      <c r="G293" s="96"/>
    </row>
    <row r="294" ht="14.25" customHeight="1" spans="4:7">
      <c r="D294" s="93"/>
      <c r="E294" s="94"/>
      <c r="F294" s="95"/>
      <c r="G294" s="96"/>
    </row>
    <row r="295" ht="14.25" customHeight="1" spans="4:7">
      <c r="D295" s="93"/>
      <c r="E295" s="94"/>
      <c r="F295" s="95"/>
      <c r="G295" s="96"/>
    </row>
    <row r="296" ht="14.25" customHeight="1" spans="4:7">
      <c r="D296" s="93"/>
      <c r="E296" s="94"/>
      <c r="F296" s="95"/>
      <c r="G296" s="96"/>
    </row>
    <row r="297" ht="14.25" customHeight="1" spans="4:7">
      <c r="D297" s="93"/>
      <c r="E297" s="94"/>
      <c r="F297" s="95"/>
      <c r="G297" s="96"/>
    </row>
    <row r="298" ht="14.25" customHeight="1" spans="4:7">
      <c r="D298" s="93"/>
      <c r="E298" s="94"/>
      <c r="F298" s="95"/>
      <c r="G298" s="96"/>
    </row>
    <row r="299" ht="14.25" customHeight="1" spans="4:7">
      <c r="D299" s="93"/>
      <c r="E299" s="94"/>
      <c r="F299" s="95"/>
      <c r="G299" s="96"/>
    </row>
    <row r="300" ht="14.25" customHeight="1" spans="4:7">
      <c r="D300" s="93"/>
      <c r="E300" s="94"/>
      <c r="F300" s="95"/>
      <c r="G300" s="96"/>
    </row>
    <row r="301" ht="14.25" customHeight="1" spans="4:7">
      <c r="D301" s="93"/>
      <c r="E301" s="94"/>
      <c r="F301" s="95"/>
      <c r="G301" s="96"/>
    </row>
    <row r="302" ht="14.25" customHeight="1" spans="4:7">
      <c r="D302" s="93"/>
      <c r="E302" s="94"/>
      <c r="F302" s="95"/>
      <c r="G302" s="96"/>
    </row>
    <row r="303" ht="14.25" customHeight="1" spans="4:7">
      <c r="D303" s="93"/>
      <c r="E303" s="94"/>
      <c r="F303" s="95"/>
      <c r="G303" s="96"/>
    </row>
    <row r="304" ht="14.25" customHeight="1" spans="4:7">
      <c r="D304" s="93"/>
      <c r="E304" s="94"/>
      <c r="F304" s="95"/>
      <c r="G304" s="96"/>
    </row>
    <row r="305" ht="14.25" customHeight="1" spans="4:7">
      <c r="D305" s="93"/>
      <c r="E305" s="94"/>
      <c r="F305" s="95"/>
      <c r="G305" s="96"/>
    </row>
    <row r="306" ht="14.25" customHeight="1" spans="4:7">
      <c r="D306" s="93"/>
      <c r="E306" s="94"/>
      <c r="F306" s="95"/>
      <c r="G306" s="96"/>
    </row>
    <row r="307" ht="14.25" customHeight="1" spans="4:7">
      <c r="D307" s="93"/>
      <c r="E307" s="94"/>
      <c r="F307" s="95"/>
      <c r="G307" s="96"/>
    </row>
    <row r="308" ht="14.25" customHeight="1" spans="4:7">
      <c r="D308" s="93"/>
      <c r="E308" s="94"/>
      <c r="F308" s="95"/>
      <c r="G308" s="96"/>
    </row>
    <row r="309" ht="14.25" customHeight="1" spans="4:7">
      <c r="D309" s="93"/>
      <c r="E309" s="94"/>
      <c r="F309" s="95"/>
      <c r="G309" s="96"/>
    </row>
    <row r="310" ht="14.25" customHeight="1" spans="4:7">
      <c r="D310" s="93"/>
      <c r="E310" s="94"/>
      <c r="F310" s="95"/>
      <c r="G310" s="96"/>
    </row>
    <row r="311" ht="14.25" customHeight="1" spans="4:7">
      <c r="D311" s="93"/>
      <c r="E311" s="94"/>
      <c r="F311" s="95"/>
      <c r="G311" s="96"/>
    </row>
    <row r="312" ht="14.25" customHeight="1" spans="4:7">
      <c r="D312" s="93"/>
      <c r="E312" s="94"/>
      <c r="F312" s="95"/>
      <c r="G312" s="96"/>
    </row>
    <row r="313" ht="14.25" customHeight="1" spans="4:7">
      <c r="D313" s="93"/>
      <c r="E313" s="94"/>
      <c r="F313" s="95"/>
      <c r="G313" s="96"/>
    </row>
    <row r="314" ht="14.25" customHeight="1" spans="4:7">
      <c r="D314" s="93"/>
      <c r="E314" s="94"/>
      <c r="F314" s="95"/>
      <c r="G314" s="96"/>
    </row>
    <row r="315" ht="14.25" customHeight="1" spans="4:7">
      <c r="D315" s="93"/>
      <c r="E315" s="94"/>
      <c r="F315" s="95"/>
      <c r="G315" s="96"/>
    </row>
    <row r="316" ht="14.25" customHeight="1" spans="4:7">
      <c r="D316" s="93"/>
      <c r="E316" s="94"/>
      <c r="F316" s="95"/>
      <c r="G316" s="96"/>
    </row>
    <row r="317" ht="14.25" customHeight="1" spans="4:7">
      <c r="D317" s="93"/>
      <c r="E317" s="94"/>
      <c r="F317" s="95"/>
      <c r="G317" s="96"/>
    </row>
    <row r="318" ht="14.25" customHeight="1" spans="4:7">
      <c r="D318" s="93"/>
      <c r="E318" s="94"/>
      <c r="F318" s="95"/>
      <c r="G318" s="96"/>
    </row>
    <row r="319" ht="14.25" customHeight="1" spans="4:7">
      <c r="D319" s="93"/>
      <c r="E319" s="94"/>
      <c r="F319" s="95"/>
      <c r="G319" s="96"/>
    </row>
    <row r="320" ht="14.25" customHeight="1" spans="4:7">
      <c r="D320" s="93"/>
      <c r="E320" s="94"/>
      <c r="F320" s="95"/>
      <c r="G320" s="96"/>
    </row>
    <row r="321" ht="14.25" customHeight="1" spans="4:7">
      <c r="D321" s="93"/>
      <c r="E321" s="94"/>
      <c r="F321" s="95"/>
      <c r="G321" s="96"/>
    </row>
    <row r="322" ht="14.25" customHeight="1" spans="4:7">
      <c r="D322" s="93"/>
      <c r="E322" s="94"/>
      <c r="F322" s="95"/>
      <c r="G322" s="96"/>
    </row>
    <row r="323" ht="14.25" customHeight="1" spans="4:7">
      <c r="D323" s="93"/>
      <c r="E323" s="94"/>
      <c r="F323" s="95"/>
      <c r="G323" s="96"/>
    </row>
    <row r="324" ht="14.25" customHeight="1" spans="4:7">
      <c r="D324" s="93"/>
      <c r="E324" s="94"/>
      <c r="F324" s="95"/>
      <c r="G324" s="96"/>
    </row>
    <row r="325" ht="14.25" customHeight="1" spans="4:7">
      <c r="D325" s="93"/>
      <c r="E325" s="94"/>
      <c r="F325" s="95"/>
      <c r="G325" s="96"/>
    </row>
    <row r="326" ht="14.25" customHeight="1" spans="4:7">
      <c r="D326" s="93"/>
      <c r="E326" s="94"/>
      <c r="F326" s="95"/>
      <c r="G326" s="96"/>
    </row>
    <row r="327" ht="14.25" customHeight="1" spans="4:7">
      <c r="D327" s="93"/>
      <c r="E327" s="94"/>
      <c r="F327" s="95"/>
      <c r="G327" s="96"/>
    </row>
    <row r="328" ht="14.25" customHeight="1" spans="4:7">
      <c r="D328" s="93"/>
      <c r="E328" s="94"/>
      <c r="F328" s="95"/>
      <c r="G328" s="96"/>
    </row>
    <row r="329" ht="14.25" customHeight="1" spans="4:7">
      <c r="D329" s="93"/>
      <c r="E329" s="94"/>
      <c r="F329" s="95"/>
      <c r="G329" s="96"/>
    </row>
    <row r="330" ht="14.25" customHeight="1" spans="4:7">
      <c r="D330" s="93"/>
      <c r="E330" s="94"/>
      <c r="F330" s="95"/>
      <c r="G330" s="96"/>
    </row>
    <row r="331" ht="14.25" customHeight="1" spans="4:7">
      <c r="D331" s="93"/>
      <c r="E331" s="94"/>
      <c r="F331" s="95"/>
      <c r="G331" s="96"/>
    </row>
    <row r="332" ht="14.25" customHeight="1" spans="4:7">
      <c r="D332" s="93"/>
      <c r="E332" s="94"/>
      <c r="F332" s="95"/>
      <c r="G332" s="96"/>
    </row>
    <row r="333" ht="14.25" customHeight="1" spans="4:7">
      <c r="D333" s="93"/>
      <c r="E333" s="94"/>
      <c r="F333" s="95"/>
      <c r="G333" s="96"/>
    </row>
    <row r="334" ht="14.25" customHeight="1" spans="4:7">
      <c r="D334" s="93"/>
      <c r="E334" s="94"/>
      <c r="F334" s="95"/>
      <c r="G334" s="96"/>
    </row>
    <row r="335" ht="14.25" customHeight="1" spans="4:7">
      <c r="D335" s="93"/>
      <c r="E335" s="94"/>
      <c r="F335" s="95"/>
      <c r="G335" s="96"/>
    </row>
    <row r="336" ht="14.25" customHeight="1" spans="4:7">
      <c r="D336" s="93"/>
      <c r="E336" s="94"/>
      <c r="F336" s="95"/>
      <c r="G336" s="96"/>
    </row>
    <row r="337" ht="14.25" customHeight="1" spans="4:7">
      <c r="D337" s="93"/>
      <c r="E337" s="94"/>
      <c r="F337" s="95"/>
      <c r="G337" s="96"/>
    </row>
    <row r="338" ht="14.25" customHeight="1" spans="4:7">
      <c r="D338" s="93"/>
      <c r="E338" s="94"/>
      <c r="F338" s="95"/>
      <c r="G338" s="96"/>
    </row>
    <row r="339" ht="14.25" customHeight="1" spans="4:7">
      <c r="D339" s="93"/>
      <c r="E339" s="94"/>
      <c r="F339" s="95"/>
      <c r="G339" s="96"/>
    </row>
    <row r="340" ht="14.25" customHeight="1" spans="4:7">
      <c r="D340" s="93"/>
      <c r="E340" s="94"/>
      <c r="F340" s="95"/>
      <c r="G340" s="96"/>
    </row>
    <row r="341" ht="14.25" customHeight="1" spans="4:7">
      <c r="D341" s="93"/>
      <c r="E341" s="94"/>
      <c r="F341" s="95"/>
      <c r="G341" s="96"/>
    </row>
    <row r="342" ht="14.25" customHeight="1" spans="4:7">
      <c r="D342" s="93"/>
      <c r="E342" s="94"/>
      <c r="F342" s="95"/>
      <c r="G342" s="96"/>
    </row>
    <row r="343" ht="14.25" customHeight="1" spans="4:7">
      <c r="D343" s="93"/>
      <c r="E343" s="94"/>
      <c r="F343" s="95"/>
      <c r="G343" s="96"/>
    </row>
    <row r="344" ht="14.25" customHeight="1" spans="4:7">
      <c r="D344" s="93"/>
      <c r="E344" s="94"/>
      <c r="F344" s="95"/>
      <c r="G344" s="96"/>
    </row>
    <row r="345" ht="14.25" customHeight="1" spans="4:7">
      <c r="D345" s="93"/>
      <c r="E345" s="94"/>
      <c r="F345" s="95"/>
      <c r="G345" s="96"/>
    </row>
    <row r="346" ht="14.25" customHeight="1" spans="4:7">
      <c r="D346" s="93"/>
      <c r="E346" s="94"/>
      <c r="F346" s="95"/>
      <c r="G346" s="96"/>
    </row>
    <row r="347" ht="14.25" customHeight="1" spans="4:7">
      <c r="D347" s="93"/>
      <c r="E347" s="94"/>
      <c r="F347" s="95"/>
      <c r="G347" s="96"/>
    </row>
    <row r="348" ht="14.25" customHeight="1" spans="4:7">
      <c r="D348" s="93"/>
      <c r="E348" s="94"/>
      <c r="F348" s="95"/>
      <c r="G348" s="96"/>
    </row>
    <row r="349" ht="14.25" customHeight="1" spans="4:7">
      <c r="D349" s="93"/>
      <c r="E349" s="94"/>
      <c r="F349" s="95"/>
      <c r="G349" s="96"/>
    </row>
    <row r="350" ht="14.25" customHeight="1" spans="4:7">
      <c r="D350" s="93"/>
      <c r="E350" s="94"/>
      <c r="F350" s="95"/>
      <c r="G350" s="96"/>
    </row>
    <row r="351" ht="14.25" customHeight="1" spans="4:7">
      <c r="D351" s="93"/>
      <c r="E351" s="94"/>
      <c r="F351" s="95"/>
      <c r="G351" s="96"/>
    </row>
    <row r="352" ht="14.25" customHeight="1" spans="4:7">
      <c r="D352" s="93"/>
      <c r="E352" s="94"/>
      <c r="F352" s="95"/>
      <c r="G352" s="96"/>
    </row>
    <row r="353" ht="14.25" customHeight="1" spans="4:7">
      <c r="D353" s="93"/>
      <c r="E353" s="94"/>
      <c r="F353" s="95"/>
      <c r="G353" s="96"/>
    </row>
    <row r="354" ht="14.25" customHeight="1" spans="4:7">
      <c r="D354" s="93"/>
      <c r="E354" s="94"/>
      <c r="F354" s="95"/>
      <c r="G354" s="96"/>
    </row>
    <row r="355" ht="14.25" customHeight="1" spans="4:7">
      <c r="D355" s="93"/>
      <c r="E355" s="94"/>
      <c r="F355" s="95"/>
      <c r="G355" s="96"/>
    </row>
    <row r="356" ht="14.25" customHeight="1" spans="4:7">
      <c r="D356" s="93"/>
      <c r="E356" s="94"/>
      <c r="F356" s="95"/>
      <c r="G356" s="96"/>
    </row>
    <row r="357" ht="14.25" customHeight="1" spans="4:7">
      <c r="D357" s="93"/>
      <c r="E357" s="94"/>
      <c r="F357" s="95"/>
      <c r="G357" s="96"/>
    </row>
    <row r="358" ht="14.25" customHeight="1" spans="4:7">
      <c r="D358" s="93"/>
      <c r="E358" s="94"/>
      <c r="F358" s="95"/>
      <c r="G358" s="96"/>
    </row>
    <row r="359" ht="14.25" customHeight="1" spans="4:7">
      <c r="D359" s="93"/>
      <c r="E359" s="94"/>
      <c r="F359" s="95"/>
      <c r="G359" s="96"/>
    </row>
    <row r="360" ht="14.25" customHeight="1" spans="4:7">
      <c r="D360" s="93"/>
      <c r="E360" s="94"/>
      <c r="F360" s="95"/>
      <c r="G360" s="96"/>
    </row>
    <row r="361" ht="14.25" customHeight="1" spans="4:7">
      <c r="D361" s="93"/>
      <c r="E361" s="94"/>
      <c r="F361" s="95"/>
      <c r="G361" s="96"/>
    </row>
    <row r="362" ht="14.25" customHeight="1" spans="4:7">
      <c r="D362" s="93"/>
      <c r="E362" s="94"/>
      <c r="F362" s="95"/>
      <c r="G362" s="96"/>
    </row>
    <row r="363" ht="14.25" customHeight="1" spans="4:7">
      <c r="D363" s="93"/>
      <c r="E363" s="94"/>
      <c r="F363" s="95"/>
      <c r="G363" s="96"/>
    </row>
    <row r="364" ht="14.25" customHeight="1" spans="4:7">
      <c r="D364" s="93"/>
      <c r="E364" s="94"/>
      <c r="F364" s="95"/>
      <c r="G364" s="96"/>
    </row>
    <row r="365" ht="14.25" customHeight="1" spans="4:7">
      <c r="D365" s="93"/>
      <c r="E365" s="94"/>
      <c r="F365" s="95"/>
      <c r="G365" s="96"/>
    </row>
    <row r="366" ht="14.25" customHeight="1" spans="4:7">
      <c r="D366" s="93"/>
      <c r="E366" s="94"/>
      <c r="F366" s="95"/>
      <c r="G366" s="96"/>
    </row>
    <row r="367" ht="14.25" customHeight="1" spans="4:7">
      <c r="D367" s="93"/>
      <c r="E367" s="94"/>
      <c r="F367" s="95"/>
      <c r="G367" s="96"/>
    </row>
    <row r="368" ht="14.25" customHeight="1" spans="4:7">
      <c r="D368" s="93"/>
      <c r="E368" s="94"/>
      <c r="F368" s="95"/>
      <c r="G368" s="96"/>
    </row>
    <row r="369" ht="14.25" customHeight="1" spans="4:7">
      <c r="D369" s="93"/>
      <c r="E369" s="94"/>
      <c r="F369" s="95"/>
      <c r="G369" s="96"/>
    </row>
    <row r="370" ht="14.25" customHeight="1" spans="4:7">
      <c r="D370" s="93"/>
      <c r="E370" s="94"/>
      <c r="F370" s="95"/>
      <c r="G370" s="96"/>
    </row>
    <row r="371" ht="14.25" customHeight="1" spans="4:7">
      <c r="D371" s="93"/>
      <c r="E371" s="94"/>
      <c r="F371" s="95"/>
      <c r="G371" s="96"/>
    </row>
    <row r="372" ht="14.25" customHeight="1" spans="4:7">
      <c r="D372" s="93"/>
      <c r="E372" s="94"/>
      <c r="F372" s="95"/>
      <c r="G372" s="96"/>
    </row>
    <row r="373" ht="14.25" customHeight="1" spans="4:7">
      <c r="D373" s="93"/>
      <c r="E373" s="94"/>
      <c r="F373" s="95"/>
      <c r="G373" s="96"/>
    </row>
    <row r="374" ht="14.25" customHeight="1" spans="4:7">
      <c r="D374" s="93"/>
      <c r="E374" s="94"/>
      <c r="F374" s="95"/>
      <c r="G374" s="96"/>
    </row>
    <row r="375" ht="14.25" customHeight="1" spans="4:7">
      <c r="D375" s="93"/>
      <c r="E375" s="94"/>
      <c r="F375" s="95"/>
      <c r="G375" s="96"/>
    </row>
    <row r="376" ht="14.25" customHeight="1" spans="4:7">
      <c r="D376" s="93"/>
      <c r="E376" s="94"/>
      <c r="F376" s="95"/>
      <c r="G376" s="96"/>
    </row>
    <row r="377" ht="14.25" customHeight="1" spans="4:7">
      <c r="D377" s="93"/>
      <c r="E377" s="94"/>
      <c r="F377" s="95"/>
      <c r="G377" s="96"/>
    </row>
    <row r="378" ht="14.25" customHeight="1" spans="4:7">
      <c r="D378" s="93"/>
      <c r="E378" s="94"/>
      <c r="F378" s="95"/>
      <c r="G378" s="96"/>
    </row>
    <row r="379" ht="14.25" customHeight="1" spans="4:7">
      <c r="D379" s="93"/>
      <c r="E379" s="94"/>
      <c r="F379" s="95"/>
      <c r="G379" s="96"/>
    </row>
    <row r="380" ht="14.25" customHeight="1" spans="4:7">
      <c r="D380" s="93"/>
      <c r="E380" s="94"/>
      <c r="F380" s="95"/>
      <c r="G380" s="96"/>
    </row>
    <row r="381" ht="14.25" customHeight="1" spans="4:7">
      <c r="D381" s="93"/>
      <c r="E381" s="94"/>
      <c r="F381" s="95"/>
      <c r="G381" s="96"/>
    </row>
    <row r="382" ht="14.25" customHeight="1" spans="4:7">
      <c r="D382" s="93"/>
      <c r="E382" s="94"/>
      <c r="F382" s="95"/>
      <c r="G382" s="96"/>
    </row>
    <row r="383" ht="14.25" customHeight="1" spans="4:7">
      <c r="D383" s="93"/>
      <c r="E383" s="94"/>
      <c r="F383" s="95"/>
      <c r="G383" s="96"/>
    </row>
    <row r="384" ht="14.25" customHeight="1" spans="4:7">
      <c r="D384" s="93"/>
      <c r="E384" s="94"/>
      <c r="F384" s="95"/>
      <c r="G384" s="96"/>
    </row>
    <row r="385" ht="14.25" customHeight="1" spans="4:7">
      <c r="D385" s="93"/>
      <c r="E385" s="94"/>
      <c r="F385" s="95"/>
      <c r="G385" s="96"/>
    </row>
    <row r="386" ht="14.25" customHeight="1" spans="4:7">
      <c r="D386" s="93"/>
      <c r="E386" s="94"/>
      <c r="F386" s="95"/>
      <c r="G386" s="96"/>
    </row>
    <row r="387" ht="14.25" customHeight="1" spans="4:7">
      <c r="D387" s="93"/>
      <c r="E387" s="94"/>
      <c r="F387" s="95"/>
      <c r="G387" s="96"/>
    </row>
    <row r="388" ht="14.25" customHeight="1" spans="4:7">
      <c r="D388" s="93"/>
      <c r="E388" s="94"/>
      <c r="F388" s="95"/>
      <c r="G388" s="96"/>
    </row>
    <row r="389" ht="14.25" customHeight="1" spans="4:7">
      <c r="D389" s="93"/>
      <c r="E389" s="94"/>
      <c r="F389" s="95"/>
      <c r="G389" s="96"/>
    </row>
    <row r="390" ht="14.25" customHeight="1" spans="4:7">
      <c r="D390" s="93"/>
      <c r="E390" s="94"/>
      <c r="F390" s="95"/>
      <c r="G390" s="96"/>
    </row>
    <row r="391" ht="14.25" customHeight="1" spans="4:7">
      <c r="D391" s="93"/>
      <c r="E391" s="94"/>
      <c r="F391" s="95"/>
      <c r="G391" s="96"/>
    </row>
    <row r="392" ht="14.25" customHeight="1" spans="4:7">
      <c r="D392" s="93"/>
      <c r="E392" s="94"/>
      <c r="F392" s="95"/>
      <c r="G392" s="96"/>
    </row>
    <row r="393" ht="14.25" customHeight="1" spans="4:7">
      <c r="D393" s="93"/>
      <c r="E393" s="94"/>
      <c r="F393" s="95"/>
      <c r="G393" s="96"/>
    </row>
    <row r="394" ht="14.25" customHeight="1" spans="4:7">
      <c r="D394" s="93"/>
      <c r="E394" s="94"/>
      <c r="F394" s="95"/>
      <c r="G394" s="96"/>
    </row>
    <row r="395" ht="14.25" customHeight="1" spans="4:7">
      <c r="D395" s="93"/>
      <c r="E395" s="94"/>
      <c r="F395" s="95"/>
      <c r="G395" s="96"/>
    </row>
    <row r="396" ht="14.25" customHeight="1" spans="4:7">
      <c r="D396" s="93"/>
      <c r="E396" s="94"/>
      <c r="F396" s="95"/>
      <c r="G396" s="96"/>
    </row>
    <row r="397" ht="14.25" customHeight="1" spans="4:7">
      <c r="D397" s="93"/>
      <c r="E397" s="94"/>
      <c r="F397" s="95"/>
      <c r="G397" s="96"/>
    </row>
    <row r="398" ht="14.25" customHeight="1" spans="4:7">
      <c r="D398" s="93"/>
      <c r="E398" s="94"/>
      <c r="F398" s="95"/>
      <c r="G398" s="96"/>
    </row>
    <row r="399" ht="14.25" customHeight="1" spans="4:7">
      <c r="D399" s="93"/>
      <c r="E399" s="94"/>
      <c r="F399" s="95"/>
      <c r="G399" s="96"/>
    </row>
    <row r="400" ht="14.25" customHeight="1" spans="4:7">
      <c r="D400" s="93"/>
      <c r="E400" s="94"/>
      <c r="F400" s="95"/>
      <c r="G400" s="96"/>
    </row>
    <row r="401" ht="14.25" customHeight="1" spans="4:7">
      <c r="D401" s="93"/>
      <c r="E401" s="94"/>
      <c r="F401" s="95"/>
      <c r="G401" s="96"/>
    </row>
    <row r="402" ht="14.25" customHeight="1" spans="4:7">
      <c r="D402" s="93"/>
      <c r="E402" s="94"/>
      <c r="F402" s="95"/>
      <c r="G402" s="96"/>
    </row>
    <row r="403" ht="14.25" customHeight="1" spans="4:7">
      <c r="D403" s="93"/>
      <c r="E403" s="94"/>
      <c r="F403" s="95"/>
      <c r="G403" s="96"/>
    </row>
    <row r="404" ht="14.25" customHeight="1" spans="4:7">
      <c r="D404" s="93"/>
      <c r="E404" s="94"/>
      <c r="F404" s="95"/>
      <c r="G404" s="96"/>
    </row>
    <row r="405" ht="14.25" customHeight="1" spans="4:7">
      <c r="D405" s="93"/>
      <c r="E405" s="94"/>
      <c r="F405" s="95"/>
      <c r="G405" s="96"/>
    </row>
    <row r="406" ht="14.25" customHeight="1" spans="4:7">
      <c r="D406" s="93"/>
      <c r="E406" s="94"/>
      <c r="F406" s="95"/>
      <c r="G406" s="96"/>
    </row>
    <row r="407" ht="14.25" customHeight="1" spans="4:7">
      <c r="D407" s="93"/>
      <c r="E407" s="94"/>
      <c r="F407" s="95"/>
      <c r="G407" s="96"/>
    </row>
    <row r="408" ht="14.25" customHeight="1" spans="4:7">
      <c r="D408" s="93"/>
      <c r="E408" s="94"/>
      <c r="F408" s="95"/>
      <c r="G408" s="96"/>
    </row>
    <row r="409" ht="14.25" customHeight="1" spans="4:7">
      <c r="D409" s="93"/>
      <c r="E409" s="94"/>
      <c r="F409" s="95"/>
      <c r="G409" s="96"/>
    </row>
    <row r="410" ht="14.25" customHeight="1" spans="4:7">
      <c r="D410" s="93"/>
      <c r="E410" s="94"/>
      <c r="F410" s="95"/>
      <c r="G410" s="96"/>
    </row>
    <row r="411" ht="14.25" customHeight="1" spans="4:7">
      <c r="D411" s="93"/>
      <c r="E411" s="94"/>
      <c r="F411" s="95"/>
      <c r="G411" s="96"/>
    </row>
    <row r="412" ht="14.25" customHeight="1" spans="4:7">
      <c r="D412" s="93"/>
      <c r="E412" s="94"/>
      <c r="F412" s="95"/>
      <c r="G412" s="96"/>
    </row>
    <row r="413" ht="14.25" customHeight="1" spans="4:7">
      <c r="D413" s="93"/>
      <c r="E413" s="94"/>
      <c r="F413" s="95"/>
      <c r="G413" s="96"/>
    </row>
    <row r="414" ht="14.25" customHeight="1" spans="4:7">
      <c r="D414" s="93"/>
      <c r="E414" s="94"/>
      <c r="F414" s="95"/>
      <c r="G414" s="96"/>
    </row>
    <row r="415" ht="14.25" customHeight="1" spans="4:7">
      <c r="D415" s="93"/>
      <c r="E415" s="94"/>
      <c r="F415" s="95"/>
      <c r="G415" s="96"/>
    </row>
    <row r="416" ht="14.25" customHeight="1" spans="4:7">
      <c r="D416" s="93"/>
      <c r="E416" s="94"/>
      <c r="F416" s="95"/>
      <c r="G416" s="96"/>
    </row>
    <row r="417" ht="14.25" customHeight="1" spans="4:7">
      <c r="D417" s="93"/>
      <c r="E417" s="94"/>
      <c r="F417" s="95"/>
      <c r="G417" s="96"/>
    </row>
    <row r="418" ht="14.25" customHeight="1" spans="4:7">
      <c r="D418" s="93"/>
      <c r="E418" s="94"/>
      <c r="F418" s="95"/>
      <c r="G418" s="96"/>
    </row>
    <row r="419" ht="14.25" customHeight="1" spans="4:7">
      <c r="D419" s="93"/>
      <c r="E419" s="94"/>
      <c r="F419" s="95"/>
      <c r="G419" s="96"/>
    </row>
    <row r="420" ht="14.25" customHeight="1" spans="4:7">
      <c r="D420" s="93"/>
      <c r="E420" s="94"/>
      <c r="F420" s="95"/>
      <c r="G420" s="96"/>
    </row>
    <row r="421" ht="14.25" customHeight="1" spans="4:7">
      <c r="D421" s="93"/>
      <c r="E421" s="94"/>
      <c r="F421" s="95"/>
      <c r="G421" s="96"/>
    </row>
    <row r="422" ht="14.25" customHeight="1" spans="4:7">
      <c r="D422" s="93"/>
      <c r="E422" s="94"/>
      <c r="F422" s="95"/>
      <c r="G422" s="96"/>
    </row>
    <row r="423" ht="14.25" customHeight="1" spans="4:7">
      <c r="D423" s="93"/>
      <c r="E423" s="94"/>
      <c r="F423" s="95"/>
      <c r="G423" s="96"/>
    </row>
    <row r="424" ht="14.25" customHeight="1" spans="4:7">
      <c r="D424" s="93"/>
      <c r="E424" s="94"/>
      <c r="F424" s="95"/>
      <c r="G424" s="96"/>
    </row>
    <row r="425" ht="14.25" customHeight="1" spans="4:7">
      <c r="D425" s="93"/>
      <c r="E425" s="94"/>
      <c r="F425" s="95"/>
      <c r="G425" s="96"/>
    </row>
    <row r="426" ht="14.25" customHeight="1" spans="4:7">
      <c r="D426" s="93"/>
      <c r="E426" s="94"/>
      <c r="F426" s="95"/>
      <c r="G426" s="96"/>
    </row>
    <row r="427" ht="14.25" customHeight="1" spans="4:7">
      <c r="D427" s="93"/>
      <c r="E427" s="94"/>
      <c r="F427" s="95"/>
      <c r="G427" s="96"/>
    </row>
    <row r="428" ht="14.25" customHeight="1" spans="4:7">
      <c r="D428" s="93"/>
      <c r="E428" s="94"/>
      <c r="F428" s="95"/>
      <c r="G428" s="96"/>
    </row>
    <row r="429" ht="14.25" customHeight="1" spans="4:7">
      <c r="D429" s="93"/>
      <c r="E429" s="94"/>
      <c r="F429" s="95"/>
      <c r="G429" s="96"/>
    </row>
    <row r="430" ht="14.25" customHeight="1" spans="4:7">
      <c r="D430" s="93"/>
      <c r="E430" s="94"/>
      <c r="F430" s="95"/>
      <c r="G430" s="96"/>
    </row>
    <row r="431" ht="14.25" customHeight="1" spans="4:7">
      <c r="D431" s="93"/>
      <c r="E431" s="94"/>
      <c r="F431" s="95"/>
      <c r="G431" s="96"/>
    </row>
    <row r="432" ht="14.25" customHeight="1" spans="4:7">
      <c r="D432" s="93"/>
      <c r="E432" s="94"/>
      <c r="F432" s="95"/>
      <c r="G432" s="96"/>
    </row>
    <row r="433" ht="14.25" customHeight="1" spans="4:7">
      <c r="D433" s="93"/>
      <c r="E433" s="94"/>
      <c r="F433" s="95"/>
      <c r="G433" s="96"/>
    </row>
    <row r="434" ht="14.25" customHeight="1" spans="4:7">
      <c r="D434" s="93"/>
      <c r="E434" s="94"/>
      <c r="F434" s="95"/>
      <c r="G434" s="96"/>
    </row>
    <row r="435" ht="14.25" customHeight="1" spans="4:7">
      <c r="D435" s="93"/>
      <c r="E435" s="94"/>
      <c r="F435" s="95"/>
      <c r="G435" s="96"/>
    </row>
    <row r="436" ht="14.25" customHeight="1" spans="4:7">
      <c r="D436" s="93"/>
      <c r="E436" s="94"/>
      <c r="F436" s="95"/>
      <c r="G436" s="96"/>
    </row>
    <row r="437" ht="14.25" customHeight="1" spans="4:7">
      <c r="D437" s="93"/>
      <c r="E437" s="94"/>
      <c r="F437" s="95"/>
      <c r="G437" s="96"/>
    </row>
    <row r="438" ht="14.25" customHeight="1" spans="4:7">
      <c r="D438" s="93"/>
      <c r="E438" s="94"/>
      <c r="F438" s="95"/>
      <c r="G438" s="96"/>
    </row>
    <row r="439" ht="14.25" customHeight="1" spans="4:7">
      <c r="D439" s="93"/>
      <c r="E439" s="94"/>
      <c r="F439" s="95"/>
      <c r="G439" s="96"/>
    </row>
    <row r="440" ht="14.25" customHeight="1" spans="4:7">
      <c r="D440" s="93"/>
      <c r="E440" s="94"/>
      <c r="F440" s="95"/>
      <c r="G440" s="96"/>
    </row>
    <row r="441" ht="14.25" customHeight="1" spans="4:7">
      <c r="D441" s="93"/>
      <c r="E441" s="94"/>
      <c r="F441" s="95"/>
      <c r="G441" s="96"/>
    </row>
    <row r="442" ht="14.25" customHeight="1" spans="4:7">
      <c r="D442" s="93"/>
      <c r="E442" s="94"/>
      <c r="F442" s="95"/>
      <c r="G442" s="96"/>
    </row>
    <row r="443" ht="14.25" customHeight="1" spans="4:7">
      <c r="D443" s="93"/>
      <c r="E443" s="94"/>
      <c r="F443" s="95"/>
      <c r="G443" s="96"/>
    </row>
    <row r="444" ht="14.25" customHeight="1" spans="4:7">
      <c r="D444" s="93"/>
      <c r="E444" s="94"/>
      <c r="F444" s="95"/>
      <c r="G444" s="96"/>
    </row>
    <row r="445" ht="14.25" customHeight="1" spans="4:7">
      <c r="D445" s="93"/>
      <c r="E445" s="94"/>
      <c r="F445" s="95"/>
      <c r="G445" s="96"/>
    </row>
    <row r="446" ht="14.25" customHeight="1" spans="4:7">
      <c r="D446" s="93"/>
      <c r="E446" s="94"/>
      <c r="F446" s="95"/>
      <c r="G446" s="96"/>
    </row>
    <row r="447" ht="14.25" customHeight="1" spans="4:7">
      <c r="D447" s="93"/>
      <c r="E447" s="94"/>
      <c r="F447" s="95"/>
      <c r="G447" s="96"/>
    </row>
    <row r="448" ht="14.25" customHeight="1" spans="4:7">
      <c r="D448" s="93"/>
      <c r="E448" s="94"/>
      <c r="F448" s="95"/>
      <c r="G448" s="96"/>
    </row>
    <row r="449" ht="14.25" customHeight="1" spans="4:7">
      <c r="D449" s="93"/>
      <c r="E449" s="94"/>
      <c r="F449" s="95"/>
      <c r="G449" s="96"/>
    </row>
    <row r="450" ht="14.25" customHeight="1" spans="4:7">
      <c r="D450" s="93"/>
      <c r="E450" s="94"/>
      <c r="F450" s="95"/>
      <c r="G450" s="96"/>
    </row>
    <row r="451" ht="14.25" customHeight="1" spans="4:7">
      <c r="D451" s="93"/>
      <c r="E451" s="94"/>
      <c r="F451" s="95"/>
      <c r="G451" s="96"/>
    </row>
    <row r="452" ht="14.25" customHeight="1" spans="4:7">
      <c r="D452" s="93"/>
      <c r="E452" s="94"/>
      <c r="F452" s="95"/>
      <c r="G452" s="96"/>
    </row>
    <row r="453" ht="14.25" customHeight="1" spans="4:7">
      <c r="D453" s="93"/>
      <c r="E453" s="94"/>
      <c r="F453" s="95"/>
      <c r="G453" s="96"/>
    </row>
    <row r="454" ht="14.25" customHeight="1" spans="4:7">
      <c r="D454" s="93"/>
      <c r="E454" s="94"/>
      <c r="F454" s="95"/>
      <c r="G454" s="96"/>
    </row>
    <row r="455" ht="14.25" customHeight="1" spans="4:7">
      <c r="D455" s="93"/>
      <c r="E455" s="94"/>
      <c r="F455" s="95"/>
      <c r="G455" s="96"/>
    </row>
    <row r="456" ht="14.25" customHeight="1" spans="4:7">
      <c r="D456" s="93"/>
      <c r="E456" s="94"/>
      <c r="F456" s="95"/>
      <c r="G456" s="96"/>
    </row>
    <row r="457" ht="14.25" customHeight="1" spans="4:7">
      <c r="D457" s="93"/>
      <c r="E457" s="94"/>
      <c r="F457" s="95"/>
      <c r="G457" s="96"/>
    </row>
    <row r="458" ht="14.25" customHeight="1" spans="4:7">
      <c r="D458" s="93"/>
      <c r="E458" s="94"/>
      <c r="F458" s="95"/>
      <c r="G458" s="96"/>
    </row>
    <row r="459" ht="14.25" customHeight="1" spans="4:7">
      <c r="D459" s="93"/>
      <c r="E459" s="94"/>
      <c r="F459" s="95"/>
      <c r="G459" s="96"/>
    </row>
    <row r="460" ht="14.25" customHeight="1" spans="4:7">
      <c r="D460" s="93"/>
      <c r="E460" s="94"/>
      <c r="F460" s="95"/>
      <c r="G460" s="96"/>
    </row>
    <row r="461" ht="14.25" customHeight="1" spans="4:7">
      <c r="D461" s="93"/>
      <c r="E461" s="94"/>
      <c r="F461" s="95"/>
      <c r="G461" s="96"/>
    </row>
    <row r="462" ht="14.25" customHeight="1" spans="4:7">
      <c r="D462" s="93"/>
      <c r="E462" s="94"/>
      <c r="F462" s="95"/>
      <c r="G462" s="96"/>
    </row>
    <row r="463" ht="14.25" customHeight="1" spans="4:7">
      <c r="D463" s="93"/>
      <c r="E463" s="94"/>
      <c r="F463" s="95"/>
      <c r="G463" s="96"/>
    </row>
    <row r="464" ht="14.25" customHeight="1" spans="4:7">
      <c r="D464" s="93"/>
      <c r="E464" s="94"/>
      <c r="F464" s="95"/>
      <c r="G464" s="96"/>
    </row>
    <row r="465" ht="14.25" customHeight="1" spans="4:7">
      <c r="D465" s="93"/>
      <c r="E465" s="94"/>
      <c r="F465" s="95"/>
      <c r="G465" s="96"/>
    </row>
    <row r="466" ht="14.25" customHeight="1" spans="4:7">
      <c r="D466" s="93"/>
      <c r="E466" s="94"/>
      <c r="F466" s="95"/>
      <c r="G466" s="96"/>
    </row>
    <row r="467" ht="14.25" customHeight="1" spans="4:7">
      <c r="D467" s="93"/>
      <c r="E467" s="94"/>
      <c r="F467" s="95"/>
      <c r="G467" s="96"/>
    </row>
    <row r="468" ht="14.25" customHeight="1" spans="4:7">
      <c r="D468" s="93"/>
      <c r="E468" s="94"/>
      <c r="F468" s="95"/>
      <c r="G468" s="96"/>
    </row>
    <row r="469" ht="14.25" customHeight="1" spans="4:7">
      <c r="D469" s="93"/>
      <c r="E469" s="94"/>
      <c r="F469" s="95"/>
      <c r="G469" s="96"/>
    </row>
    <row r="470" ht="14.25" customHeight="1" spans="4:7">
      <c r="D470" s="93"/>
      <c r="E470" s="94"/>
      <c r="F470" s="95"/>
      <c r="G470" s="96"/>
    </row>
    <row r="471" ht="14.25" customHeight="1" spans="4:7">
      <c r="D471" s="93"/>
      <c r="E471" s="94"/>
      <c r="F471" s="95"/>
      <c r="G471" s="96"/>
    </row>
    <row r="472" ht="14.25" customHeight="1" spans="4:7">
      <c r="D472" s="93"/>
      <c r="E472" s="94"/>
      <c r="F472" s="95"/>
      <c r="G472" s="96"/>
    </row>
    <row r="473" ht="14.25" customHeight="1" spans="4:7">
      <c r="D473" s="93"/>
      <c r="E473" s="94"/>
      <c r="F473" s="95"/>
      <c r="G473" s="96"/>
    </row>
    <row r="474" ht="14.25" customHeight="1" spans="4:7">
      <c r="D474" s="93"/>
      <c r="E474" s="94"/>
      <c r="F474" s="95"/>
      <c r="G474" s="96"/>
    </row>
    <row r="475" ht="14.25" customHeight="1" spans="4:7">
      <c r="D475" s="93"/>
      <c r="E475" s="94"/>
      <c r="F475" s="95"/>
      <c r="G475" s="96"/>
    </row>
    <row r="476" ht="14.25" customHeight="1" spans="4:7">
      <c r="D476" s="93"/>
      <c r="E476" s="94"/>
      <c r="F476" s="95"/>
      <c r="G476" s="96"/>
    </row>
    <row r="477" ht="14.25" customHeight="1" spans="4:7">
      <c r="D477" s="93"/>
      <c r="E477" s="94"/>
      <c r="F477" s="95"/>
      <c r="G477" s="96"/>
    </row>
    <row r="478" ht="14.25" customHeight="1" spans="4:7">
      <c r="D478" s="93"/>
      <c r="E478" s="94"/>
      <c r="F478" s="95"/>
      <c r="G478" s="96"/>
    </row>
    <row r="479" ht="14.25" customHeight="1" spans="4:7">
      <c r="D479" s="93"/>
      <c r="E479" s="94"/>
      <c r="F479" s="95"/>
      <c r="G479" s="96"/>
    </row>
    <row r="480" ht="14.25" customHeight="1" spans="4:7">
      <c r="D480" s="93"/>
      <c r="E480" s="94"/>
      <c r="F480" s="95"/>
      <c r="G480" s="96"/>
    </row>
    <row r="481" ht="14.25" customHeight="1" spans="4:7">
      <c r="D481" s="93"/>
      <c r="E481" s="94"/>
      <c r="F481" s="95"/>
      <c r="G481" s="96"/>
    </row>
    <row r="482" ht="14.25" customHeight="1" spans="4:7">
      <c r="D482" s="93"/>
      <c r="E482" s="94"/>
      <c r="F482" s="95"/>
      <c r="G482" s="96"/>
    </row>
    <row r="483" ht="14.25" customHeight="1" spans="4:7">
      <c r="D483" s="93"/>
      <c r="E483" s="94"/>
      <c r="F483" s="95"/>
      <c r="G483" s="96"/>
    </row>
    <row r="484" ht="14.25" customHeight="1" spans="4:7">
      <c r="D484" s="93"/>
      <c r="E484" s="94"/>
      <c r="F484" s="95"/>
      <c r="G484" s="96"/>
    </row>
    <row r="485" ht="14.25" customHeight="1" spans="4:7">
      <c r="D485" s="93"/>
      <c r="E485" s="94"/>
      <c r="F485" s="95"/>
      <c r="G485" s="96"/>
    </row>
    <row r="486" ht="14.25" customHeight="1" spans="4:7">
      <c r="D486" s="93"/>
      <c r="E486" s="94"/>
      <c r="F486" s="95"/>
      <c r="G486" s="96"/>
    </row>
    <row r="487" ht="14.25" customHeight="1" spans="4:7">
      <c r="D487" s="93"/>
      <c r="E487" s="94"/>
      <c r="F487" s="95"/>
      <c r="G487" s="96"/>
    </row>
    <row r="488" ht="14.25" customHeight="1" spans="4:7">
      <c r="D488" s="93"/>
      <c r="E488" s="94"/>
      <c r="F488" s="95"/>
      <c r="G488" s="96"/>
    </row>
    <row r="489" ht="14.25" customHeight="1" spans="4:7">
      <c r="D489" s="93"/>
      <c r="E489" s="94"/>
      <c r="F489" s="95"/>
      <c r="G489" s="96"/>
    </row>
    <row r="490" ht="14.25" customHeight="1" spans="4:7">
      <c r="D490" s="93"/>
      <c r="E490" s="94"/>
      <c r="F490" s="95"/>
      <c r="G490" s="96"/>
    </row>
    <row r="491" ht="14.25" customHeight="1" spans="4:7">
      <c r="D491" s="93"/>
      <c r="E491" s="94"/>
      <c r="F491" s="95"/>
      <c r="G491" s="96"/>
    </row>
    <row r="492" ht="14.25" customHeight="1" spans="4:7">
      <c r="D492" s="93"/>
      <c r="E492" s="94"/>
      <c r="F492" s="95"/>
      <c r="G492" s="96"/>
    </row>
    <row r="493" ht="14.25" customHeight="1" spans="4:7">
      <c r="D493" s="93"/>
      <c r="E493" s="94"/>
      <c r="F493" s="95"/>
      <c r="G493" s="96"/>
    </row>
    <row r="494" ht="14.25" customHeight="1" spans="4:7">
      <c r="D494" s="93"/>
      <c r="E494" s="94"/>
      <c r="F494" s="95"/>
      <c r="G494" s="96"/>
    </row>
    <row r="495" ht="14.25" customHeight="1" spans="4:7">
      <c r="D495" s="93"/>
      <c r="E495" s="94"/>
      <c r="F495" s="95"/>
      <c r="G495" s="96"/>
    </row>
    <row r="496" ht="14.25" customHeight="1" spans="4:7">
      <c r="D496" s="93"/>
      <c r="E496" s="94"/>
      <c r="F496" s="95"/>
      <c r="G496" s="96"/>
    </row>
    <row r="497" ht="14.25" customHeight="1" spans="4:7">
      <c r="D497" s="93"/>
      <c r="E497" s="94"/>
      <c r="F497" s="95"/>
      <c r="G497" s="96"/>
    </row>
    <row r="498" ht="14.25" customHeight="1" spans="4:7">
      <c r="D498" s="93"/>
      <c r="E498" s="94"/>
      <c r="F498" s="95"/>
      <c r="G498" s="96"/>
    </row>
    <row r="499" ht="14.25" customHeight="1" spans="4:7">
      <c r="D499" s="93"/>
      <c r="E499" s="94"/>
      <c r="F499" s="95"/>
      <c r="G499" s="96"/>
    </row>
    <row r="500" ht="14.25" customHeight="1" spans="4:7">
      <c r="D500" s="93"/>
      <c r="E500" s="94"/>
      <c r="F500" s="95"/>
      <c r="G500" s="96"/>
    </row>
    <row r="501" ht="14.25" customHeight="1" spans="4:7">
      <c r="D501" s="93"/>
      <c r="E501" s="94"/>
      <c r="F501" s="95"/>
      <c r="G501" s="96"/>
    </row>
    <row r="502" ht="14.25" customHeight="1" spans="4:7">
      <c r="D502" s="93"/>
      <c r="E502" s="94"/>
      <c r="F502" s="95"/>
      <c r="G502" s="96"/>
    </row>
    <row r="503" ht="14.25" customHeight="1" spans="4:7">
      <c r="D503" s="93"/>
      <c r="E503" s="94"/>
      <c r="F503" s="95"/>
      <c r="G503" s="96"/>
    </row>
    <row r="504" ht="14.25" customHeight="1" spans="4:7">
      <c r="D504" s="93"/>
      <c r="E504" s="94"/>
      <c r="F504" s="95"/>
      <c r="G504" s="96"/>
    </row>
    <row r="505" ht="14.25" customHeight="1" spans="4:7">
      <c r="D505" s="93"/>
      <c r="E505" s="94"/>
      <c r="F505" s="95"/>
      <c r="G505" s="96"/>
    </row>
    <row r="506" ht="14.25" customHeight="1" spans="4:7">
      <c r="D506" s="93"/>
      <c r="E506" s="94"/>
      <c r="F506" s="95"/>
      <c r="G506" s="96"/>
    </row>
    <row r="507" ht="14.25" customHeight="1" spans="4:7">
      <c r="D507" s="93"/>
      <c r="E507" s="94"/>
      <c r="F507" s="95"/>
      <c r="G507" s="96"/>
    </row>
    <row r="508" ht="14.25" customHeight="1" spans="4:7">
      <c r="D508" s="93"/>
      <c r="E508" s="94"/>
      <c r="F508" s="95"/>
      <c r="G508" s="96"/>
    </row>
    <row r="509" ht="14.25" customHeight="1" spans="4:7">
      <c r="D509" s="93"/>
      <c r="E509" s="94"/>
      <c r="F509" s="95"/>
      <c r="G509" s="96"/>
    </row>
    <row r="510" ht="14.25" customHeight="1" spans="4:7">
      <c r="D510" s="93"/>
      <c r="E510" s="94"/>
      <c r="F510" s="95"/>
      <c r="G510" s="96"/>
    </row>
    <row r="511" ht="14.25" customHeight="1" spans="4:7">
      <c r="D511" s="93"/>
      <c r="E511" s="94"/>
      <c r="F511" s="95"/>
      <c r="G511" s="96"/>
    </row>
    <row r="512" ht="14.25" customHeight="1" spans="4:7">
      <c r="D512" s="93"/>
      <c r="E512" s="94"/>
      <c r="F512" s="95"/>
      <c r="G512" s="96"/>
    </row>
    <row r="513" ht="14.25" customHeight="1" spans="4:7">
      <c r="D513" s="93"/>
      <c r="E513" s="94"/>
      <c r="F513" s="95"/>
      <c r="G513" s="96"/>
    </row>
    <row r="514" ht="14.25" customHeight="1" spans="4:7">
      <c r="D514" s="93"/>
      <c r="E514" s="94"/>
      <c r="F514" s="95"/>
      <c r="G514" s="96"/>
    </row>
    <row r="515" ht="14.25" customHeight="1" spans="4:7">
      <c r="D515" s="93"/>
      <c r="E515" s="94"/>
      <c r="F515" s="95"/>
      <c r="G515" s="96"/>
    </row>
    <row r="516" ht="14.25" customHeight="1" spans="4:7">
      <c r="D516" s="93"/>
      <c r="E516" s="94"/>
      <c r="F516" s="95"/>
      <c r="G516" s="96"/>
    </row>
    <row r="517" ht="14.25" customHeight="1" spans="4:7">
      <c r="D517" s="93"/>
      <c r="E517" s="94"/>
      <c r="F517" s="95"/>
      <c r="G517" s="96"/>
    </row>
    <row r="518" ht="14.25" customHeight="1" spans="4:7">
      <c r="D518" s="93"/>
      <c r="E518" s="94"/>
      <c r="F518" s="95"/>
      <c r="G518" s="96"/>
    </row>
    <row r="519" ht="14.25" customHeight="1" spans="4:7">
      <c r="D519" s="93"/>
      <c r="E519" s="94"/>
      <c r="F519" s="95"/>
      <c r="G519" s="96"/>
    </row>
    <row r="520" ht="14.25" customHeight="1" spans="4:7">
      <c r="D520" s="93"/>
      <c r="E520" s="94"/>
      <c r="F520" s="95"/>
      <c r="G520" s="96"/>
    </row>
    <row r="521" ht="14.25" customHeight="1" spans="4:7">
      <c r="D521" s="93"/>
      <c r="E521" s="94"/>
      <c r="F521" s="95"/>
      <c r="G521" s="96"/>
    </row>
    <row r="522" ht="14.25" customHeight="1" spans="4:7">
      <c r="D522" s="93"/>
      <c r="E522" s="94"/>
      <c r="F522" s="95"/>
      <c r="G522" s="96"/>
    </row>
    <row r="523" ht="14.25" customHeight="1" spans="4:7">
      <c r="D523" s="93"/>
      <c r="E523" s="94"/>
      <c r="F523" s="95"/>
      <c r="G523" s="96"/>
    </row>
    <row r="524" ht="14.25" customHeight="1" spans="4:7">
      <c r="D524" s="93"/>
      <c r="E524" s="94"/>
      <c r="F524" s="95"/>
      <c r="G524" s="96"/>
    </row>
    <row r="525" ht="14.25" customHeight="1" spans="4:7">
      <c r="D525" s="93"/>
      <c r="E525" s="94"/>
      <c r="F525" s="95"/>
      <c r="G525" s="96"/>
    </row>
    <row r="526" ht="14.25" customHeight="1" spans="4:7">
      <c r="D526" s="93"/>
      <c r="E526" s="94"/>
      <c r="F526" s="95"/>
      <c r="G526" s="96"/>
    </row>
    <row r="527" ht="14.25" customHeight="1" spans="4:7">
      <c r="D527" s="93"/>
      <c r="E527" s="94"/>
      <c r="F527" s="95"/>
      <c r="G527" s="96"/>
    </row>
    <row r="528" ht="14.25" customHeight="1" spans="4:7">
      <c r="D528" s="93"/>
      <c r="E528" s="94"/>
      <c r="F528" s="95"/>
      <c r="G528" s="96"/>
    </row>
    <row r="529" ht="14.25" customHeight="1" spans="4:7">
      <c r="D529" s="93"/>
      <c r="E529" s="94"/>
      <c r="F529" s="95"/>
      <c r="G529" s="96"/>
    </row>
    <row r="530" ht="14.25" customHeight="1" spans="4:7">
      <c r="D530" s="93"/>
      <c r="E530" s="94"/>
      <c r="F530" s="95"/>
      <c r="G530" s="96"/>
    </row>
    <row r="531" ht="14.25" customHeight="1" spans="4:7">
      <c r="D531" s="93"/>
      <c r="E531" s="94"/>
      <c r="F531" s="95"/>
      <c r="G531" s="96"/>
    </row>
    <row r="532" ht="14.25" customHeight="1" spans="4:7">
      <c r="D532" s="93"/>
      <c r="E532" s="94"/>
      <c r="F532" s="95"/>
      <c r="G532" s="96"/>
    </row>
    <row r="533" ht="14.25" customHeight="1" spans="4:7">
      <c r="D533" s="93"/>
      <c r="E533" s="94"/>
      <c r="F533" s="95"/>
      <c r="G533" s="96"/>
    </row>
    <row r="534" ht="14.25" customHeight="1" spans="4:7">
      <c r="D534" s="93"/>
      <c r="E534" s="94"/>
      <c r="F534" s="95"/>
      <c r="G534" s="96"/>
    </row>
    <row r="535" ht="14.25" customHeight="1" spans="4:7">
      <c r="D535" s="93"/>
      <c r="E535" s="94"/>
      <c r="F535" s="95"/>
      <c r="G535" s="96"/>
    </row>
    <row r="536" ht="14.25" customHeight="1" spans="4:7">
      <c r="D536" s="93"/>
      <c r="E536" s="94"/>
      <c r="F536" s="95"/>
      <c r="G536" s="96"/>
    </row>
    <row r="537" ht="14.25" customHeight="1" spans="4:7">
      <c r="D537" s="93"/>
      <c r="E537" s="94"/>
      <c r="F537" s="95"/>
      <c r="G537" s="96"/>
    </row>
    <row r="538" ht="14.25" customHeight="1" spans="4:7">
      <c r="D538" s="93"/>
      <c r="E538" s="94"/>
      <c r="F538" s="95"/>
      <c r="G538" s="96"/>
    </row>
    <row r="539" ht="14.25" customHeight="1" spans="4:7">
      <c r="D539" s="93"/>
      <c r="E539" s="94"/>
      <c r="F539" s="95"/>
      <c r="G539" s="96"/>
    </row>
    <row r="540" ht="14.25" customHeight="1" spans="4:7">
      <c r="D540" s="93"/>
      <c r="E540" s="94"/>
      <c r="F540" s="95"/>
      <c r="G540" s="96"/>
    </row>
    <row r="541" ht="14.25" customHeight="1" spans="4:7">
      <c r="D541" s="93"/>
      <c r="E541" s="94"/>
      <c r="F541" s="95"/>
      <c r="G541" s="96"/>
    </row>
    <row r="542" ht="14.25" customHeight="1" spans="4:7">
      <c r="D542" s="93"/>
      <c r="E542" s="94"/>
      <c r="F542" s="95"/>
      <c r="G542" s="96"/>
    </row>
    <row r="543" ht="14.25" customHeight="1" spans="4:7">
      <c r="D543" s="93"/>
      <c r="E543" s="94"/>
      <c r="F543" s="95"/>
      <c r="G543" s="96"/>
    </row>
    <row r="544" ht="14.25" customHeight="1" spans="4:7">
      <c r="D544" s="93"/>
      <c r="E544" s="94"/>
      <c r="F544" s="95"/>
      <c r="G544" s="96"/>
    </row>
    <row r="545" ht="14.25" customHeight="1" spans="4:7">
      <c r="D545" s="93"/>
      <c r="E545" s="94"/>
      <c r="F545" s="95"/>
      <c r="G545" s="96"/>
    </row>
    <row r="546" ht="14.25" customHeight="1" spans="4:7">
      <c r="D546" s="93"/>
      <c r="E546" s="94"/>
      <c r="F546" s="95"/>
      <c r="G546" s="96"/>
    </row>
    <row r="547" ht="14.25" customHeight="1" spans="4:7">
      <c r="D547" s="93"/>
      <c r="E547" s="94"/>
      <c r="F547" s="95"/>
      <c r="G547" s="96"/>
    </row>
    <row r="548" ht="14.25" customHeight="1" spans="4:7">
      <c r="D548" s="93"/>
      <c r="E548" s="94"/>
      <c r="F548" s="95"/>
      <c r="G548" s="96"/>
    </row>
    <row r="549" ht="14.25" customHeight="1" spans="4:7">
      <c r="D549" s="93"/>
      <c r="E549" s="94"/>
      <c r="F549" s="95"/>
      <c r="G549" s="96"/>
    </row>
    <row r="550" ht="14.25" customHeight="1" spans="4:7">
      <c r="D550" s="93"/>
      <c r="E550" s="94"/>
      <c r="F550" s="95"/>
      <c r="G550" s="96"/>
    </row>
    <row r="551" ht="14.25" customHeight="1" spans="4:7">
      <c r="D551" s="93"/>
      <c r="E551" s="94"/>
      <c r="F551" s="95"/>
      <c r="G551" s="96"/>
    </row>
    <row r="552" ht="14.25" customHeight="1" spans="4:7">
      <c r="D552" s="93"/>
      <c r="E552" s="94"/>
      <c r="F552" s="95"/>
      <c r="G552" s="96"/>
    </row>
    <row r="553" ht="14.25" customHeight="1" spans="4:7">
      <c r="D553" s="93"/>
      <c r="E553" s="94"/>
      <c r="F553" s="95"/>
      <c r="G553" s="96"/>
    </row>
    <row r="554" ht="14.25" customHeight="1" spans="4:7">
      <c r="D554" s="93"/>
      <c r="E554" s="94"/>
      <c r="F554" s="95"/>
      <c r="G554" s="96"/>
    </row>
    <row r="555" ht="14.25" customHeight="1" spans="4:7">
      <c r="D555" s="93"/>
      <c r="E555" s="94"/>
      <c r="F555" s="95"/>
      <c r="G555" s="96"/>
    </row>
    <row r="556" ht="14.25" customHeight="1" spans="4:7">
      <c r="D556" s="93"/>
      <c r="E556" s="94"/>
      <c r="F556" s="95"/>
      <c r="G556" s="96"/>
    </row>
    <row r="557" ht="14.25" customHeight="1" spans="4:7">
      <c r="D557" s="93"/>
      <c r="E557" s="94"/>
      <c r="F557" s="95"/>
      <c r="G557" s="96"/>
    </row>
    <row r="558" ht="14.25" customHeight="1" spans="4:7">
      <c r="D558" s="93"/>
      <c r="E558" s="94"/>
      <c r="F558" s="95"/>
      <c r="G558" s="96"/>
    </row>
    <row r="559" ht="14.25" customHeight="1" spans="4:7">
      <c r="D559" s="93"/>
      <c r="E559" s="94"/>
      <c r="F559" s="95"/>
      <c r="G559" s="96"/>
    </row>
    <row r="560" ht="14.25" customHeight="1" spans="4:7">
      <c r="D560" s="93"/>
      <c r="E560" s="94"/>
      <c r="F560" s="95"/>
      <c r="G560" s="96"/>
    </row>
    <row r="561" ht="14.25" customHeight="1" spans="4:7">
      <c r="D561" s="93"/>
      <c r="E561" s="94"/>
      <c r="F561" s="95"/>
      <c r="G561" s="96"/>
    </row>
    <row r="562" ht="14.25" customHeight="1" spans="4:7">
      <c r="D562" s="93"/>
      <c r="E562" s="94"/>
      <c r="F562" s="95"/>
      <c r="G562" s="96"/>
    </row>
    <row r="563" ht="14.25" customHeight="1" spans="4:7">
      <c r="D563" s="93"/>
      <c r="E563" s="94"/>
      <c r="F563" s="95"/>
      <c r="G563" s="96"/>
    </row>
    <row r="564" ht="14.25" customHeight="1" spans="4:7">
      <c r="D564" s="93"/>
      <c r="E564" s="94"/>
      <c r="F564" s="95"/>
      <c r="G564" s="96"/>
    </row>
    <row r="565" ht="14.25" customHeight="1" spans="4:7">
      <c r="D565" s="93"/>
      <c r="E565" s="94"/>
      <c r="F565" s="95"/>
      <c r="G565" s="96"/>
    </row>
    <row r="566" ht="14.25" customHeight="1" spans="4:7">
      <c r="D566" s="93"/>
      <c r="E566" s="94"/>
      <c r="F566" s="95"/>
      <c r="G566" s="96"/>
    </row>
    <row r="567" ht="14.25" customHeight="1" spans="4:7">
      <c r="D567" s="93"/>
      <c r="E567" s="94"/>
      <c r="F567" s="95"/>
      <c r="G567" s="96"/>
    </row>
    <row r="568" ht="14.25" customHeight="1" spans="4:7">
      <c r="D568" s="93"/>
      <c r="E568" s="94"/>
      <c r="F568" s="95"/>
      <c r="G568" s="96"/>
    </row>
    <row r="569" ht="14.25" customHeight="1" spans="4:7">
      <c r="D569" s="93"/>
      <c r="E569" s="94"/>
      <c r="F569" s="95"/>
      <c r="G569" s="96"/>
    </row>
    <row r="570" ht="14.25" customHeight="1" spans="4:7">
      <c r="D570" s="93"/>
      <c r="E570" s="94"/>
      <c r="F570" s="95"/>
      <c r="G570" s="96"/>
    </row>
    <row r="571" ht="14.25" customHeight="1" spans="4:7">
      <c r="D571" s="93"/>
      <c r="E571" s="94"/>
      <c r="F571" s="95"/>
      <c r="G571" s="96"/>
    </row>
    <row r="572" ht="14.25" customHeight="1" spans="4:7">
      <c r="D572" s="93"/>
      <c r="E572" s="94"/>
      <c r="F572" s="95"/>
      <c r="G572" s="96"/>
    </row>
    <row r="573" ht="14.25" customHeight="1" spans="4:7">
      <c r="D573" s="93"/>
      <c r="E573" s="94"/>
      <c r="F573" s="95"/>
      <c r="G573" s="96"/>
    </row>
    <row r="574" ht="14.25" customHeight="1" spans="4:7">
      <c r="D574" s="93"/>
      <c r="E574" s="94"/>
      <c r="F574" s="95"/>
      <c r="G574" s="96"/>
    </row>
    <row r="575" ht="14.25" customHeight="1" spans="4:7">
      <c r="D575" s="93"/>
      <c r="E575" s="94"/>
      <c r="F575" s="95"/>
      <c r="G575" s="96"/>
    </row>
    <row r="576" ht="14.25" customHeight="1" spans="4:7">
      <c r="D576" s="93"/>
      <c r="E576" s="94"/>
      <c r="F576" s="95"/>
      <c r="G576" s="96"/>
    </row>
    <row r="577" ht="14.25" customHeight="1" spans="4:7">
      <c r="D577" s="93"/>
      <c r="E577" s="94"/>
      <c r="F577" s="95"/>
      <c r="G577" s="96"/>
    </row>
    <row r="578" ht="14.25" customHeight="1" spans="4:7">
      <c r="D578" s="93"/>
      <c r="E578" s="94"/>
      <c r="F578" s="95"/>
      <c r="G578" s="96"/>
    </row>
    <row r="579" ht="14.25" customHeight="1" spans="4:7">
      <c r="D579" s="93"/>
      <c r="E579" s="94"/>
      <c r="F579" s="95"/>
      <c r="G579" s="96"/>
    </row>
    <row r="580" ht="14.25" customHeight="1" spans="4:7">
      <c r="D580" s="93"/>
      <c r="E580" s="94"/>
      <c r="F580" s="95"/>
      <c r="G580" s="96"/>
    </row>
    <row r="581" ht="14.25" customHeight="1" spans="4:7">
      <c r="D581" s="93"/>
      <c r="E581" s="94"/>
      <c r="F581" s="95"/>
      <c r="G581" s="96"/>
    </row>
    <row r="582" ht="14.25" customHeight="1" spans="4:7">
      <c r="D582" s="93"/>
      <c r="E582" s="94"/>
      <c r="F582" s="95"/>
      <c r="G582" s="96"/>
    </row>
    <row r="583" ht="14.25" customHeight="1" spans="4:7">
      <c r="D583" s="93"/>
      <c r="E583" s="94"/>
      <c r="F583" s="95"/>
      <c r="G583" s="96"/>
    </row>
    <row r="584" ht="14.25" customHeight="1" spans="4:7">
      <c r="D584" s="93"/>
      <c r="E584" s="94"/>
      <c r="F584" s="95"/>
      <c r="G584" s="96"/>
    </row>
    <row r="585" ht="14.25" customHeight="1" spans="4:7">
      <c r="D585" s="93"/>
      <c r="E585" s="94"/>
      <c r="F585" s="95"/>
      <c r="G585" s="96"/>
    </row>
    <row r="586" ht="14.25" customHeight="1" spans="4:7">
      <c r="D586" s="93"/>
      <c r="E586" s="94"/>
      <c r="F586" s="95"/>
      <c r="G586" s="96"/>
    </row>
    <row r="587" ht="14.25" customHeight="1" spans="4:7">
      <c r="D587" s="93"/>
      <c r="E587" s="94"/>
      <c r="F587" s="95"/>
      <c r="G587" s="96"/>
    </row>
    <row r="588" ht="14.25" customHeight="1" spans="4:7">
      <c r="D588" s="93"/>
      <c r="E588" s="94"/>
      <c r="F588" s="95"/>
      <c r="G588" s="96"/>
    </row>
    <row r="589" ht="14.25" customHeight="1" spans="4:7">
      <c r="D589" s="93"/>
      <c r="E589" s="94"/>
      <c r="F589" s="95"/>
      <c r="G589" s="96"/>
    </row>
    <row r="590" ht="14.25" customHeight="1" spans="4:7">
      <c r="D590" s="93"/>
      <c r="E590" s="94"/>
      <c r="F590" s="95"/>
      <c r="G590" s="96"/>
    </row>
    <row r="591" ht="14.25" customHeight="1" spans="4:7">
      <c r="D591" s="93"/>
      <c r="E591" s="94"/>
      <c r="F591" s="95"/>
      <c r="G591" s="96"/>
    </row>
    <row r="592" ht="14.25" customHeight="1" spans="4:7">
      <c r="D592" s="93"/>
      <c r="E592" s="94"/>
      <c r="F592" s="95"/>
      <c r="G592" s="96"/>
    </row>
    <row r="593" ht="14.25" customHeight="1" spans="4:7">
      <c r="D593" s="93"/>
      <c r="E593" s="94"/>
      <c r="F593" s="95"/>
      <c r="G593" s="96"/>
    </row>
    <row r="594" ht="14.25" customHeight="1" spans="4:7">
      <c r="D594" s="93"/>
      <c r="E594" s="94"/>
      <c r="F594" s="95"/>
      <c r="G594" s="96"/>
    </row>
    <row r="595" ht="14.25" customHeight="1" spans="4:7">
      <c r="D595" s="93"/>
      <c r="E595" s="94"/>
      <c r="F595" s="95"/>
      <c r="G595" s="96"/>
    </row>
    <row r="596" ht="14.25" customHeight="1" spans="4:7">
      <c r="D596" s="93"/>
      <c r="E596" s="94"/>
      <c r="F596" s="95"/>
      <c r="G596" s="96"/>
    </row>
    <row r="597" ht="14.25" customHeight="1" spans="4:7">
      <c r="D597" s="93"/>
      <c r="E597" s="94"/>
      <c r="F597" s="95"/>
      <c r="G597" s="96"/>
    </row>
    <row r="598" ht="14.25" customHeight="1" spans="4:7">
      <c r="D598" s="93"/>
      <c r="E598" s="94"/>
      <c r="F598" s="95"/>
      <c r="G598" s="96"/>
    </row>
    <row r="599" ht="14.25" customHeight="1" spans="4:7">
      <c r="D599" s="93"/>
      <c r="E599" s="94"/>
      <c r="F599" s="95"/>
      <c r="G599" s="96"/>
    </row>
    <row r="600" ht="14.25" customHeight="1" spans="4:7">
      <c r="D600" s="93"/>
      <c r="E600" s="94"/>
      <c r="F600" s="95"/>
      <c r="G600" s="96"/>
    </row>
    <row r="601" ht="14.25" customHeight="1" spans="4:7">
      <c r="D601" s="93"/>
      <c r="E601" s="94"/>
      <c r="F601" s="95"/>
      <c r="G601" s="96"/>
    </row>
    <row r="602" ht="14.25" customHeight="1" spans="4:7">
      <c r="D602" s="93"/>
      <c r="E602" s="94"/>
      <c r="F602" s="95"/>
      <c r="G602" s="96"/>
    </row>
    <row r="603" ht="14.25" customHeight="1" spans="4:7">
      <c r="D603" s="93"/>
      <c r="E603" s="94"/>
      <c r="F603" s="95"/>
      <c r="G603" s="96"/>
    </row>
    <row r="604" ht="14.25" customHeight="1" spans="4:7">
      <c r="D604" s="93"/>
      <c r="E604" s="94"/>
      <c r="F604" s="95"/>
      <c r="G604" s="96"/>
    </row>
    <row r="605" ht="14.25" customHeight="1" spans="4:7">
      <c r="D605" s="93"/>
      <c r="E605" s="94"/>
      <c r="F605" s="95"/>
      <c r="G605" s="96"/>
    </row>
    <row r="606" ht="14.25" customHeight="1" spans="4:7">
      <c r="D606" s="93"/>
      <c r="E606" s="94"/>
      <c r="F606" s="95"/>
      <c r="G606" s="96"/>
    </row>
    <row r="607" ht="14.25" customHeight="1" spans="4:7">
      <c r="D607" s="93"/>
      <c r="E607" s="94"/>
      <c r="F607" s="95"/>
      <c r="G607" s="96"/>
    </row>
    <row r="608" ht="14.25" customHeight="1" spans="4:7">
      <c r="D608" s="93"/>
      <c r="E608" s="94"/>
      <c r="F608" s="95"/>
      <c r="G608" s="96"/>
    </row>
    <row r="609" ht="14.25" customHeight="1" spans="4:7">
      <c r="D609" s="93"/>
      <c r="E609" s="94"/>
      <c r="F609" s="95"/>
      <c r="G609" s="96"/>
    </row>
    <row r="610" ht="14.25" customHeight="1" spans="4:7">
      <c r="D610" s="93"/>
      <c r="E610" s="94"/>
      <c r="F610" s="95"/>
      <c r="G610" s="96"/>
    </row>
    <row r="611" ht="14.25" customHeight="1" spans="4:7">
      <c r="D611" s="93"/>
      <c r="E611" s="94"/>
      <c r="F611" s="95"/>
      <c r="G611" s="96"/>
    </row>
    <row r="612" ht="14.25" customHeight="1" spans="4:7">
      <c r="D612" s="93"/>
      <c r="E612" s="94"/>
      <c r="F612" s="95"/>
      <c r="G612" s="96"/>
    </row>
    <row r="613" ht="14.25" customHeight="1" spans="4:7">
      <c r="D613" s="93"/>
      <c r="E613" s="94"/>
      <c r="F613" s="95"/>
      <c r="G613" s="96"/>
    </row>
    <row r="614" ht="14.25" customHeight="1" spans="4:7">
      <c r="D614" s="93"/>
      <c r="E614" s="94"/>
      <c r="F614" s="95"/>
      <c r="G614" s="96"/>
    </row>
    <row r="615" ht="14.25" customHeight="1" spans="4:7">
      <c r="D615" s="93"/>
      <c r="E615" s="94"/>
      <c r="F615" s="95"/>
      <c r="G615" s="96"/>
    </row>
    <row r="616" ht="14.25" customHeight="1" spans="4:7">
      <c r="D616" s="93"/>
      <c r="E616" s="94"/>
      <c r="F616" s="95"/>
      <c r="G616" s="96"/>
    </row>
    <row r="617" ht="14.25" customHeight="1" spans="4:7">
      <c r="D617" s="93"/>
      <c r="E617" s="94"/>
      <c r="F617" s="95"/>
      <c r="G617" s="96"/>
    </row>
    <row r="618" ht="14.25" customHeight="1" spans="4:7">
      <c r="D618" s="93"/>
      <c r="E618" s="94"/>
      <c r="F618" s="95"/>
      <c r="G618" s="96"/>
    </row>
    <row r="619" ht="14.25" customHeight="1" spans="4:7">
      <c r="D619" s="93"/>
      <c r="E619" s="94"/>
      <c r="F619" s="95"/>
      <c r="G619" s="96"/>
    </row>
    <row r="620" ht="14.25" customHeight="1" spans="4:7">
      <c r="D620" s="93"/>
      <c r="E620" s="94"/>
      <c r="F620" s="95"/>
      <c r="G620" s="96"/>
    </row>
    <row r="621" ht="14.25" customHeight="1" spans="4:7">
      <c r="D621" s="93"/>
      <c r="E621" s="94"/>
      <c r="F621" s="95"/>
      <c r="G621" s="96"/>
    </row>
    <row r="622" ht="14.25" customHeight="1" spans="4:7">
      <c r="D622" s="93"/>
      <c r="E622" s="94"/>
      <c r="F622" s="95"/>
      <c r="G622" s="96"/>
    </row>
    <row r="623" ht="14.25" customHeight="1" spans="4:7">
      <c r="D623" s="93"/>
      <c r="E623" s="94"/>
      <c r="F623" s="95"/>
      <c r="G623" s="96"/>
    </row>
    <row r="624" ht="14.25" customHeight="1" spans="4:7">
      <c r="D624" s="93"/>
      <c r="E624" s="94"/>
      <c r="F624" s="95"/>
      <c r="G624" s="96"/>
    </row>
    <row r="625" ht="14.25" customHeight="1" spans="4:7">
      <c r="D625" s="93"/>
      <c r="E625" s="94"/>
      <c r="F625" s="95"/>
      <c r="G625" s="96"/>
    </row>
    <row r="626" ht="14.25" customHeight="1" spans="4:7">
      <c r="D626" s="93"/>
      <c r="E626" s="94"/>
      <c r="F626" s="95"/>
      <c r="G626" s="96"/>
    </row>
    <row r="627" ht="14.25" customHeight="1" spans="4:7">
      <c r="D627" s="93"/>
      <c r="E627" s="94"/>
      <c r="F627" s="95"/>
      <c r="G627" s="96"/>
    </row>
    <row r="628" ht="14.25" customHeight="1" spans="4:7">
      <c r="D628" s="93"/>
      <c r="E628" s="94"/>
      <c r="F628" s="95"/>
      <c r="G628" s="96"/>
    </row>
    <row r="629" ht="14.25" customHeight="1" spans="4:7">
      <c r="D629" s="93"/>
      <c r="E629" s="94"/>
      <c r="F629" s="95"/>
      <c r="G629" s="96"/>
    </row>
    <row r="630" ht="14.25" customHeight="1" spans="4:7">
      <c r="D630" s="93"/>
      <c r="E630" s="94"/>
      <c r="F630" s="95"/>
      <c r="G630" s="96"/>
    </row>
    <row r="631" ht="14.25" customHeight="1" spans="4:7">
      <c r="D631" s="93"/>
      <c r="E631" s="94"/>
      <c r="F631" s="95"/>
      <c r="G631" s="96"/>
    </row>
    <row r="632" ht="14.25" customHeight="1" spans="4:7">
      <c r="D632" s="93"/>
      <c r="E632" s="94"/>
      <c r="F632" s="95"/>
      <c r="G632" s="96"/>
    </row>
    <row r="633" ht="14.25" customHeight="1" spans="4:7">
      <c r="D633" s="93"/>
      <c r="E633" s="94"/>
      <c r="F633" s="95"/>
      <c r="G633" s="96"/>
    </row>
    <row r="634" ht="14.25" customHeight="1" spans="4:7">
      <c r="D634" s="93"/>
      <c r="E634" s="94"/>
      <c r="F634" s="95"/>
      <c r="G634" s="96"/>
    </row>
    <row r="635" ht="14.25" customHeight="1" spans="4:7">
      <c r="D635" s="93"/>
      <c r="E635" s="94"/>
      <c r="F635" s="95"/>
      <c r="G635" s="96"/>
    </row>
    <row r="636" ht="14.25" customHeight="1" spans="4:7">
      <c r="D636" s="93"/>
      <c r="E636" s="94"/>
      <c r="F636" s="95"/>
      <c r="G636" s="96"/>
    </row>
    <row r="637" ht="14.25" customHeight="1" spans="4:7">
      <c r="D637" s="93"/>
      <c r="E637" s="94"/>
      <c r="F637" s="95"/>
      <c r="G637" s="96"/>
    </row>
    <row r="638" ht="14.25" customHeight="1" spans="4:7">
      <c r="D638" s="93"/>
      <c r="E638" s="94"/>
      <c r="F638" s="95"/>
      <c r="G638" s="96"/>
    </row>
    <row r="639" ht="14.25" customHeight="1" spans="4:7">
      <c r="D639" s="93"/>
      <c r="E639" s="94"/>
      <c r="F639" s="95"/>
      <c r="G639" s="96"/>
    </row>
    <row r="640" ht="14.25" customHeight="1" spans="4:7">
      <c r="D640" s="93"/>
      <c r="E640" s="94"/>
      <c r="F640" s="95"/>
      <c r="G640" s="96"/>
    </row>
    <row r="641" ht="14.25" customHeight="1" spans="4:7">
      <c r="D641" s="93"/>
      <c r="E641" s="94"/>
      <c r="F641" s="95"/>
      <c r="G641" s="96"/>
    </row>
    <row r="642" ht="14.25" customHeight="1" spans="4:7">
      <c r="D642" s="93"/>
      <c r="E642" s="94"/>
      <c r="F642" s="95"/>
      <c r="G642" s="96"/>
    </row>
    <row r="643" ht="14.25" customHeight="1" spans="4:7">
      <c r="D643" s="93"/>
      <c r="E643" s="94"/>
      <c r="F643" s="95"/>
      <c r="G643" s="96"/>
    </row>
    <row r="644" ht="14.25" customHeight="1" spans="4:7">
      <c r="D644" s="93"/>
      <c r="E644" s="94"/>
      <c r="F644" s="95"/>
      <c r="G644" s="96"/>
    </row>
    <row r="645" ht="14.25" customHeight="1" spans="4:7">
      <c r="D645" s="93"/>
      <c r="E645" s="94"/>
      <c r="F645" s="95"/>
      <c r="G645" s="96"/>
    </row>
    <row r="646" ht="14.25" customHeight="1" spans="4:7">
      <c r="D646" s="93"/>
      <c r="E646" s="94"/>
      <c r="F646" s="95"/>
      <c r="G646" s="96"/>
    </row>
    <row r="647" ht="14.25" customHeight="1" spans="4:7">
      <c r="D647" s="93"/>
      <c r="E647" s="94"/>
      <c r="F647" s="95"/>
      <c r="G647" s="96"/>
    </row>
    <row r="648" ht="14.25" customHeight="1" spans="4:7">
      <c r="D648" s="93"/>
      <c r="E648" s="94"/>
      <c r="F648" s="95"/>
      <c r="G648" s="96"/>
    </row>
    <row r="649" ht="14.25" customHeight="1" spans="4:7">
      <c r="D649" s="93"/>
      <c r="E649" s="94"/>
      <c r="F649" s="95"/>
      <c r="G649" s="96"/>
    </row>
    <row r="650" ht="14.25" customHeight="1" spans="4:7">
      <c r="D650" s="93"/>
      <c r="E650" s="94"/>
      <c r="F650" s="95"/>
      <c r="G650" s="96"/>
    </row>
    <row r="651" ht="14.25" customHeight="1" spans="4:7">
      <c r="D651" s="93"/>
      <c r="E651" s="94"/>
      <c r="F651" s="95"/>
      <c r="G651" s="96"/>
    </row>
    <row r="652" ht="14.25" customHeight="1" spans="4:7">
      <c r="D652" s="93"/>
      <c r="E652" s="94"/>
      <c r="F652" s="95"/>
      <c r="G652" s="96"/>
    </row>
    <row r="653" ht="14.25" customHeight="1" spans="4:7">
      <c r="D653" s="93"/>
      <c r="E653" s="94"/>
      <c r="F653" s="95"/>
      <c r="G653" s="96"/>
    </row>
    <row r="654" ht="14.25" customHeight="1" spans="4:7">
      <c r="D654" s="93"/>
      <c r="E654" s="94"/>
      <c r="F654" s="95"/>
      <c r="G654" s="96"/>
    </row>
    <row r="655" ht="14.25" customHeight="1" spans="4:7">
      <c r="D655" s="93"/>
      <c r="E655" s="94"/>
      <c r="F655" s="95"/>
      <c r="G655" s="96"/>
    </row>
    <row r="656" ht="14.25" customHeight="1" spans="4:7">
      <c r="D656" s="93"/>
      <c r="E656" s="94"/>
      <c r="F656" s="95"/>
      <c r="G656" s="96"/>
    </row>
    <row r="657" ht="14.25" customHeight="1" spans="4:7">
      <c r="D657" s="93"/>
      <c r="E657" s="94"/>
      <c r="F657" s="95"/>
      <c r="G657" s="96"/>
    </row>
    <row r="658" ht="14.25" customHeight="1" spans="4:7">
      <c r="D658" s="93"/>
      <c r="E658" s="94"/>
      <c r="F658" s="95"/>
      <c r="G658" s="96"/>
    </row>
    <row r="659" ht="14.25" customHeight="1" spans="4:7">
      <c r="D659" s="93"/>
      <c r="E659" s="94"/>
      <c r="F659" s="95"/>
      <c r="G659" s="96"/>
    </row>
    <row r="660" ht="14.25" customHeight="1" spans="4:7">
      <c r="D660" s="93"/>
      <c r="E660" s="94"/>
      <c r="F660" s="95"/>
      <c r="G660" s="96"/>
    </row>
    <row r="661" ht="14.25" customHeight="1" spans="4:7">
      <c r="D661" s="93"/>
      <c r="E661" s="94"/>
      <c r="F661" s="95"/>
      <c r="G661" s="96"/>
    </row>
    <row r="662" ht="14.25" customHeight="1" spans="4:7">
      <c r="D662" s="93"/>
      <c r="E662" s="94"/>
      <c r="F662" s="95"/>
      <c r="G662" s="96"/>
    </row>
    <row r="663" ht="14.25" customHeight="1" spans="4:7">
      <c r="D663" s="93"/>
      <c r="E663" s="94"/>
      <c r="F663" s="95"/>
      <c r="G663" s="96"/>
    </row>
    <row r="664" ht="14.25" customHeight="1" spans="4:7">
      <c r="D664" s="93"/>
      <c r="E664" s="94"/>
      <c r="F664" s="95"/>
      <c r="G664" s="96"/>
    </row>
    <row r="665" ht="14.25" customHeight="1" spans="4:7">
      <c r="D665" s="93"/>
      <c r="E665" s="94"/>
      <c r="F665" s="95"/>
      <c r="G665" s="96"/>
    </row>
    <row r="666" ht="14.25" customHeight="1" spans="4:7">
      <c r="D666" s="93"/>
      <c r="E666" s="94"/>
      <c r="F666" s="95"/>
      <c r="G666" s="96"/>
    </row>
    <row r="667" ht="14.25" customHeight="1" spans="4:7">
      <c r="D667" s="93"/>
      <c r="E667" s="94"/>
      <c r="F667" s="95"/>
      <c r="G667" s="96"/>
    </row>
    <row r="668" ht="14.25" customHeight="1" spans="4:7">
      <c r="D668" s="93"/>
      <c r="E668" s="94"/>
      <c r="F668" s="95"/>
      <c r="G668" s="96"/>
    </row>
    <row r="669" ht="14.25" customHeight="1" spans="4:7">
      <c r="D669" s="93"/>
      <c r="E669" s="94"/>
      <c r="F669" s="95"/>
      <c r="G669" s="96"/>
    </row>
    <row r="670" ht="14.25" customHeight="1" spans="4:7">
      <c r="D670" s="93"/>
      <c r="E670" s="94"/>
      <c r="F670" s="95"/>
      <c r="G670" s="96"/>
    </row>
    <row r="671" ht="14.25" customHeight="1" spans="4:7">
      <c r="D671" s="93"/>
      <c r="E671" s="94"/>
      <c r="F671" s="95"/>
      <c r="G671" s="96"/>
    </row>
    <row r="672" ht="14.25" customHeight="1" spans="4:7">
      <c r="D672" s="93"/>
      <c r="E672" s="94"/>
      <c r="F672" s="95"/>
      <c r="G672" s="96"/>
    </row>
    <row r="673" ht="14.25" customHeight="1" spans="4:7">
      <c r="D673" s="93"/>
      <c r="E673" s="94"/>
      <c r="F673" s="95"/>
      <c r="G673" s="96"/>
    </row>
    <row r="674" ht="14.25" customHeight="1" spans="4:7">
      <c r="D674" s="93"/>
      <c r="E674" s="94"/>
      <c r="F674" s="95"/>
      <c r="G674" s="96"/>
    </row>
    <row r="675" ht="14.25" customHeight="1" spans="4:7">
      <c r="D675" s="93"/>
      <c r="E675" s="94"/>
      <c r="F675" s="95"/>
      <c r="G675" s="96"/>
    </row>
    <row r="676" ht="14.25" customHeight="1" spans="4:7">
      <c r="D676" s="93"/>
      <c r="E676" s="94"/>
      <c r="F676" s="95"/>
      <c r="G676" s="96"/>
    </row>
    <row r="677" ht="14.25" customHeight="1" spans="4:7">
      <c r="D677" s="93"/>
      <c r="E677" s="94"/>
      <c r="F677" s="95"/>
      <c r="G677" s="96"/>
    </row>
    <row r="678" ht="14.25" customHeight="1" spans="4:7">
      <c r="D678" s="93"/>
      <c r="E678" s="94"/>
      <c r="F678" s="95"/>
      <c r="G678" s="96"/>
    </row>
    <row r="679" ht="14.25" customHeight="1" spans="4:7">
      <c r="D679" s="93"/>
      <c r="E679" s="94"/>
      <c r="F679" s="95"/>
      <c r="G679" s="96"/>
    </row>
    <row r="680" ht="14.25" customHeight="1" spans="4:7">
      <c r="D680" s="93"/>
      <c r="E680" s="94"/>
      <c r="F680" s="95"/>
      <c r="G680" s="96"/>
    </row>
    <row r="681" ht="14.25" customHeight="1" spans="4:7">
      <c r="D681" s="93"/>
      <c r="E681" s="94"/>
      <c r="F681" s="95"/>
      <c r="G681" s="96"/>
    </row>
    <row r="682" ht="14.25" customHeight="1" spans="4:7">
      <c r="D682" s="93"/>
      <c r="E682" s="94"/>
      <c r="F682" s="95"/>
      <c r="G682" s="96"/>
    </row>
    <row r="683" ht="14.25" customHeight="1" spans="4:7">
      <c r="D683" s="93"/>
      <c r="E683" s="94"/>
      <c r="F683" s="95"/>
      <c r="G683" s="96"/>
    </row>
    <row r="684" ht="14.25" customHeight="1" spans="4:7">
      <c r="D684" s="93"/>
      <c r="E684" s="94"/>
      <c r="F684" s="95"/>
      <c r="G684" s="96"/>
    </row>
    <row r="685" ht="14.25" customHeight="1" spans="4:7">
      <c r="D685" s="93"/>
      <c r="E685" s="94"/>
      <c r="F685" s="95"/>
      <c r="G685" s="96"/>
    </row>
    <row r="686" ht="14.25" customHeight="1" spans="4:7">
      <c r="D686" s="93"/>
      <c r="E686" s="94"/>
      <c r="F686" s="95"/>
      <c r="G686" s="96"/>
    </row>
    <row r="687" ht="14.25" customHeight="1" spans="4:7">
      <c r="D687" s="93"/>
      <c r="E687" s="94"/>
      <c r="F687" s="95"/>
      <c r="G687" s="96"/>
    </row>
    <row r="688" ht="14.25" customHeight="1" spans="4:7">
      <c r="D688" s="93"/>
      <c r="E688" s="94"/>
      <c r="F688" s="95"/>
      <c r="G688" s="96"/>
    </row>
    <row r="689" ht="14.25" customHeight="1" spans="4:7">
      <c r="D689" s="93"/>
      <c r="E689" s="94"/>
      <c r="F689" s="95"/>
      <c r="G689" s="96"/>
    </row>
    <row r="690" ht="14.25" customHeight="1" spans="4:7">
      <c r="D690" s="93"/>
      <c r="E690" s="94"/>
      <c r="F690" s="95"/>
      <c r="G690" s="96"/>
    </row>
    <row r="691" ht="14.25" customHeight="1" spans="4:7">
      <c r="D691" s="93"/>
      <c r="E691" s="94"/>
      <c r="F691" s="95"/>
      <c r="G691" s="96"/>
    </row>
    <row r="692" ht="14.25" customHeight="1" spans="4:7">
      <c r="D692" s="93"/>
      <c r="E692" s="94"/>
      <c r="F692" s="95"/>
      <c r="G692" s="96"/>
    </row>
    <row r="693" ht="14.25" customHeight="1" spans="4:7">
      <c r="D693" s="93"/>
      <c r="E693" s="94"/>
      <c r="F693" s="95"/>
      <c r="G693" s="96"/>
    </row>
    <row r="694" ht="14.25" customHeight="1" spans="4:7">
      <c r="D694" s="93"/>
      <c r="E694" s="94"/>
      <c r="F694" s="95"/>
      <c r="G694" s="96"/>
    </row>
    <row r="695" ht="14.25" customHeight="1" spans="4:7">
      <c r="D695" s="93"/>
      <c r="E695" s="94"/>
      <c r="F695" s="95"/>
      <c r="G695" s="96"/>
    </row>
    <row r="696" ht="14.25" customHeight="1" spans="4:7">
      <c r="D696" s="93"/>
      <c r="E696" s="94"/>
      <c r="F696" s="95"/>
      <c r="G696" s="96"/>
    </row>
    <row r="697" ht="14.25" customHeight="1" spans="4:7">
      <c r="D697" s="93"/>
      <c r="E697" s="94"/>
      <c r="F697" s="95"/>
      <c r="G697" s="96"/>
    </row>
    <row r="698" ht="14.25" customHeight="1" spans="4:7">
      <c r="D698" s="93"/>
      <c r="E698" s="94"/>
      <c r="F698" s="95"/>
      <c r="G698" s="96"/>
    </row>
    <row r="699" ht="14.25" customHeight="1" spans="4:7">
      <c r="D699" s="93"/>
      <c r="E699" s="94"/>
      <c r="F699" s="95"/>
      <c r="G699" s="96"/>
    </row>
    <row r="700" ht="14.25" customHeight="1" spans="4:7">
      <c r="D700" s="93"/>
      <c r="E700" s="94"/>
      <c r="F700" s="95"/>
      <c r="G700" s="96"/>
    </row>
    <row r="701" ht="14.25" customHeight="1" spans="4:7">
      <c r="D701" s="93"/>
      <c r="E701" s="94"/>
      <c r="F701" s="95"/>
      <c r="G701" s="96"/>
    </row>
    <row r="702" ht="14.25" customHeight="1" spans="4:7">
      <c r="D702" s="93"/>
      <c r="E702" s="94"/>
      <c r="F702" s="95"/>
      <c r="G702" s="96"/>
    </row>
    <row r="703" ht="14.25" customHeight="1" spans="4:7">
      <c r="D703" s="93"/>
      <c r="E703" s="94"/>
      <c r="F703" s="95"/>
      <c r="G703" s="96"/>
    </row>
    <row r="704" ht="14.25" customHeight="1" spans="4:7">
      <c r="D704" s="93"/>
      <c r="E704" s="94"/>
      <c r="F704" s="95"/>
      <c r="G704" s="96"/>
    </row>
    <row r="705" ht="14.25" customHeight="1" spans="4:7">
      <c r="D705" s="93"/>
      <c r="E705" s="94"/>
      <c r="F705" s="95"/>
      <c r="G705" s="96"/>
    </row>
    <row r="706" ht="14.25" customHeight="1" spans="4:7">
      <c r="D706" s="93"/>
      <c r="E706" s="94"/>
      <c r="F706" s="95"/>
      <c r="G706" s="96"/>
    </row>
    <row r="707" ht="14.25" customHeight="1" spans="4:7">
      <c r="D707" s="93"/>
      <c r="E707" s="94"/>
      <c r="F707" s="95"/>
      <c r="G707" s="96"/>
    </row>
    <row r="708" ht="14.25" customHeight="1" spans="4:7">
      <c r="D708" s="93"/>
      <c r="E708" s="94"/>
      <c r="F708" s="95"/>
      <c r="G708" s="96"/>
    </row>
    <row r="709" ht="14.25" customHeight="1" spans="4:7">
      <c r="D709" s="93"/>
      <c r="E709" s="94"/>
      <c r="F709" s="95"/>
      <c r="G709" s="96"/>
    </row>
    <row r="710" ht="14.25" customHeight="1" spans="4:7">
      <c r="D710" s="93"/>
      <c r="E710" s="94"/>
      <c r="F710" s="95"/>
      <c r="G710" s="96"/>
    </row>
    <row r="711" ht="14.25" customHeight="1" spans="4:7">
      <c r="D711" s="93"/>
      <c r="E711" s="94"/>
      <c r="F711" s="95"/>
      <c r="G711" s="96"/>
    </row>
    <row r="712" ht="14.25" customHeight="1" spans="4:7">
      <c r="D712" s="93"/>
      <c r="E712" s="94"/>
      <c r="F712" s="95"/>
      <c r="G712" s="96"/>
    </row>
    <row r="713" ht="14.25" customHeight="1" spans="4:7">
      <c r="D713" s="93"/>
      <c r="E713" s="94"/>
      <c r="F713" s="95"/>
      <c r="G713" s="96"/>
    </row>
    <row r="714" ht="14.25" customHeight="1" spans="4:7">
      <c r="D714" s="93"/>
      <c r="E714" s="94"/>
      <c r="F714" s="95"/>
      <c r="G714" s="96"/>
    </row>
    <row r="715" ht="14.25" customHeight="1" spans="4:7">
      <c r="D715" s="93"/>
      <c r="E715" s="94"/>
      <c r="F715" s="95"/>
      <c r="G715" s="96"/>
    </row>
    <row r="716" ht="14.25" customHeight="1" spans="4:7">
      <c r="D716" s="93"/>
      <c r="E716" s="94"/>
      <c r="F716" s="95"/>
      <c r="G716" s="96"/>
    </row>
    <row r="717" ht="14.25" customHeight="1" spans="4:7">
      <c r="D717" s="93"/>
      <c r="E717" s="94"/>
      <c r="F717" s="95"/>
      <c r="G717" s="96"/>
    </row>
    <row r="718" ht="14.25" customHeight="1" spans="4:7">
      <c r="D718" s="93"/>
      <c r="E718" s="94"/>
      <c r="F718" s="95"/>
      <c r="G718" s="96"/>
    </row>
    <row r="719" ht="14.25" customHeight="1" spans="4:7">
      <c r="D719" s="93"/>
      <c r="E719" s="94"/>
      <c r="F719" s="95"/>
      <c r="G719" s="96"/>
    </row>
    <row r="720" ht="14.25" customHeight="1" spans="4:7">
      <c r="D720" s="93"/>
      <c r="E720" s="94"/>
      <c r="F720" s="95"/>
      <c r="G720" s="96"/>
    </row>
    <row r="721" ht="14.25" customHeight="1" spans="4:7">
      <c r="D721" s="93"/>
      <c r="E721" s="94"/>
      <c r="F721" s="95"/>
      <c r="G721" s="96"/>
    </row>
    <row r="722" ht="14.25" customHeight="1" spans="4:7">
      <c r="D722" s="93"/>
      <c r="E722" s="94"/>
      <c r="F722" s="95"/>
      <c r="G722" s="96"/>
    </row>
    <row r="723" ht="14.25" customHeight="1" spans="4:7">
      <c r="D723" s="93"/>
      <c r="E723" s="94"/>
      <c r="F723" s="95"/>
      <c r="G723" s="96"/>
    </row>
    <row r="724" ht="14.25" customHeight="1" spans="4:7">
      <c r="D724" s="93"/>
      <c r="E724" s="94"/>
      <c r="F724" s="95"/>
      <c r="G724" s="96"/>
    </row>
    <row r="725" ht="14.25" customHeight="1" spans="4:7">
      <c r="D725" s="93"/>
      <c r="E725" s="94"/>
      <c r="F725" s="95"/>
      <c r="G725" s="96"/>
    </row>
    <row r="726" ht="14.25" customHeight="1" spans="4:7">
      <c r="D726" s="93"/>
      <c r="E726" s="94"/>
      <c r="F726" s="95"/>
      <c r="G726" s="96"/>
    </row>
    <row r="727" ht="14.25" customHeight="1" spans="4:7">
      <c r="D727" s="93"/>
      <c r="E727" s="94"/>
      <c r="F727" s="95"/>
      <c r="G727" s="96"/>
    </row>
    <row r="728" ht="14.25" customHeight="1" spans="4:7">
      <c r="D728" s="93"/>
      <c r="E728" s="94"/>
      <c r="F728" s="95"/>
      <c r="G728" s="96"/>
    </row>
    <row r="729" ht="14.25" customHeight="1" spans="4:7">
      <c r="D729" s="93"/>
      <c r="E729" s="94"/>
      <c r="F729" s="95"/>
      <c r="G729" s="96"/>
    </row>
    <row r="730" ht="14.25" customHeight="1" spans="4:7">
      <c r="D730" s="93"/>
      <c r="E730" s="94"/>
      <c r="F730" s="95"/>
      <c r="G730" s="96"/>
    </row>
    <row r="731" ht="14.25" customHeight="1" spans="4:7">
      <c r="D731" s="93"/>
      <c r="E731" s="94"/>
      <c r="F731" s="95"/>
      <c r="G731" s="96"/>
    </row>
    <row r="732" ht="14.25" customHeight="1" spans="4:7">
      <c r="D732" s="93"/>
      <c r="E732" s="94"/>
      <c r="F732" s="95"/>
      <c r="G732" s="96"/>
    </row>
    <row r="733" ht="14.25" customHeight="1" spans="4:7">
      <c r="D733" s="93"/>
      <c r="E733" s="94"/>
      <c r="F733" s="95"/>
      <c r="G733" s="96"/>
    </row>
    <row r="734" ht="14.25" customHeight="1" spans="4:7">
      <c r="D734" s="93"/>
      <c r="E734" s="94"/>
      <c r="F734" s="95"/>
      <c r="G734" s="96"/>
    </row>
    <row r="735" ht="14.25" customHeight="1" spans="4:7">
      <c r="D735" s="93"/>
      <c r="E735" s="94"/>
      <c r="F735" s="95"/>
      <c r="G735" s="96"/>
    </row>
    <row r="736" ht="14.25" customHeight="1" spans="4:7">
      <c r="D736" s="93"/>
      <c r="E736" s="94"/>
      <c r="F736" s="95"/>
      <c r="G736" s="96"/>
    </row>
    <row r="737" ht="14.25" customHeight="1" spans="4:7">
      <c r="D737" s="93"/>
      <c r="E737" s="94"/>
      <c r="F737" s="95"/>
      <c r="G737" s="96"/>
    </row>
    <row r="738" ht="14.25" customHeight="1" spans="4:7">
      <c r="D738" s="93"/>
      <c r="E738" s="94"/>
      <c r="F738" s="95"/>
      <c r="G738" s="96"/>
    </row>
    <row r="739" ht="14.25" customHeight="1" spans="4:7">
      <c r="D739" s="93"/>
      <c r="E739" s="94"/>
      <c r="F739" s="95"/>
      <c r="G739" s="96"/>
    </row>
    <row r="740" ht="14.25" customHeight="1" spans="4:7">
      <c r="D740" s="93"/>
      <c r="E740" s="94"/>
      <c r="F740" s="95"/>
      <c r="G740" s="96"/>
    </row>
    <row r="741" ht="14.25" customHeight="1" spans="4:7">
      <c r="D741" s="93"/>
      <c r="E741" s="94"/>
      <c r="F741" s="95"/>
      <c r="G741" s="96"/>
    </row>
    <row r="742" ht="14.25" customHeight="1" spans="4:7">
      <c r="D742" s="93"/>
      <c r="E742" s="94"/>
      <c r="F742" s="95"/>
      <c r="G742" s="96"/>
    </row>
    <row r="743" ht="14.25" customHeight="1" spans="4:7">
      <c r="D743" s="93"/>
      <c r="E743" s="94"/>
      <c r="F743" s="95"/>
      <c r="G743" s="96"/>
    </row>
    <row r="744" ht="14.25" customHeight="1" spans="4:7">
      <c r="D744" s="93"/>
      <c r="E744" s="94"/>
      <c r="F744" s="95"/>
      <c r="G744" s="96"/>
    </row>
    <row r="745" ht="14.25" customHeight="1" spans="4:7">
      <c r="D745" s="93"/>
      <c r="E745" s="94"/>
      <c r="F745" s="95"/>
      <c r="G745" s="96"/>
    </row>
    <row r="746" ht="14.25" customHeight="1" spans="4:7">
      <c r="D746" s="93"/>
      <c r="E746" s="94"/>
      <c r="F746" s="95"/>
      <c r="G746" s="96"/>
    </row>
    <row r="747" ht="14.25" customHeight="1" spans="4:7">
      <c r="D747" s="93"/>
      <c r="E747" s="94"/>
      <c r="F747" s="95"/>
      <c r="G747" s="96"/>
    </row>
    <row r="748" ht="14.25" customHeight="1" spans="4:7">
      <c r="D748" s="93"/>
      <c r="E748" s="94"/>
      <c r="F748" s="95"/>
      <c r="G748" s="96"/>
    </row>
    <row r="749" ht="14.25" customHeight="1" spans="4:7">
      <c r="D749" s="93"/>
      <c r="E749" s="94"/>
      <c r="F749" s="95"/>
      <c r="G749" s="96"/>
    </row>
    <row r="750" ht="14.25" customHeight="1" spans="4:7">
      <c r="D750" s="93"/>
      <c r="E750" s="94"/>
      <c r="F750" s="95"/>
      <c r="G750" s="96"/>
    </row>
    <row r="751" ht="14.25" customHeight="1" spans="4:7">
      <c r="D751" s="93"/>
      <c r="E751" s="94"/>
      <c r="F751" s="95"/>
      <c r="G751" s="96"/>
    </row>
    <row r="752" ht="14.25" customHeight="1" spans="4:7">
      <c r="D752" s="93"/>
      <c r="E752" s="94"/>
      <c r="F752" s="95"/>
      <c r="G752" s="96"/>
    </row>
    <row r="753" ht="14.25" customHeight="1" spans="4:7">
      <c r="D753" s="93"/>
      <c r="E753" s="94"/>
      <c r="F753" s="95"/>
      <c r="G753" s="96"/>
    </row>
    <row r="754" ht="14.25" customHeight="1" spans="4:7">
      <c r="D754" s="93"/>
      <c r="E754" s="94"/>
      <c r="F754" s="95"/>
      <c r="G754" s="96"/>
    </row>
    <row r="755" ht="14.25" customHeight="1" spans="4:7">
      <c r="D755" s="93"/>
      <c r="E755" s="94"/>
      <c r="F755" s="95"/>
      <c r="G755" s="96"/>
    </row>
    <row r="756" ht="14.25" customHeight="1" spans="4:7">
      <c r="D756" s="93"/>
      <c r="E756" s="94"/>
      <c r="F756" s="95"/>
      <c r="G756" s="96"/>
    </row>
    <row r="757" ht="14.25" customHeight="1" spans="4:7">
      <c r="D757" s="93"/>
      <c r="E757" s="94"/>
      <c r="F757" s="95"/>
      <c r="G757" s="96"/>
    </row>
    <row r="758" ht="14.25" customHeight="1" spans="4:7">
      <c r="D758" s="93"/>
      <c r="E758" s="94"/>
      <c r="F758" s="95"/>
      <c r="G758" s="96"/>
    </row>
    <row r="759" ht="14.25" customHeight="1" spans="4:7">
      <c r="D759" s="93"/>
      <c r="E759" s="94"/>
      <c r="F759" s="95"/>
      <c r="G759" s="96"/>
    </row>
    <row r="760" ht="14.25" customHeight="1" spans="4:7">
      <c r="D760" s="93"/>
      <c r="E760" s="94"/>
      <c r="F760" s="95"/>
      <c r="G760" s="96"/>
    </row>
    <row r="761" ht="14.25" customHeight="1" spans="4:7">
      <c r="D761" s="93"/>
      <c r="E761" s="94"/>
      <c r="F761" s="95"/>
      <c r="G761" s="96"/>
    </row>
    <row r="762" ht="14.25" customHeight="1" spans="4:7">
      <c r="D762" s="93"/>
      <c r="E762" s="94"/>
      <c r="F762" s="95"/>
      <c r="G762" s="96"/>
    </row>
    <row r="763" ht="14.25" customHeight="1" spans="4:7">
      <c r="D763" s="93"/>
      <c r="E763" s="94"/>
      <c r="F763" s="95"/>
      <c r="G763" s="96"/>
    </row>
    <row r="764" ht="14.25" customHeight="1" spans="4:7">
      <c r="D764" s="93"/>
      <c r="E764" s="94"/>
      <c r="F764" s="95"/>
      <c r="G764" s="96"/>
    </row>
    <row r="765" ht="14.25" customHeight="1" spans="4:7">
      <c r="D765" s="93"/>
      <c r="E765" s="94"/>
      <c r="F765" s="95"/>
      <c r="G765" s="96"/>
    </row>
    <row r="766" ht="14.25" customHeight="1" spans="4:7">
      <c r="D766" s="93"/>
      <c r="E766" s="94"/>
      <c r="F766" s="95"/>
      <c r="G766" s="96"/>
    </row>
    <row r="767" ht="14.25" customHeight="1" spans="4:7">
      <c r="D767" s="93"/>
      <c r="E767" s="94"/>
      <c r="F767" s="95"/>
      <c r="G767" s="96"/>
    </row>
    <row r="768" ht="14.25" customHeight="1" spans="4:7">
      <c r="D768" s="93"/>
      <c r="E768" s="94"/>
      <c r="F768" s="95"/>
      <c r="G768" s="96"/>
    </row>
    <row r="769" ht="14.25" customHeight="1" spans="4:7">
      <c r="D769" s="93"/>
      <c r="E769" s="94"/>
      <c r="F769" s="95"/>
      <c r="G769" s="96"/>
    </row>
    <row r="770" ht="14.25" customHeight="1" spans="4:7">
      <c r="D770" s="93"/>
      <c r="E770" s="94"/>
      <c r="F770" s="95"/>
      <c r="G770" s="96"/>
    </row>
    <row r="771" ht="14.25" customHeight="1" spans="4:7">
      <c r="D771" s="93"/>
      <c r="E771" s="94"/>
      <c r="F771" s="95"/>
      <c r="G771" s="96"/>
    </row>
    <row r="772" ht="14.25" customHeight="1" spans="4:7">
      <c r="D772" s="93"/>
      <c r="E772" s="94"/>
      <c r="F772" s="95"/>
      <c r="G772" s="96"/>
    </row>
    <row r="773" ht="14.25" customHeight="1" spans="4:7">
      <c r="D773" s="93"/>
      <c r="E773" s="94"/>
      <c r="F773" s="95"/>
      <c r="G773" s="96"/>
    </row>
    <row r="774" ht="14.25" customHeight="1" spans="4:7">
      <c r="D774" s="93"/>
      <c r="E774" s="94"/>
      <c r="F774" s="95"/>
      <c r="G774" s="96"/>
    </row>
    <row r="775" ht="14.25" customHeight="1" spans="4:7">
      <c r="D775" s="93"/>
      <c r="E775" s="94"/>
      <c r="F775" s="95"/>
      <c r="G775" s="96"/>
    </row>
    <row r="776" ht="14.25" customHeight="1" spans="4:7">
      <c r="D776" s="93"/>
      <c r="E776" s="94"/>
      <c r="F776" s="95"/>
      <c r="G776" s="96"/>
    </row>
    <row r="777" ht="14.25" customHeight="1" spans="4:7">
      <c r="D777" s="93"/>
      <c r="E777" s="94"/>
      <c r="F777" s="95"/>
      <c r="G777" s="96"/>
    </row>
    <row r="778" ht="14.25" customHeight="1" spans="4:7">
      <c r="D778" s="93"/>
      <c r="E778" s="94"/>
      <c r="F778" s="95"/>
      <c r="G778" s="96"/>
    </row>
    <row r="779" ht="14.25" customHeight="1" spans="4:7">
      <c r="D779" s="93"/>
      <c r="E779" s="94"/>
      <c r="F779" s="95"/>
      <c r="G779" s="96"/>
    </row>
    <row r="780" ht="14.25" customHeight="1" spans="4:7">
      <c r="D780" s="93"/>
      <c r="E780" s="94"/>
      <c r="F780" s="95"/>
      <c r="G780" s="96"/>
    </row>
    <row r="781" ht="14.25" customHeight="1" spans="4:7">
      <c r="D781" s="93"/>
      <c r="E781" s="94"/>
      <c r="F781" s="95"/>
      <c r="G781" s="96"/>
    </row>
    <row r="782" ht="14.25" customHeight="1" spans="4:7">
      <c r="D782" s="93"/>
      <c r="E782" s="94"/>
      <c r="F782" s="95"/>
      <c r="G782" s="96"/>
    </row>
    <row r="783" ht="14.25" customHeight="1" spans="4:7">
      <c r="D783" s="93"/>
      <c r="E783" s="94"/>
      <c r="F783" s="95"/>
      <c r="G783" s="96"/>
    </row>
    <row r="784" ht="14.25" customHeight="1" spans="4:7">
      <c r="D784" s="93"/>
      <c r="E784" s="94"/>
      <c r="F784" s="95"/>
      <c r="G784" s="96"/>
    </row>
    <row r="785" ht="14.25" customHeight="1" spans="4:7">
      <c r="D785" s="93"/>
      <c r="E785" s="94"/>
      <c r="F785" s="95"/>
      <c r="G785" s="96"/>
    </row>
    <row r="786" ht="14.25" customHeight="1" spans="4:7">
      <c r="D786" s="93"/>
      <c r="E786" s="94"/>
      <c r="F786" s="95"/>
      <c r="G786" s="96"/>
    </row>
    <row r="787" ht="14.25" customHeight="1" spans="4:7">
      <c r="D787" s="93"/>
      <c r="E787" s="94"/>
      <c r="F787" s="95"/>
      <c r="G787" s="96"/>
    </row>
    <row r="788" ht="14.25" customHeight="1" spans="4:7">
      <c r="D788" s="93"/>
      <c r="E788" s="94"/>
      <c r="F788" s="95"/>
      <c r="G788" s="96"/>
    </row>
    <row r="789" ht="14.25" customHeight="1" spans="4:7">
      <c r="D789" s="93"/>
      <c r="E789" s="94"/>
      <c r="F789" s="95"/>
      <c r="G789" s="96"/>
    </row>
    <row r="790" ht="14.25" customHeight="1" spans="4:7">
      <c r="D790" s="93"/>
      <c r="E790" s="94"/>
      <c r="F790" s="95"/>
      <c r="G790" s="96"/>
    </row>
    <row r="791" ht="14.25" customHeight="1" spans="4:7">
      <c r="D791" s="93"/>
      <c r="E791" s="94"/>
      <c r="F791" s="95"/>
      <c r="G791" s="96"/>
    </row>
    <row r="792" ht="14.25" customHeight="1" spans="4:7">
      <c r="D792" s="93"/>
      <c r="E792" s="94"/>
      <c r="F792" s="95"/>
      <c r="G792" s="96"/>
    </row>
    <row r="793" ht="14.25" customHeight="1" spans="4:7">
      <c r="D793" s="93"/>
      <c r="E793" s="94"/>
      <c r="F793" s="95"/>
      <c r="G793" s="96"/>
    </row>
    <row r="794" ht="14.25" customHeight="1" spans="4:7">
      <c r="D794" s="93"/>
      <c r="E794" s="94"/>
      <c r="F794" s="95"/>
      <c r="G794" s="96"/>
    </row>
    <row r="795" ht="14.25" customHeight="1" spans="4:7">
      <c r="D795" s="93"/>
      <c r="E795" s="94"/>
      <c r="F795" s="95"/>
      <c r="G795" s="96"/>
    </row>
    <row r="796" ht="14.25" customHeight="1" spans="4:7">
      <c r="D796" s="93"/>
      <c r="E796" s="94"/>
      <c r="F796" s="95"/>
      <c r="G796" s="96"/>
    </row>
    <row r="797" ht="14.25" customHeight="1" spans="4:7">
      <c r="D797" s="93"/>
      <c r="E797" s="94"/>
      <c r="F797" s="95"/>
      <c r="G797" s="96"/>
    </row>
    <row r="798" ht="14.25" customHeight="1" spans="4:7">
      <c r="D798" s="93"/>
      <c r="E798" s="94"/>
      <c r="F798" s="95"/>
      <c r="G798" s="96"/>
    </row>
    <row r="799" ht="14.25" customHeight="1" spans="4:7">
      <c r="D799" s="93"/>
      <c r="E799" s="94"/>
      <c r="F799" s="95"/>
      <c r="G799" s="96"/>
    </row>
    <row r="800" ht="14.25" customHeight="1" spans="4:7">
      <c r="D800" s="93"/>
      <c r="E800" s="94"/>
      <c r="F800" s="95"/>
      <c r="G800" s="96"/>
    </row>
    <row r="801" ht="14.25" customHeight="1" spans="4:7">
      <c r="D801" s="93"/>
      <c r="E801" s="94"/>
      <c r="F801" s="95"/>
      <c r="G801" s="96"/>
    </row>
    <row r="802" ht="14.25" customHeight="1" spans="4:7">
      <c r="D802" s="93"/>
      <c r="E802" s="94"/>
      <c r="F802" s="95"/>
      <c r="G802" s="96"/>
    </row>
    <row r="803" ht="14.25" customHeight="1" spans="4:7">
      <c r="D803" s="93"/>
      <c r="E803" s="94"/>
      <c r="F803" s="95"/>
      <c r="G803" s="96"/>
    </row>
    <row r="804" ht="14.25" customHeight="1" spans="4:7">
      <c r="D804" s="93"/>
      <c r="E804" s="94"/>
      <c r="F804" s="95"/>
      <c r="G804" s="96"/>
    </row>
    <row r="805" ht="14.25" customHeight="1" spans="4:7">
      <c r="D805" s="93"/>
      <c r="E805" s="94"/>
      <c r="F805" s="95"/>
      <c r="G805" s="96"/>
    </row>
    <row r="806" ht="14.25" customHeight="1" spans="4:7">
      <c r="D806" s="93"/>
      <c r="E806" s="94"/>
      <c r="F806" s="95"/>
      <c r="G806" s="96"/>
    </row>
    <row r="807" ht="14.25" customHeight="1" spans="4:7">
      <c r="D807" s="93"/>
      <c r="E807" s="94"/>
      <c r="F807" s="95"/>
      <c r="G807" s="96"/>
    </row>
    <row r="808" ht="14.25" customHeight="1" spans="4:7">
      <c r="D808" s="93"/>
      <c r="E808" s="94"/>
      <c r="F808" s="95"/>
      <c r="G808" s="96"/>
    </row>
    <row r="809" ht="14.25" customHeight="1" spans="4:7">
      <c r="D809" s="93"/>
      <c r="E809" s="94"/>
      <c r="F809" s="95"/>
      <c r="G809" s="96"/>
    </row>
    <row r="810" ht="14.25" customHeight="1" spans="4:7">
      <c r="D810" s="93"/>
      <c r="E810" s="94"/>
      <c r="F810" s="95"/>
      <c r="G810" s="96"/>
    </row>
    <row r="811" ht="14.25" customHeight="1" spans="4:7">
      <c r="D811" s="93"/>
      <c r="E811" s="94"/>
      <c r="F811" s="95"/>
      <c r="G811" s="96"/>
    </row>
    <row r="812" ht="14.25" customHeight="1" spans="4:7">
      <c r="D812" s="93"/>
      <c r="E812" s="94"/>
      <c r="F812" s="95"/>
      <c r="G812" s="96"/>
    </row>
    <row r="813" ht="14.25" customHeight="1" spans="4:7">
      <c r="D813" s="93"/>
      <c r="E813" s="94"/>
      <c r="F813" s="95"/>
      <c r="G813" s="96"/>
    </row>
    <row r="814" ht="14.25" customHeight="1" spans="4:7">
      <c r="D814" s="93"/>
      <c r="E814" s="94"/>
      <c r="F814" s="95"/>
      <c r="G814" s="96"/>
    </row>
    <row r="815" ht="14.25" customHeight="1" spans="4:7">
      <c r="D815" s="93"/>
      <c r="E815" s="94"/>
      <c r="F815" s="95"/>
      <c r="G815" s="96"/>
    </row>
    <row r="816" ht="14.25" customHeight="1" spans="4:7">
      <c r="D816" s="93"/>
      <c r="E816" s="94"/>
      <c r="F816" s="95"/>
      <c r="G816" s="96"/>
    </row>
    <row r="817" ht="14.25" customHeight="1" spans="4:7">
      <c r="D817" s="93"/>
      <c r="E817" s="94"/>
      <c r="F817" s="95"/>
      <c r="G817" s="96"/>
    </row>
    <row r="818" ht="14.25" customHeight="1" spans="4:7">
      <c r="D818" s="93"/>
      <c r="E818" s="94"/>
      <c r="F818" s="95"/>
      <c r="G818" s="96"/>
    </row>
    <row r="819" ht="14.25" customHeight="1" spans="4:7">
      <c r="D819" s="93"/>
      <c r="E819" s="94"/>
      <c r="F819" s="95"/>
      <c r="G819" s="96"/>
    </row>
    <row r="820" ht="14.25" customHeight="1" spans="4:7">
      <c r="D820" s="93"/>
      <c r="E820" s="94"/>
      <c r="F820" s="95"/>
      <c r="G820" s="96"/>
    </row>
    <row r="821" ht="14.25" customHeight="1" spans="4:7">
      <c r="D821" s="93"/>
      <c r="E821" s="94"/>
      <c r="F821" s="95"/>
      <c r="G821" s="96"/>
    </row>
    <row r="822" ht="14.25" customHeight="1" spans="4:7">
      <c r="D822" s="93"/>
      <c r="E822" s="94"/>
      <c r="F822" s="95"/>
      <c r="G822" s="96"/>
    </row>
    <row r="823" ht="14.25" customHeight="1" spans="4:7">
      <c r="D823" s="93"/>
      <c r="E823" s="94"/>
      <c r="F823" s="95"/>
      <c r="G823" s="96"/>
    </row>
    <row r="824" ht="14.25" customHeight="1" spans="4:7">
      <c r="D824" s="93"/>
      <c r="E824" s="94"/>
      <c r="F824" s="95"/>
      <c r="G824" s="96"/>
    </row>
    <row r="825" ht="14.25" customHeight="1" spans="4:7">
      <c r="D825" s="93"/>
      <c r="E825" s="94"/>
      <c r="F825" s="95"/>
      <c r="G825" s="96"/>
    </row>
    <row r="826" ht="14.25" customHeight="1" spans="4:7">
      <c r="D826" s="93"/>
      <c r="E826" s="94"/>
      <c r="F826" s="95"/>
      <c r="G826" s="96"/>
    </row>
    <row r="827" ht="14.25" customHeight="1" spans="4:7">
      <c r="D827" s="93"/>
      <c r="E827" s="94"/>
      <c r="F827" s="95"/>
      <c r="G827" s="96"/>
    </row>
    <row r="828" ht="14.25" customHeight="1" spans="4:7">
      <c r="D828" s="93"/>
      <c r="E828" s="94"/>
      <c r="F828" s="95"/>
      <c r="G828" s="96"/>
    </row>
    <row r="829" ht="14.25" customHeight="1" spans="4:7">
      <c r="D829" s="93"/>
      <c r="E829" s="94"/>
      <c r="F829" s="95"/>
      <c r="G829" s="96"/>
    </row>
    <row r="830" ht="14.25" customHeight="1" spans="4:7">
      <c r="D830" s="93"/>
      <c r="E830" s="94"/>
      <c r="F830" s="95"/>
      <c r="G830" s="96"/>
    </row>
    <row r="831" ht="14.25" customHeight="1" spans="4:7">
      <c r="D831" s="93"/>
      <c r="E831" s="94"/>
      <c r="F831" s="95"/>
      <c r="G831" s="96"/>
    </row>
    <row r="832" ht="14.25" customHeight="1" spans="4:7">
      <c r="D832" s="93"/>
      <c r="E832" s="94"/>
      <c r="F832" s="95"/>
      <c r="G832" s="96"/>
    </row>
    <row r="833" ht="14.25" customHeight="1" spans="4:7">
      <c r="D833" s="93"/>
      <c r="E833" s="94"/>
      <c r="F833" s="95"/>
      <c r="G833" s="96"/>
    </row>
    <row r="834" ht="14.25" customHeight="1" spans="4:7">
      <c r="D834" s="93"/>
      <c r="E834" s="94"/>
      <c r="F834" s="95"/>
      <c r="G834" s="96"/>
    </row>
    <row r="835" ht="14.25" customHeight="1" spans="4:7">
      <c r="D835" s="93"/>
      <c r="E835" s="94"/>
      <c r="F835" s="95"/>
      <c r="G835" s="96"/>
    </row>
    <row r="836" ht="14.25" customHeight="1" spans="4:7">
      <c r="D836" s="93"/>
      <c r="E836" s="94"/>
      <c r="F836" s="95"/>
      <c r="G836" s="96"/>
    </row>
    <row r="837" ht="14.25" customHeight="1" spans="4:7">
      <c r="D837" s="93"/>
      <c r="E837" s="94"/>
      <c r="F837" s="95"/>
      <c r="G837" s="96"/>
    </row>
    <row r="838" ht="14.25" customHeight="1" spans="4:7">
      <c r="D838" s="93"/>
      <c r="E838" s="94"/>
      <c r="F838" s="95"/>
      <c r="G838" s="96"/>
    </row>
    <row r="839" ht="14.25" customHeight="1" spans="4:7">
      <c r="D839" s="93"/>
      <c r="E839" s="94"/>
      <c r="F839" s="95"/>
      <c r="G839" s="96"/>
    </row>
    <row r="840" ht="14.25" customHeight="1" spans="4:7">
      <c r="D840" s="93"/>
      <c r="E840" s="94"/>
      <c r="F840" s="95"/>
      <c r="G840" s="96"/>
    </row>
    <row r="841" ht="14.25" customHeight="1" spans="4:7">
      <c r="D841" s="93"/>
      <c r="E841" s="94"/>
      <c r="F841" s="95"/>
      <c r="G841" s="96"/>
    </row>
    <row r="842" ht="14.25" customHeight="1" spans="4:7">
      <c r="D842" s="93"/>
      <c r="E842" s="94"/>
      <c r="F842" s="95"/>
      <c r="G842" s="96"/>
    </row>
    <row r="843" ht="14.25" customHeight="1" spans="4:7">
      <c r="D843" s="93"/>
      <c r="E843" s="94"/>
      <c r="F843" s="95"/>
      <c r="G843" s="96"/>
    </row>
    <row r="844" ht="14.25" customHeight="1" spans="4:7">
      <c r="D844" s="93"/>
      <c r="E844" s="94"/>
      <c r="F844" s="95"/>
      <c r="G844" s="96"/>
    </row>
    <row r="845" ht="14.25" customHeight="1" spans="4:7">
      <c r="D845" s="93"/>
      <c r="E845" s="94"/>
      <c r="F845" s="95"/>
      <c r="G845" s="96"/>
    </row>
    <row r="846" ht="14.25" customHeight="1" spans="4:7">
      <c r="D846" s="93"/>
      <c r="E846" s="94"/>
      <c r="F846" s="95"/>
      <c r="G846" s="96"/>
    </row>
    <row r="847" ht="14.25" customHeight="1" spans="4:7">
      <c r="D847" s="93"/>
      <c r="E847" s="94"/>
      <c r="F847" s="95"/>
      <c r="G847" s="96"/>
    </row>
    <row r="848" ht="14.25" customHeight="1" spans="4:7">
      <c r="D848" s="93"/>
      <c r="E848" s="94"/>
      <c r="F848" s="95"/>
      <c r="G848" s="96"/>
    </row>
    <row r="849" ht="14.25" customHeight="1" spans="4:7">
      <c r="D849" s="93"/>
      <c r="E849" s="94"/>
      <c r="F849" s="95"/>
      <c r="G849" s="96"/>
    </row>
    <row r="850" ht="14.25" customHeight="1" spans="4:7">
      <c r="D850" s="93"/>
      <c r="E850" s="94"/>
      <c r="F850" s="95"/>
      <c r="G850" s="96"/>
    </row>
    <row r="851" ht="14.25" customHeight="1" spans="4:7">
      <c r="D851" s="93"/>
      <c r="E851" s="94"/>
      <c r="F851" s="95"/>
      <c r="G851" s="96"/>
    </row>
    <row r="852" ht="14.25" customHeight="1" spans="4:7">
      <c r="D852" s="93"/>
      <c r="E852" s="94"/>
      <c r="F852" s="95"/>
      <c r="G852" s="96"/>
    </row>
    <row r="853" ht="14.25" customHeight="1" spans="4:7">
      <c r="D853" s="93"/>
      <c r="E853" s="94"/>
      <c r="F853" s="95"/>
      <c r="G853" s="96"/>
    </row>
    <row r="854" ht="14.25" customHeight="1" spans="4:7">
      <c r="D854" s="93"/>
      <c r="E854" s="94"/>
      <c r="F854" s="95"/>
      <c r="G854" s="96"/>
    </row>
    <row r="855" ht="14.25" customHeight="1" spans="4:7">
      <c r="D855" s="93"/>
      <c r="E855" s="94"/>
      <c r="F855" s="95"/>
      <c r="G855" s="96"/>
    </row>
    <row r="856" ht="14.25" customHeight="1" spans="4:7">
      <c r="D856" s="93"/>
      <c r="E856" s="94"/>
      <c r="F856" s="95"/>
      <c r="G856" s="96"/>
    </row>
    <row r="857" ht="14.25" customHeight="1" spans="4:7">
      <c r="D857" s="93"/>
      <c r="E857" s="94"/>
      <c r="F857" s="95"/>
      <c r="G857" s="96"/>
    </row>
    <row r="858" ht="14.25" customHeight="1" spans="4:7">
      <c r="D858" s="93"/>
      <c r="E858" s="94"/>
      <c r="F858" s="95"/>
      <c r="G858" s="96"/>
    </row>
    <row r="859" ht="14.25" customHeight="1" spans="4:7">
      <c r="D859" s="93"/>
      <c r="E859" s="94"/>
      <c r="F859" s="95"/>
      <c r="G859" s="96"/>
    </row>
    <row r="860" ht="14.25" customHeight="1" spans="4:7">
      <c r="D860" s="93"/>
      <c r="E860" s="94"/>
      <c r="F860" s="95"/>
      <c r="G860" s="96"/>
    </row>
    <row r="861" ht="14.25" customHeight="1" spans="4:7">
      <c r="D861" s="93"/>
      <c r="E861" s="94"/>
      <c r="F861" s="95"/>
      <c r="G861" s="96"/>
    </row>
    <row r="862" ht="14.25" customHeight="1" spans="4:7">
      <c r="D862" s="93"/>
      <c r="E862" s="94"/>
      <c r="F862" s="95"/>
      <c r="G862" s="96"/>
    </row>
    <row r="863" ht="14.25" customHeight="1" spans="4:7">
      <c r="D863" s="93"/>
      <c r="E863" s="94"/>
      <c r="F863" s="95"/>
      <c r="G863" s="96"/>
    </row>
    <row r="864" ht="14.25" customHeight="1" spans="4:7">
      <c r="D864" s="93"/>
      <c r="E864" s="94"/>
      <c r="F864" s="95"/>
      <c r="G864" s="96"/>
    </row>
    <row r="865" ht="14.25" customHeight="1" spans="4:7">
      <c r="D865" s="93"/>
      <c r="E865" s="94"/>
      <c r="F865" s="95"/>
      <c r="G865" s="96"/>
    </row>
    <row r="866" ht="14.25" customHeight="1" spans="4:7">
      <c r="D866" s="93"/>
      <c r="E866" s="94"/>
      <c r="F866" s="95"/>
      <c r="G866" s="96"/>
    </row>
    <row r="867" ht="14.25" customHeight="1" spans="4:7">
      <c r="D867" s="93"/>
      <c r="E867" s="94"/>
      <c r="F867" s="95"/>
      <c r="G867" s="96"/>
    </row>
    <row r="868" ht="14.25" customHeight="1" spans="4:7">
      <c r="D868" s="93"/>
      <c r="E868" s="94"/>
      <c r="F868" s="95"/>
      <c r="G868" s="96"/>
    </row>
    <row r="869" ht="14.25" customHeight="1" spans="4:7">
      <c r="D869" s="93"/>
      <c r="E869" s="94"/>
      <c r="F869" s="95"/>
      <c r="G869" s="96"/>
    </row>
    <row r="870" ht="14.25" customHeight="1" spans="4:7">
      <c r="D870" s="93"/>
      <c r="E870" s="94"/>
      <c r="F870" s="95"/>
      <c r="G870" s="96"/>
    </row>
    <row r="871" ht="14.25" customHeight="1" spans="4:7">
      <c r="D871" s="93"/>
      <c r="E871" s="94"/>
      <c r="F871" s="95"/>
      <c r="G871" s="96"/>
    </row>
    <row r="872" ht="14.25" customHeight="1" spans="4:7">
      <c r="D872" s="93"/>
      <c r="E872" s="94"/>
      <c r="F872" s="95"/>
      <c r="G872" s="96"/>
    </row>
    <row r="873" ht="14.25" customHeight="1" spans="4:7">
      <c r="D873" s="93"/>
      <c r="E873" s="94"/>
      <c r="F873" s="95"/>
      <c r="G873" s="96"/>
    </row>
    <row r="874" ht="14.25" customHeight="1" spans="4:7">
      <c r="D874" s="93"/>
      <c r="E874" s="94"/>
      <c r="F874" s="95"/>
      <c r="G874" s="96"/>
    </row>
    <row r="875" ht="14.25" customHeight="1" spans="4:7">
      <c r="D875" s="93"/>
      <c r="E875" s="94"/>
      <c r="F875" s="95"/>
      <c r="G875" s="96"/>
    </row>
    <row r="876" ht="14.25" customHeight="1" spans="4:7">
      <c r="D876" s="93"/>
      <c r="E876" s="94"/>
      <c r="F876" s="95"/>
      <c r="G876" s="96"/>
    </row>
    <row r="877" ht="14.25" customHeight="1" spans="4:7">
      <c r="D877" s="93"/>
      <c r="E877" s="94"/>
      <c r="F877" s="95"/>
      <c r="G877" s="96"/>
    </row>
    <row r="878" ht="14.25" customHeight="1" spans="4:7">
      <c r="D878" s="93"/>
      <c r="E878" s="94"/>
      <c r="F878" s="95"/>
      <c r="G878" s="96"/>
    </row>
    <row r="879" ht="14.25" customHeight="1" spans="4:7">
      <c r="D879" s="93"/>
      <c r="E879" s="94"/>
      <c r="F879" s="95"/>
      <c r="G879" s="96"/>
    </row>
    <row r="880" ht="14.25" customHeight="1" spans="4:7">
      <c r="D880" s="93"/>
      <c r="E880" s="94"/>
      <c r="F880" s="95"/>
      <c r="G880" s="96"/>
    </row>
    <row r="881" ht="14.25" customHeight="1" spans="4:7">
      <c r="D881" s="93"/>
      <c r="E881" s="94"/>
      <c r="F881" s="95"/>
      <c r="G881" s="96"/>
    </row>
    <row r="882" ht="14.25" customHeight="1" spans="4:7">
      <c r="D882" s="93"/>
      <c r="E882" s="94"/>
      <c r="F882" s="95"/>
      <c r="G882" s="96"/>
    </row>
    <row r="883" ht="14.25" customHeight="1" spans="4:7">
      <c r="D883" s="93"/>
      <c r="E883" s="94"/>
      <c r="F883" s="95"/>
      <c r="G883" s="96"/>
    </row>
    <row r="884" ht="14.25" customHeight="1" spans="4:7">
      <c r="D884" s="93"/>
      <c r="E884" s="94"/>
      <c r="F884" s="95"/>
      <c r="G884" s="96"/>
    </row>
    <row r="885" ht="14.25" customHeight="1" spans="4:7">
      <c r="D885" s="93"/>
      <c r="E885" s="94"/>
      <c r="F885" s="95"/>
      <c r="G885" s="96"/>
    </row>
    <row r="886" ht="14.25" customHeight="1" spans="4:7">
      <c r="D886" s="93"/>
      <c r="E886" s="94"/>
      <c r="F886" s="95"/>
      <c r="G886" s="96"/>
    </row>
    <row r="887" ht="14.25" customHeight="1" spans="4:7">
      <c r="D887" s="93"/>
      <c r="E887" s="94"/>
      <c r="F887" s="95"/>
      <c r="G887" s="96"/>
    </row>
    <row r="888" ht="14.25" customHeight="1" spans="4:7">
      <c r="D888" s="93"/>
      <c r="E888" s="94"/>
      <c r="F888" s="95"/>
      <c r="G888" s="96"/>
    </row>
    <row r="889" ht="14.25" customHeight="1" spans="4:7">
      <c r="D889" s="93"/>
      <c r="E889" s="94"/>
      <c r="F889" s="95"/>
      <c r="G889" s="96"/>
    </row>
    <row r="890" ht="14.25" customHeight="1" spans="4:7">
      <c r="D890" s="93"/>
      <c r="E890" s="94"/>
      <c r="F890" s="95"/>
      <c r="G890" s="96"/>
    </row>
    <row r="891" ht="14.25" customHeight="1" spans="4:7">
      <c r="D891" s="93"/>
      <c r="E891" s="94"/>
      <c r="F891" s="95"/>
      <c r="G891" s="96"/>
    </row>
    <row r="892" ht="14.25" customHeight="1" spans="4:7">
      <c r="D892" s="93"/>
      <c r="E892" s="94"/>
      <c r="F892" s="95"/>
      <c r="G892" s="96"/>
    </row>
    <row r="893" ht="14.25" customHeight="1" spans="4:7">
      <c r="D893" s="93"/>
      <c r="E893" s="94"/>
      <c r="F893" s="95"/>
      <c r="G893" s="96"/>
    </row>
    <row r="894" ht="14.25" customHeight="1" spans="4:7">
      <c r="D894" s="93"/>
      <c r="E894" s="94"/>
      <c r="F894" s="95"/>
      <c r="G894" s="96"/>
    </row>
    <row r="895" ht="14.25" customHeight="1" spans="4:7">
      <c r="D895" s="93"/>
      <c r="E895" s="94"/>
      <c r="F895" s="95"/>
      <c r="G895" s="96"/>
    </row>
    <row r="896" ht="14.25" customHeight="1" spans="4:7">
      <c r="D896" s="93"/>
      <c r="E896" s="94"/>
      <c r="F896" s="95"/>
      <c r="G896" s="96"/>
    </row>
    <row r="897" ht="14.25" customHeight="1" spans="4:7">
      <c r="D897" s="93"/>
      <c r="E897" s="94"/>
      <c r="F897" s="95"/>
      <c r="G897" s="96"/>
    </row>
    <row r="898" ht="14.25" customHeight="1" spans="4:7">
      <c r="D898" s="93"/>
      <c r="E898" s="94"/>
      <c r="F898" s="95"/>
      <c r="G898" s="96"/>
    </row>
    <row r="899" ht="14.25" customHeight="1" spans="4:7">
      <c r="D899" s="93"/>
      <c r="E899" s="94"/>
      <c r="F899" s="95"/>
      <c r="G899" s="96"/>
    </row>
    <row r="900" ht="14.25" customHeight="1" spans="4:7">
      <c r="D900" s="93"/>
      <c r="E900" s="94"/>
      <c r="F900" s="95"/>
      <c r="G900" s="96"/>
    </row>
    <row r="901" ht="14.25" customHeight="1" spans="4:7">
      <c r="D901" s="93"/>
      <c r="E901" s="94"/>
      <c r="F901" s="95"/>
      <c r="G901" s="96"/>
    </row>
    <row r="902" ht="14.25" customHeight="1" spans="4:7">
      <c r="D902" s="93"/>
      <c r="E902" s="94"/>
      <c r="F902" s="95"/>
      <c r="G902" s="96"/>
    </row>
    <row r="903" ht="14.25" customHeight="1" spans="4:7">
      <c r="D903" s="93"/>
      <c r="E903" s="94"/>
      <c r="F903" s="95"/>
      <c r="G903" s="96"/>
    </row>
    <row r="904" ht="14.25" customHeight="1" spans="4:7">
      <c r="D904" s="93"/>
      <c r="E904" s="94"/>
      <c r="F904" s="95"/>
      <c r="G904" s="96"/>
    </row>
    <row r="905" ht="14.25" customHeight="1" spans="4:7">
      <c r="D905" s="93"/>
      <c r="E905" s="94"/>
      <c r="F905" s="95"/>
      <c r="G905" s="96"/>
    </row>
    <row r="906" ht="14.25" customHeight="1" spans="4:7">
      <c r="D906" s="93"/>
      <c r="E906" s="94"/>
      <c r="F906" s="95"/>
      <c r="G906" s="96"/>
    </row>
    <row r="907" ht="14.25" customHeight="1" spans="4:7">
      <c r="D907" s="93"/>
      <c r="E907" s="94"/>
      <c r="F907" s="95"/>
      <c r="G907" s="96"/>
    </row>
    <row r="908" ht="14.25" customHeight="1" spans="4:7">
      <c r="D908" s="93"/>
      <c r="E908" s="94"/>
      <c r="F908" s="95"/>
      <c r="G908" s="96"/>
    </row>
    <row r="909" ht="14.25" customHeight="1" spans="4:7">
      <c r="D909" s="93"/>
      <c r="E909" s="94"/>
      <c r="F909" s="95"/>
      <c r="G909" s="96"/>
    </row>
    <row r="910" ht="14.25" customHeight="1" spans="4:7">
      <c r="D910" s="93"/>
      <c r="E910" s="94"/>
      <c r="F910" s="95"/>
      <c r="G910" s="96"/>
    </row>
    <row r="911" ht="14.25" customHeight="1" spans="4:7">
      <c r="D911" s="93"/>
      <c r="E911" s="94"/>
      <c r="F911" s="95"/>
      <c r="G911" s="96"/>
    </row>
    <row r="912" ht="14.25" customHeight="1" spans="4:7">
      <c r="D912" s="93"/>
      <c r="E912" s="94"/>
      <c r="F912" s="95"/>
      <c r="G912" s="96"/>
    </row>
    <row r="913" ht="14.25" customHeight="1" spans="4:7">
      <c r="D913" s="93"/>
      <c r="E913" s="94"/>
      <c r="F913" s="95"/>
      <c r="G913" s="96"/>
    </row>
    <row r="914" ht="14.25" customHeight="1" spans="4:7">
      <c r="D914" s="93"/>
      <c r="E914" s="94"/>
      <c r="F914" s="95"/>
      <c r="G914" s="96"/>
    </row>
    <row r="915" ht="14.25" customHeight="1" spans="4:7">
      <c r="D915" s="93"/>
      <c r="E915" s="94"/>
      <c r="F915" s="95"/>
      <c r="G915" s="96"/>
    </row>
    <row r="916" ht="14.25" customHeight="1" spans="4:7">
      <c r="D916" s="93"/>
      <c r="E916" s="94"/>
      <c r="F916" s="95"/>
      <c r="G916" s="96"/>
    </row>
    <row r="917" ht="14.25" customHeight="1" spans="4:7">
      <c r="D917" s="93"/>
      <c r="E917" s="94"/>
      <c r="F917" s="95"/>
      <c r="G917" s="96"/>
    </row>
    <row r="918" ht="14.25" customHeight="1" spans="4:7">
      <c r="D918" s="93"/>
      <c r="E918" s="94"/>
      <c r="F918" s="95"/>
      <c r="G918" s="96"/>
    </row>
    <row r="919" ht="14.25" customHeight="1" spans="4:7">
      <c r="D919" s="93"/>
      <c r="E919" s="94"/>
      <c r="F919" s="95"/>
      <c r="G919" s="96"/>
    </row>
    <row r="920" ht="14.25" customHeight="1" spans="4:7">
      <c r="D920" s="93"/>
      <c r="E920" s="94"/>
      <c r="F920" s="95"/>
      <c r="G920" s="96"/>
    </row>
    <row r="921" ht="14.25" customHeight="1" spans="4:7">
      <c r="D921" s="93"/>
      <c r="E921" s="94"/>
      <c r="F921" s="95"/>
      <c r="G921" s="96"/>
    </row>
    <row r="922" ht="14.25" customHeight="1" spans="4:7">
      <c r="D922" s="93"/>
      <c r="E922" s="94"/>
      <c r="F922" s="95"/>
      <c r="G922" s="96"/>
    </row>
    <row r="923" ht="14.25" customHeight="1" spans="4:7">
      <c r="D923" s="93"/>
      <c r="E923" s="94"/>
      <c r="F923" s="95"/>
      <c r="G923" s="96"/>
    </row>
    <row r="924" ht="14.25" customHeight="1" spans="4:7">
      <c r="D924" s="93"/>
      <c r="E924" s="94"/>
      <c r="F924" s="95"/>
      <c r="G924" s="96"/>
    </row>
    <row r="925" ht="14.25" customHeight="1" spans="4:7">
      <c r="D925" s="93"/>
      <c r="E925" s="94"/>
      <c r="F925" s="95"/>
      <c r="G925" s="96"/>
    </row>
    <row r="926" ht="14.25" customHeight="1" spans="4:7">
      <c r="D926" s="93"/>
      <c r="E926" s="94"/>
      <c r="F926" s="95"/>
      <c r="G926" s="96"/>
    </row>
    <row r="927" ht="14.25" customHeight="1" spans="4:7">
      <c r="D927" s="93"/>
      <c r="E927" s="94"/>
      <c r="F927" s="95"/>
      <c r="G927" s="96"/>
    </row>
    <row r="928" ht="14.25" customHeight="1" spans="4:7">
      <c r="D928" s="93"/>
      <c r="E928" s="94"/>
      <c r="F928" s="95"/>
      <c r="G928" s="96"/>
    </row>
    <row r="929" ht="14.25" customHeight="1" spans="4:7">
      <c r="D929" s="93"/>
      <c r="E929" s="94"/>
      <c r="F929" s="95"/>
      <c r="G929" s="96"/>
    </row>
    <row r="930" ht="14.25" customHeight="1" spans="4:7">
      <c r="D930" s="93"/>
      <c r="E930" s="94"/>
      <c r="F930" s="95"/>
      <c r="G930" s="96"/>
    </row>
    <row r="931" ht="14.25" customHeight="1" spans="4:7">
      <c r="D931" s="93"/>
      <c r="E931" s="94"/>
      <c r="F931" s="95"/>
      <c r="G931" s="96"/>
    </row>
    <row r="932" ht="14.25" customHeight="1" spans="4:7">
      <c r="D932" s="93"/>
      <c r="E932" s="94"/>
      <c r="F932" s="95"/>
      <c r="G932" s="96"/>
    </row>
    <row r="933" ht="14.25" customHeight="1" spans="4:7">
      <c r="D933" s="93"/>
      <c r="E933" s="94"/>
      <c r="F933" s="95"/>
      <c r="G933" s="96"/>
    </row>
    <row r="934" ht="14.25" customHeight="1" spans="4:7">
      <c r="D934" s="93"/>
      <c r="E934" s="94"/>
      <c r="F934" s="95"/>
      <c r="G934" s="96"/>
    </row>
    <row r="935" ht="14.25" customHeight="1" spans="4:7">
      <c r="D935" s="93"/>
      <c r="E935" s="94"/>
      <c r="F935" s="95"/>
      <c r="G935" s="96"/>
    </row>
    <row r="936" ht="14.25" customHeight="1" spans="4:7">
      <c r="D936" s="93"/>
      <c r="E936" s="94"/>
      <c r="F936" s="95"/>
      <c r="G936" s="96"/>
    </row>
    <row r="937" ht="14.25" customHeight="1" spans="4:7">
      <c r="D937" s="93"/>
      <c r="E937" s="94"/>
      <c r="F937" s="95"/>
      <c r="G937" s="96"/>
    </row>
    <row r="938" ht="14.25" customHeight="1" spans="4:7">
      <c r="D938" s="93"/>
      <c r="E938" s="94"/>
      <c r="F938" s="95"/>
      <c r="G938" s="96"/>
    </row>
    <row r="939" ht="14.25" customHeight="1" spans="4:7">
      <c r="D939" s="93"/>
      <c r="E939" s="94"/>
      <c r="F939" s="95"/>
      <c r="G939" s="96"/>
    </row>
    <row r="940" ht="14.25" customHeight="1" spans="4:7">
      <c r="D940" s="93"/>
      <c r="E940" s="94"/>
      <c r="F940" s="95"/>
      <c r="G940" s="96"/>
    </row>
    <row r="941" ht="14.25" customHeight="1" spans="4:7">
      <c r="D941" s="93"/>
      <c r="E941" s="94"/>
      <c r="F941" s="95"/>
      <c r="G941" s="96"/>
    </row>
    <row r="942" ht="14.25" customHeight="1" spans="4:7">
      <c r="D942" s="93"/>
      <c r="E942" s="94"/>
      <c r="F942" s="95"/>
      <c r="G942" s="96"/>
    </row>
    <row r="943" ht="14.25" customHeight="1" spans="4:7">
      <c r="D943" s="93"/>
      <c r="E943" s="94"/>
      <c r="F943" s="95"/>
      <c r="G943" s="96"/>
    </row>
    <row r="944" ht="14.25" customHeight="1" spans="4:7">
      <c r="D944" s="93"/>
      <c r="E944" s="94"/>
      <c r="F944" s="95"/>
      <c r="G944" s="96"/>
    </row>
    <row r="945" ht="14.25" customHeight="1" spans="4:7">
      <c r="D945" s="93"/>
      <c r="E945" s="94"/>
      <c r="F945" s="95"/>
      <c r="G945" s="96"/>
    </row>
    <row r="946" ht="14.25" customHeight="1" spans="4:7">
      <c r="D946" s="93"/>
      <c r="E946" s="94"/>
      <c r="F946" s="95"/>
      <c r="G946" s="96"/>
    </row>
    <row r="947" ht="14.25" customHeight="1" spans="4:7">
      <c r="D947" s="93"/>
      <c r="E947" s="94"/>
      <c r="F947" s="95"/>
      <c r="G947" s="96"/>
    </row>
    <row r="948" ht="14.25" customHeight="1" spans="4:7">
      <c r="D948" s="93"/>
      <c r="E948" s="94"/>
      <c r="F948" s="95"/>
      <c r="G948" s="96"/>
    </row>
    <row r="949" ht="14.25" customHeight="1" spans="4:7">
      <c r="D949" s="93"/>
      <c r="E949" s="94"/>
      <c r="F949" s="95"/>
      <c r="G949" s="96"/>
    </row>
    <row r="950" ht="14.25" customHeight="1" spans="4:7">
      <c r="D950" s="93"/>
      <c r="E950" s="94"/>
      <c r="F950" s="95"/>
      <c r="G950" s="96"/>
    </row>
    <row r="951" ht="14.25" customHeight="1" spans="4:7">
      <c r="D951" s="93"/>
      <c r="E951" s="94"/>
      <c r="F951" s="95"/>
      <c r="G951" s="96"/>
    </row>
    <row r="952" ht="14.25" customHeight="1" spans="4:7">
      <c r="D952" s="93"/>
      <c r="E952" s="94"/>
      <c r="F952" s="95"/>
      <c r="G952" s="96"/>
    </row>
    <row r="953" ht="14.25" customHeight="1" spans="4:7">
      <c r="D953" s="93"/>
      <c r="E953" s="94"/>
      <c r="F953" s="95"/>
      <c r="G953" s="96"/>
    </row>
    <row r="954" ht="14.25" customHeight="1" spans="4:7">
      <c r="D954" s="93"/>
      <c r="E954" s="94"/>
      <c r="F954" s="95"/>
      <c r="G954" s="96"/>
    </row>
    <row r="955" ht="14.25" customHeight="1" spans="4:7">
      <c r="D955" s="93"/>
      <c r="E955" s="94"/>
      <c r="F955" s="95"/>
      <c r="G955" s="96"/>
    </row>
    <row r="956" ht="14.25" customHeight="1" spans="4:7">
      <c r="D956" s="93"/>
      <c r="E956" s="94"/>
      <c r="F956" s="95"/>
      <c r="G956" s="96"/>
    </row>
    <row r="957" ht="14.25" customHeight="1" spans="4:7">
      <c r="D957" s="93"/>
      <c r="E957" s="94"/>
      <c r="F957" s="95"/>
      <c r="G957" s="96"/>
    </row>
    <row r="958" ht="14.25" customHeight="1" spans="4:7">
      <c r="D958" s="93"/>
      <c r="E958" s="94"/>
      <c r="F958" s="95"/>
      <c r="G958" s="96"/>
    </row>
    <row r="959" ht="14.25" customHeight="1" spans="4:7">
      <c r="D959" s="93"/>
      <c r="E959" s="94"/>
      <c r="F959" s="95"/>
      <c r="G959" s="96"/>
    </row>
    <row r="960" ht="14.25" customHeight="1" spans="4:7">
      <c r="D960" s="93"/>
      <c r="E960" s="94"/>
      <c r="F960" s="95"/>
      <c r="G960" s="96"/>
    </row>
    <row r="961" ht="14.25" customHeight="1" spans="4:7">
      <c r="D961" s="93"/>
      <c r="E961" s="94"/>
      <c r="F961" s="95"/>
      <c r="G961" s="96"/>
    </row>
    <row r="962" ht="14.25" customHeight="1" spans="4:7">
      <c r="D962" s="93"/>
      <c r="E962" s="94"/>
      <c r="F962" s="95"/>
      <c r="G962" s="96"/>
    </row>
    <row r="963" ht="14.25" customHeight="1" spans="4:7">
      <c r="D963" s="93"/>
      <c r="E963" s="94"/>
      <c r="F963" s="95"/>
      <c r="G963" s="96"/>
    </row>
    <row r="964" ht="14.25" customHeight="1" spans="4:7">
      <c r="D964" s="93"/>
      <c r="E964" s="94"/>
      <c r="F964" s="95"/>
      <c r="G964" s="96"/>
    </row>
    <row r="965" ht="14.25" customHeight="1" spans="4:7">
      <c r="D965" s="93"/>
      <c r="E965" s="94"/>
      <c r="F965" s="95"/>
      <c r="G965" s="96"/>
    </row>
    <row r="966" ht="14.25" customHeight="1" spans="4:7">
      <c r="D966" s="93"/>
      <c r="E966" s="94"/>
      <c r="F966" s="95"/>
      <c r="G966" s="96"/>
    </row>
    <row r="967" ht="14.25" customHeight="1" spans="4:7">
      <c r="D967" s="93"/>
      <c r="E967" s="94"/>
      <c r="F967" s="95"/>
      <c r="G967" s="96"/>
    </row>
    <row r="968" ht="14.25" customHeight="1" spans="4:7">
      <c r="D968" s="93"/>
      <c r="E968" s="94"/>
      <c r="F968" s="95"/>
      <c r="G968" s="96"/>
    </row>
    <row r="969" ht="14.25" customHeight="1" spans="4:7">
      <c r="D969" s="93"/>
      <c r="E969" s="94"/>
      <c r="F969" s="95"/>
      <c r="G969" s="96"/>
    </row>
    <row r="970" ht="14.25" customHeight="1" spans="4:7">
      <c r="D970" s="93"/>
      <c r="E970" s="94"/>
      <c r="F970" s="95"/>
      <c r="G970" s="96"/>
    </row>
    <row r="971" ht="14.25" customHeight="1" spans="4:7">
      <c r="D971" s="93"/>
      <c r="E971" s="94"/>
      <c r="F971" s="95"/>
      <c r="G971" s="96"/>
    </row>
    <row r="972" ht="14.25" customHeight="1" spans="4:7">
      <c r="D972" s="93"/>
      <c r="E972" s="94"/>
      <c r="F972" s="95"/>
      <c r="G972" s="96"/>
    </row>
    <row r="973" ht="14.25" customHeight="1" spans="4:7">
      <c r="D973" s="93"/>
      <c r="E973" s="94"/>
      <c r="F973" s="95"/>
      <c r="G973" s="96"/>
    </row>
    <row r="974" ht="14.25" customHeight="1" spans="4:7">
      <c r="D974" s="93"/>
      <c r="E974" s="94"/>
      <c r="F974" s="95"/>
      <c r="G974" s="96"/>
    </row>
    <row r="975" ht="14.25" customHeight="1" spans="4:7">
      <c r="D975" s="93"/>
      <c r="E975" s="94"/>
      <c r="F975" s="95"/>
      <c r="G975" s="96"/>
    </row>
    <row r="976" ht="14.25" customHeight="1" spans="4:7">
      <c r="D976" s="93"/>
      <c r="E976" s="94"/>
      <c r="F976" s="95"/>
      <c r="G976" s="96"/>
    </row>
    <row r="977" ht="14.25" customHeight="1" spans="4:7">
      <c r="D977" s="93"/>
      <c r="E977" s="94"/>
      <c r="F977" s="95"/>
      <c r="G977" s="96"/>
    </row>
    <row r="978" ht="14.25" customHeight="1" spans="4:7">
      <c r="D978" s="93"/>
      <c r="E978" s="94"/>
      <c r="F978" s="95"/>
      <c r="G978" s="96"/>
    </row>
    <row r="979" ht="14.25" customHeight="1" spans="4:7">
      <c r="D979" s="93"/>
      <c r="E979" s="94"/>
      <c r="F979" s="95"/>
      <c r="G979" s="96"/>
    </row>
    <row r="980" ht="14.25" customHeight="1" spans="4:7">
      <c r="D980" s="93"/>
      <c r="E980" s="94"/>
      <c r="F980" s="95"/>
      <c r="G980" s="96"/>
    </row>
    <row r="981" ht="14.25" customHeight="1" spans="4:7">
      <c r="D981" s="93"/>
      <c r="E981" s="94"/>
      <c r="F981" s="95"/>
      <c r="G981" s="96"/>
    </row>
    <row r="982" ht="14.25" customHeight="1" spans="4:7">
      <c r="D982" s="93"/>
      <c r="E982" s="94"/>
      <c r="F982" s="95"/>
      <c r="G982" s="96"/>
    </row>
    <row r="983" ht="14.25" customHeight="1" spans="4:7">
      <c r="D983" s="93"/>
      <c r="E983" s="94"/>
      <c r="F983" s="95"/>
      <c r="G983" s="96"/>
    </row>
    <row r="984" ht="14.25" customHeight="1" spans="4:7">
      <c r="D984" s="93"/>
      <c r="E984" s="94"/>
      <c r="F984" s="95"/>
      <c r="G984" s="96"/>
    </row>
    <row r="985" ht="14.25" customHeight="1" spans="4:7">
      <c r="D985" s="93"/>
      <c r="E985" s="94"/>
      <c r="F985" s="95"/>
      <c r="G985" s="96"/>
    </row>
    <row r="986" ht="14.25" customHeight="1" spans="4:7">
      <c r="D986" s="93"/>
      <c r="E986" s="94"/>
      <c r="F986" s="95"/>
      <c r="G986" s="96"/>
    </row>
    <row r="987" ht="14.25" customHeight="1" spans="4:7">
      <c r="D987" s="93"/>
      <c r="E987" s="94"/>
      <c r="F987" s="95"/>
      <c r="G987" s="96"/>
    </row>
    <row r="988" ht="14.25" customHeight="1" spans="4:7">
      <c r="D988" s="93"/>
      <c r="E988" s="94"/>
      <c r="F988" s="95"/>
      <c r="G988" s="96"/>
    </row>
    <row r="989" ht="14.25" customHeight="1" spans="4:7">
      <c r="D989" s="93"/>
      <c r="E989" s="94"/>
      <c r="F989" s="95"/>
      <c r="G989" s="96"/>
    </row>
    <row r="990" ht="14.25" customHeight="1" spans="4:7">
      <c r="D990" s="93"/>
      <c r="E990" s="94"/>
      <c r="F990" s="95"/>
      <c r="G990" s="96"/>
    </row>
    <row r="991" ht="14.25" customHeight="1" spans="4:7">
      <c r="D991" s="93"/>
      <c r="E991" s="94"/>
      <c r="F991" s="95"/>
      <c r="G991" s="96"/>
    </row>
    <row r="992" ht="14.25" customHeight="1" spans="4:7">
      <c r="D992" s="93"/>
      <c r="E992" s="94"/>
      <c r="F992" s="95"/>
      <c r="G992" s="96"/>
    </row>
    <row r="993" ht="14.25" customHeight="1" spans="4:7">
      <c r="D993" s="93"/>
      <c r="E993" s="94"/>
      <c r="F993" s="95"/>
      <c r="G993" s="96"/>
    </row>
    <row r="994" ht="14.25" customHeight="1" spans="4:7">
      <c r="D994" s="93"/>
      <c r="E994" s="94"/>
      <c r="F994" s="95"/>
      <c r="G994" s="96"/>
    </row>
    <row r="995" ht="14.25" customHeight="1" spans="4:7">
      <c r="D995" s="93"/>
      <c r="E995" s="94"/>
      <c r="F995" s="95"/>
      <c r="G995" s="96"/>
    </row>
    <row r="996" ht="14.25" customHeight="1" spans="4:7">
      <c r="D996" s="93"/>
      <c r="E996" s="94"/>
      <c r="F996" s="95"/>
      <c r="G996" s="96"/>
    </row>
    <row r="997" ht="14.25" customHeight="1" spans="4:7">
      <c r="D997" s="93"/>
      <c r="E997" s="94"/>
      <c r="F997" s="95"/>
      <c r="G997" s="96"/>
    </row>
    <row r="998" ht="14.25" customHeight="1" spans="4:7">
      <c r="D998" s="93"/>
      <c r="E998" s="94"/>
      <c r="F998" s="95"/>
      <c r="G998" s="96"/>
    </row>
    <row r="999" ht="14.25" customHeight="1" spans="4:7">
      <c r="D999" s="93"/>
      <c r="E999" s="94"/>
      <c r="F999" s="95"/>
      <c r="G999" s="96"/>
    </row>
    <row r="1000" ht="14.25" customHeight="1" spans="4:7">
      <c r="D1000" s="93"/>
      <c r="E1000" s="94"/>
      <c r="F1000" s="95"/>
      <c r="G1000" s="96"/>
    </row>
    <row r="1001" ht="14.25" customHeight="1" spans="4:7">
      <c r="D1001" s="93"/>
      <c r="E1001" s="94"/>
      <c r="F1001" s="95"/>
      <c r="G1001" s="96"/>
    </row>
    <row r="1002" ht="14.25" customHeight="1" spans="4:7">
      <c r="D1002" s="93"/>
      <c r="E1002" s="94"/>
      <c r="F1002" s="95"/>
      <c r="G1002" s="96"/>
    </row>
    <row r="1003" ht="14.25" customHeight="1" spans="4:7">
      <c r="D1003" s="93"/>
      <c r="E1003" s="94"/>
      <c r="F1003" s="95"/>
      <c r="G1003" s="96"/>
    </row>
    <row r="1004" ht="14.25" customHeight="1" spans="4:7">
      <c r="D1004" s="93"/>
      <c r="E1004" s="94"/>
      <c r="F1004" s="95"/>
      <c r="G1004" s="96"/>
    </row>
    <row r="1005" ht="14.25" customHeight="1" spans="4:7">
      <c r="D1005" s="93"/>
      <c r="E1005" s="94"/>
      <c r="F1005" s="95"/>
      <c r="G1005" s="96"/>
    </row>
    <row r="1006" ht="14.25" customHeight="1" spans="4:7">
      <c r="D1006" s="93"/>
      <c r="E1006" s="94"/>
      <c r="F1006" s="95"/>
      <c r="G1006" s="96"/>
    </row>
    <row r="1007" ht="14.25" customHeight="1" spans="4:7">
      <c r="D1007" s="93"/>
      <c r="E1007" s="94"/>
      <c r="F1007" s="95"/>
      <c r="G1007" s="96"/>
    </row>
    <row r="1008" ht="14.25" customHeight="1" spans="4:7">
      <c r="D1008" s="93"/>
      <c r="E1008" s="94"/>
      <c r="F1008" s="95"/>
      <c r="G1008" s="96"/>
    </row>
    <row r="1009" ht="14.25" customHeight="1"/>
    <row r="1010" ht="14.25" customHeight="1"/>
  </sheetData>
  <mergeCells count="13">
    <mergeCell ref="D1:G1"/>
    <mergeCell ref="H1:K1"/>
    <mergeCell ref="L1:O1"/>
    <mergeCell ref="D4:O4"/>
    <mergeCell ref="A13:O13"/>
    <mergeCell ref="A22:O22"/>
    <mergeCell ref="D43:G43"/>
    <mergeCell ref="H43:K43"/>
    <mergeCell ref="L43:O43"/>
    <mergeCell ref="A5:A12"/>
    <mergeCell ref="A14:A21"/>
    <mergeCell ref="A23:A31"/>
    <mergeCell ref="A1:B3"/>
  </mergeCells>
  <pageMargins left="0.7" right="0.7" top="0.75" bottom="0.75" header="0" footer="0"/>
  <pageSetup paperSize="1" orientation="portrait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010"/>
  <sheetViews>
    <sheetView topLeftCell="A25" workbookViewId="0">
      <selection activeCell="C4" sqref="C4"/>
    </sheetView>
  </sheetViews>
  <sheetFormatPr defaultColWidth="14.4285714285714" defaultRowHeight="15" customHeight="1"/>
  <cols>
    <col min="1" max="2" width="10.7142857142857" customWidth="1"/>
    <col min="3" max="3" width="55.2857142857143" customWidth="1"/>
    <col min="4" max="30" width="9.42857142857143" customWidth="1"/>
  </cols>
  <sheetData>
    <row r="1" ht="14.25" customHeight="1" spans="1:30">
      <c r="A1" s="17"/>
      <c r="B1" s="18"/>
      <c r="C1" s="19" t="s">
        <v>0</v>
      </c>
      <c r="D1" s="20">
        <v>2022</v>
      </c>
      <c r="E1" s="3"/>
      <c r="F1" s="3"/>
      <c r="G1" s="4"/>
      <c r="H1" s="20">
        <v>2023</v>
      </c>
      <c r="I1" s="3"/>
      <c r="J1" s="3"/>
      <c r="K1" s="4"/>
      <c r="L1" s="20">
        <v>2024</v>
      </c>
      <c r="M1" s="3"/>
      <c r="N1" s="3"/>
      <c r="O1" s="4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</row>
    <row r="2" ht="14.25" customHeight="1" spans="1:30">
      <c r="A2" s="21"/>
      <c r="B2" s="22"/>
      <c r="C2" s="19" t="s">
        <v>1</v>
      </c>
      <c r="D2" s="23" t="s">
        <v>2</v>
      </c>
      <c r="E2" s="24" t="s">
        <v>3</v>
      </c>
      <c r="F2" s="25" t="s">
        <v>4</v>
      </c>
      <c r="G2" s="26" t="s">
        <v>5</v>
      </c>
      <c r="H2" s="23" t="s">
        <v>2</v>
      </c>
      <c r="I2" s="24" t="s">
        <v>3</v>
      </c>
      <c r="J2" s="25" t="s">
        <v>4</v>
      </c>
      <c r="K2" s="26" t="s">
        <v>5</v>
      </c>
      <c r="L2" s="23" t="s">
        <v>2</v>
      </c>
      <c r="M2" s="24" t="s">
        <v>3</v>
      </c>
      <c r="N2" s="25" t="s">
        <v>4</v>
      </c>
      <c r="O2" s="26" t="s">
        <v>5</v>
      </c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</row>
    <row r="3" ht="14.25" customHeight="1" spans="1:30">
      <c r="A3" s="27"/>
      <c r="B3" s="28"/>
      <c r="C3" s="29" t="s">
        <v>6</v>
      </c>
      <c r="D3" s="30" t="s">
        <v>59</v>
      </c>
      <c r="E3" s="31" t="s">
        <v>59</v>
      </c>
      <c r="F3" s="32">
        <v>44901</v>
      </c>
      <c r="G3" s="33">
        <v>44967</v>
      </c>
      <c r="H3" s="34">
        <v>45097</v>
      </c>
      <c r="I3" s="82">
        <v>45147</v>
      </c>
      <c r="J3" s="83">
        <v>45279</v>
      </c>
      <c r="K3" s="33">
        <v>45363</v>
      </c>
      <c r="L3" s="34">
        <v>45408</v>
      </c>
      <c r="M3" s="31"/>
      <c r="N3" s="84"/>
      <c r="O3" s="85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</row>
    <row r="4" ht="14.25" customHeight="1" spans="1:30">
      <c r="A4" s="35" t="s">
        <v>7</v>
      </c>
      <c r="B4" s="35" t="s">
        <v>8</v>
      </c>
      <c r="C4" s="35" t="s">
        <v>9</v>
      </c>
      <c r="D4" s="36"/>
      <c r="E4" s="3"/>
      <c r="F4" s="3"/>
      <c r="G4" s="3"/>
      <c r="H4" s="3"/>
      <c r="I4" s="3"/>
      <c r="J4" s="3"/>
      <c r="K4" s="3"/>
      <c r="L4" s="3"/>
      <c r="M4" s="3"/>
      <c r="N4" s="3"/>
      <c r="O4" s="4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</row>
    <row r="5" ht="23.25" customHeight="1" spans="1:30">
      <c r="A5" s="37" t="s">
        <v>10</v>
      </c>
      <c r="B5" s="38" t="s">
        <v>11</v>
      </c>
      <c r="C5" s="38" t="s">
        <v>12</v>
      </c>
      <c r="D5" s="39" t="s">
        <v>59</v>
      </c>
      <c r="E5" s="40" t="s">
        <v>59</v>
      </c>
      <c r="F5" s="41">
        <v>0</v>
      </c>
      <c r="G5" s="42">
        <v>0</v>
      </c>
      <c r="H5" s="39">
        <v>0</v>
      </c>
      <c r="I5" s="40">
        <v>0</v>
      </c>
      <c r="J5" s="41">
        <v>0</v>
      </c>
      <c r="K5" s="42">
        <v>0</v>
      </c>
      <c r="L5" s="39">
        <v>0</v>
      </c>
      <c r="M5" s="40"/>
      <c r="N5" s="41"/>
      <c r="O5" s="42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</row>
    <row r="6" ht="22.5" customHeight="1" spans="1:30">
      <c r="A6" s="43"/>
      <c r="B6" s="44" t="s">
        <v>13</v>
      </c>
      <c r="C6" s="44" t="s">
        <v>14</v>
      </c>
      <c r="D6" s="6" t="s">
        <v>59</v>
      </c>
      <c r="E6" s="7" t="s">
        <v>59</v>
      </c>
      <c r="F6" s="25">
        <v>0</v>
      </c>
      <c r="G6" s="26">
        <v>0</v>
      </c>
      <c r="H6" s="6">
        <v>0</v>
      </c>
      <c r="I6" s="7">
        <v>0</v>
      </c>
      <c r="J6" s="25">
        <v>0</v>
      </c>
      <c r="K6" s="26">
        <v>0</v>
      </c>
      <c r="L6" s="6">
        <v>0</v>
      </c>
      <c r="M6" s="7"/>
      <c r="N6" s="25"/>
      <c r="O6" s="26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</row>
    <row r="7" ht="22.5" customHeight="1" spans="1:30">
      <c r="A7" s="43"/>
      <c r="B7" s="38" t="s">
        <v>15</v>
      </c>
      <c r="C7" s="38" t="s">
        <v>16</v>
      </c>
      <c r="D7" s="39" t="s">
        <v>59</v>
      </c>
      <c r="E7" s="40" t="s">
        <v>59</v>
      </c>
      <c r="F7" s="41">
        <v>2</v>
      </c>
      <c r="G7" s="42">
        <v>3</v>
      </c>
      <c r="H7" s="39">
        <v>1</v>
      </c>
      <c r="I7" s="40">
        <v>6</v>
      </c>
      <c r="J7" s="41">
        <v>0</v>
      </c>
      <c r="K7" s="42">
        <v>0</v>
      </c>
      <c r="L7" s="39">
        <v>0</v>
      </c>
      <c r="M7" s="40"/>
      <c r="N7" s="41"/>
      <c r="O7" s="42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</row>
    <row r="8" ht="22.5" customHeight="1" spans="1:30">
      <c r="A8" s="43"/>
      <c r="B8" s="44" t="s">
        <v>17</v>
      </c>
      <c r="C8" s="44" t="s">
        <v>18</v>
      </c>
      <c r="D8" s="6" t="s">
        <v>59</v>
      </c>
      <c r="E8" s="7" t="s">
        <v>59</v>
      </c>
      <c r="F8" s="25">
        <v>7</v>
      </c>
      <c r="G8" s="26">
        <v>1</v>
      </c>
      <c r="H8" s="6">
        <v>2</v>
      </c>
      <c r="I8" s="7">
        <v>1</v>
      </c>
      <c r="J8" s="25">
        <v>2</v>
      </c>
      <c r="K8" s="26">
        <v>0</v>
      </c>
      <c r="L8" s="6">
        <v>0</v>
      </c>
      <c r="M8" s="7"/>
      <c r="N8" s="25"/>
      <c r="O8" s="26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</row>
    <row r="9" ht="22.5" customHeight="1" spans="1:30">
      <c r="A9" s="43"/>
      <c r="B9" s="38" t="s">
        <v>19</v>
      </c>
      <c r="C9" s="38" t="s">
        <v>20</v>
      </c>
      <c r="D9" s="39" t="s">
        <v>59</v>
      </c>
      <c r="E9" s="40" t="s">
        <v>59</v>
      </c>
      <c r="F9" s="41">
        <v>15</v>
      </c>
      <c r="G9" s="42">
        <v>5</v>
      </c>
      <c r="H9" s="39">
        <v>18</v>
      </c>
      <c r="I9" s="40">
        <v>25</v>
      </c>
      <c r="J9" s="41">
        <v>109</v>
      </c>
      <c r="K9" s="42">
        <v>11</v>
      </c>
      <c r="L9" s="39">
        <v>24</v>
      </c>
      <c r="M9" s="40"/>
      <c r="N9" s="41"/>
      <c r="O9" s="42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</row>
    <row r="10" ht="23.25" customHeight="1" spans="1:30">
      <c r="A10" s="43"/>
      <c r="B10" s="44" t="s">
        <v>21</v>
      </c>
      <c r="C10" s="44" t="s">
        <v>22</v>
      </c>
      <c r="D10" s="6" t="s">
        <v>59</v>
      </c>
      <c r="E10" s="7" t="s">
        <v>59</v>
      </c>
      <c r="F10" s="25">
        <v>535</v>
      </c>
      <c r="G10" s="26">
        <v>27</v>
      </c>
      <c r="H10" s="6">
        <v>56</v>
      </c>
      <c r="I10" s="7">
        <v>72</v>
      </c>
      <c r="J10" s="25">
        <v>467</v>
      </c>
      <c r="K10" s="26">
        <v>213</v>
      </c>
      <c r="L10" s="6">
        <v>394</v>
      </c>
      <c r="M10" s="7"/>
      <c r="N10" s="25"/>
      <c r="O10" s="26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</row>
    <row r="11" ht="24" customHeight="1" spans="1:30">
      <c r="A11" s="43"/>
      <c r="B11" s="38" t="s">
        <v>23</v>
      </c>
      <c r="C11" s="38" t="s">
        <v>24</v>
      </c>
      <c r="D11" s="39" t="s">
        <v>59</v>
      </c>
      <c r="E11" s="40" t="s">
        <v>59</v>
      </c>
      <c r="F11" s="41">
        <v>5</v>
      </c>
      <c r="G11" s="42">
        <v>1</v>
      </c>
      <c r="H11" s="39">
        <v>0</v>
      </c>
      <c r="I11" s="40">
        <v>2</v>
      </c>
      <c r="J11" s="41">
        <v>0</v>
      </c>
      <c r="K11" s="42">
        <v>0</v>
      </c>
      <c r="L11" s="39">
        <v>2</v>
      </c>
      <c r="M11" s="40"/>
      <c r="N11" s="41"/>
      <c r="O11" s="42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</row>
    <row r="12" ht="24.75" customHeight="1" spans="1:30">
      <c r="A12" s="5"/>
      <c r="B12" s="44" t="s">
        <v>25</v>
      </c>
      <c r="C12" s="44" t="s">
        <v>26</v>
      </c>
      <c r="D12" s="6" t="s">
        <v>59</v>
      </c>
      <c r="E12" s="7" t="s">
        <v>59</v>
      </c>
      <c r="F12" s="25">
        <v>15</v>
      </c>
      <c r="G12" s="26">
        <v>1</v>
      </c>
      <c r="H12" s="6">
        <v>0</v>
      </c>
      <c r="I12" s="7">
        <v>1</v>
      </c>
      <c r="J12" s="25">
        <v>3</v>
      </c>
      <c r="K12" s="26">
        <v>0</v>
      </c>
      <c r="L12" s="6">
        <v>1</v>
      </c>
      <c r="M12" s="7"/>
      <c r="N12" s="25"/>
      <c r="O12" s="26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</row>
    <row r="13" ht="6" customHeight="1" spans="1:30">
      <c r="A13" s="45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4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</row>
    <row r="14" ht="24.75" customHeight="1" spans="1:30">
      <c r="A14" s="46" t="s">
        <v>27</v>
      </c>
      <c r="B14" s="38" t="s">
        <v>11</v>
      </c>
      <c r="C14" s="38" t="s">
        <v>12</v>
      </c>
      <c r="D14" s="39" t="s">
        <v>59</v>
      </c>
      <c r="E14" s="40" t="s">
        <v>59</v>
      </c>
      <c r="F14" s="47">
        <v>0</v>
      </c>
      <c r="G14" s="48">
        <v>0</v>
      </c>
      <c r="H14" s="39">
        <v>0</v>
      </c>
      <c r="I14" s="40">
        <v>0</v>
      </c>
      <c r="J14" s="47">
        <v>0</v>
      </c>
      <c r="K14" s="48">
        <v>0</v>
      </c>
      <c r="L14" s="39">
        <v>0</v>
      </c>
      <c r="M14" s="40"/>
      <c r="N14" s="47"/>
      <c r="O14" s="48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</row>
    <row r="15" ht="25.5" customHeight="1" spans="1:30">
      <c r="A15" s="43"/>
      <c r="B15" s="44" t="s">
        <v>28</v>
      </c>
      <c r="C15" s="44" t="s">
        <v>29</v>
      </c>
      <c r="D15" s="6" t="s">
        <v>59</v>
      </c>
      <c r="E15" s="7" t="s">
        <v>59</v>
      </c>
      <c r="F15" s="8">
        <v>618</v>
      </c>
      <c r="G15" s="9">
        <v>75</v>
      </c>
      <c r="H15" s="6">
        <v>36</v>
      </c>
      <c r="I15" s="7">
        <v>118</v>
      </c>
      <c r="J15" s="8">
        <v>702</v>
      </c>
      <c r="K15" s="9">
        <v>224</v>
      </c>
      <c r="L15" s="6">
        <v>535</v>
      </c>
      <c r="M15" s="7"/>
      <c r="N15" s="8"/>
      <c r="O15" s="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</row>
    <row r="16" ht="23.25" customHeight="1" spans="1:30">
      <c r="A16" s="43"/>
      <c r="B16" s="38" t="s">
        <v>15</v>
      </c>
      <c r="C16" s="38" t="s">
        <v>16</v>
      </c>
      <c r="D16" s="39" t="s">
        <v>59</v>
      </c>
      <c r="E16" s="49" t="s">
        <v>59</v>
      </c>
      <c r="F16" s="47">
        <v>9</v>
      </c>
      <c r="G16" s="48">
        <v>2</v>
      </c>
      <c r="H16" s="39">
        <v>2</v>
      </c>
      <c r="I16" s="40">
        <v>1</v>
      </c>
      <c r="J16" s="47">
        <v>1</v>
      </c>
      <c r="K16" s="48">
        <v>0</v>
      </c>
      <c r="L16" s="39">
        <v>0</v>
      </c>
      <c r="M16" s="40"/>
      <c r="N16" s="47"/>
      <c r="O16" s="48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</row>
    <row r="17" ht="25.5" customHeight="1" spans="1:30">
      <c r="A17" s="43"/>
      <c r="B17" s="44" t="s">
        <v>17</v>
      </c>
      <c r="C17" s="44" t="s">
        <v>18</v>
      </c>
      <c r="D17" s="6" t="s">
        <v>59</v>
      </c>
      <c r="E17" s="7" t="s">
        <v>59</v>
      </c>
      <c r="F17" s="8">
        <v>2</v>
      </c>
      <c r="G17" s="9">
        <v>1</v>
      </c>
      <c r="H17" s="6">
        <v>2</v>
      </c>
      <c r="I17" s="7">
        <v>0</v>
      </c>
      <c r="J17" s="8"/>
      <c r="K17" s="9">
        <v>0</v>
      </c>
      <c r="L17" s="6">
        <v>0</v>
      </c>
      <c r="M17" s="7"/>
      <c r="N17" s="8"/>
      <c r="O17" s="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</row>
    <row r="18" ht="22.5" customHeight="1" spans="1:30">
      <c r="A18" s="43"/>
      <c r="B18" s="38" t="s">
        <v>19</v>
      </c>
      <c r="C18" s="38" t="s">
        <v>20</v>
      </c>
      <c r="D18" s="39" t="s">
        <v>59</v>
      </c>
      <c r="E18" s="49" t="s">
        <v>59</v>
      </c>
      <c r="F18" s="47">
        <v>3</v>
      </c>
      <c r="G18" s="48">
        <v>11</v>
      </c>
      <c r="H18" s="39">
        <v>7</v>
      </c>
      <c r="I18" s="40">
        <v>8</v>
      </c>
      <c r="J18" s="47">
        <v>52</v>
      </c>
      <c r="K18" s="48">
        <v>6</v>
      </c>
      <c r="L18" s="39">
        <v>13</v>
      </c>
      <c r="M18" s="40"/>
      <c r="N18" s="47"/>
      <c r="O18" s="48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</row>
    <row r="19" ht="24" customHeight="1" spans="1:30">
      <c r="A19" s="43"/>
      <c r="B19" s="44" t="s">
        <v>21</v>
      </c>
      <c r="C19" s="44" t="s">
        <v>22</v>
      </c>
      <c r="D19" s="6" t="s">
        <v>59</v>
      </c>
      <c r="E19" s="50" t="s">
        <v>59</v>
      </c>
      <c r="F19" s="8">
        <v>126</v>
      </c>
      <c r="G19" s="9">
        <v>71</v>
      </c>
      <c r="H19" s="6">
        <v>69</v>
      </c>
      <c r="I19" s="7">
        <v>138</v>
      </c>
      <c r="J19" s="8">
        <v>288</v>
      </c>
      <c r="K19" s="9">
        <v>25</v>
      </c>
      <c r="L19" s="6">
        <v>286</v>
      </c>
      <c r="M19" s="7"/>
      <c r="N19" s="8"/>
      <c r="O19" s="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</row>
    <row r="20" ht="25.5" customHeight="1" spans="1:30">
      <c r="A20" s="43"/>
      <c r="B20" s="38" t="s">
        <v>23</v>
      </c>
      <c r="C20" s="38" t="s">
        <v>24</v>
      </c>
      <c r="D20" s="39" t="s">
        <v>59</v>
      </c>
      <c r="E20" s="40" t="s">
        <v>59</v>
      </c>
      <c r="F20" s="47">
        <v>3</v>
      </c>
      <c r="G20" s="48">
        <v>1</v>
      </c>
      <c r="H20" s="39">
        <v>1</v>
      </c>
      <c r="I20" s="40">
        <v>3</v>
      </c>
      <c r="J20" s="47">
        <v>0</v>
      </c>
      <c r="K20" s="48">
        <v>0</v>
      </c>
      <c r="L20" s="39">
        <v>2</v>
      </c>
      <c r="M20" s="40"/>
      <c r="N20" s="47"/>
      <c r="O20" s="48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</row>
    <row r="21" ht="25.5" customHeight="1" spans="1:30">
      <c r="A21" s="5"/>
      <c r="B21" s="44" t="s">
        <v>25</v>
      </c>
      <c r="C21" s="44" t="s">
        <v>26</v>
      </c>
      <c r="D21" s="6" t="s">
        <v>59</v>
      </c>
      <c r="E21" s="7" t="s">
        <v>59</v>
      </c>
      <c r="F21" s="8">
        <v>20</v>
      </c>
      <c r="G21" s="9">
        <v>3</v>
      </c>
      <c r="H21" s="6">
        <v>2</v>
      </c>
      <c r="I21" s="7">
        <v>5</v>
      </c>
      <c r="J21" s="8">
        <v>3</v>
      </c>
      <c r="K21" s="9">
        <v>1</v>
      </c>
      <c r="L21" s="6">
        <v>3</v>
      </c>
      <c r="M21" s="7"/>
      <c r="N21" s="8"/>
      <c r="O21" s="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</row>
    <row r="22" ht="6" customHeight="1" spans="1:30">
      <c r="A22" s="45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4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</row>
    <row r="23" ht="22.5" customHeight="1" spans="1:30">
      <c r="A23" s="51" t="s">
        <v>30</v>
      </c>
      <c r="B23" s="52" t="s">
        <v>11</v>
      </c>
      <c r="C23" s="52" t="s">
        <v>12</v>
      </c>
      <c r="D23" s="39" t="s">
        <v>59</v>
      </c>
      <c r="E23" s="40" t="s">
        <v>59</v>
      </c>
      <c r="F23" s="47">
        <f t="shared" ref="F23:O23" si="0">SUM(F5+F14)</f>
        <v>0</v>
      </c>
      <c r="G23" s="48">
        <f t="shared" si="0"/>
        <v>0</v>
      </c>
      <c r="H23" s="39">
        <f t="shared" si="0"/>
        <v>0</v>
      </c>
      <c r="I23" s="40">
        <f t="shared" si="0"/>
        <v>0</v>
      </c>
      <c r="J23" s="47">
        <f t="shared" si="0"/>
        <v>0</v>
      </c>
      <c r="K23" s="48">
        <f t="shared" si="0"/>
        <v>0</v>
      </c>
      <c r="L23" s="39">
        <f t="shared" si="0"/>
        <v>0</v>
      </c>
      <c r="M23" s="40">
        <f t="shared" si="0"/>
        <v>0</v>
      </c>
      <c r="N23" s="47">
        <f t="shared" si="0"/>
        <v>0</v>
      </c>
      <c r="O23" s="48">
        <f t="shared" si="0"/>
        <v>0</v>
      </c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</row>
    <row r="24" ht="22.5" customHeight="1" spans="1:30">
      <c r="A24" s="43"/>
      <c r="B24" s="44" t="s">
        <v>13</v>
      </c>
      <c r="C24" s="44" t="s">
        <v>14</v>
      </c>
      <c r="D24" s="6" t="s">
        <v>59</v>
      </c>
      <c r="E24" s="7" t="s">
        <v>59</v>
      </c>
      <c r="F24" s="8">
        <f>SUM(F6)</f>
        <v>0</v>
      </c>
      <c r="G24" s="9">
        <f t="shared" ref="G24:I24" si="1">SUM(G5+G14)</f>
        <v>0</v>
      </c>
      <c r="H24" s="6">
        <f t="shared" si="1"/>
        <v>0</v>
      </c>
      <c r="I24" s="7">
        <f t="shared" si="1"/>
        <v>0</v>
      </c>
      <c r="J24" s="8">
        <f t="shared" ref="J24:K24" si="2">SUM(J6+J14)</f>
        <v>0</v>
      </c>
      <c r="K24" s="9">
        <f t="shared" si="2"/>
        <v>0</v>
      </c>
      <c r="L24" s="6">
        <f t="shared" ref="L24:O24" si="3">SUM(L5+L14)</f>
        <v>0</v>
      </c>
      <c r="M24" s="7">
        <f t="shared" si="3"/>
        <v>0</v>
      </c>
      <c r="N24" s="8">
        <f t="shared" si="3"/>
        <v>0</v>
      </c>
      <c r="O24" s="9">
        <f t="shared" si="3"/>
        <v>0</v>
      </c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</row>
    <row r="25" ht="25.5" customHeight="1" spans="1:30">
      <c r="A25" s="43"/>
      <c r="B25" s="52" t="s">
        <v>28</v>
      </c>
      <c r="C25" s="52" t="s">
        <v>29</v>
      </c>
      <c r="D25" s="39" t="s">
        <v>59</v>
      </c>
      <c r="E25" s="40" t="s">
        <v>59</v>
      </c>
      <c r="F25" s="47">
        <f t="shared" ref="F25:F31" si="4">SUM(F7+F15)</f>
        <v>620</v>
      </c>
      <c r="G25" s="48">
        <f t="shared" ref="G25:H25" si="5">SUM(G7+G16)</f>
        <v>5</v>
      </c>
      <c r="H25" s="39">
        <f t="shared" si="5"/>
        <v>3</v>
      </c>
      <c r="I25" s="40">
        <f>SUM(I6+I15)</f>
        <v>118</v>
      </c>
      <c r="J25" s="47">
        <f t="shared" ref="J25:J31" si="6">SUM(J7+J15)</f>
        <v>702</v>
      </c>
      <c r="K25" s="48">
        <f t="shared" ref="K25:K26" si="7">SUM(K7+K16)</f>
        <v>0</v>
      </c>
      <c r="L25" s="39">
        <f t="shared" ref="L25:L31" si="8">SUM(L7+L15)</f>
        <v>535</v>
      </c>
      <c r="M25" s="40">
        <f t="shared" ref="M25:M31" si="9">SUM(M6+M15)</f>
        <v>0</v>
      </c>
      <c r="N25" s="47">
        <v>0</v>
      </c>
      <c r="O25" s="48">
        <f>SUM(O7+O16)</f>
        <v>0</v>
      </c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</row>
    <row r="26" ht="24.75" customHeight="1" spans="1:30">
      <c r="A26" s="43"/>
      <c r="B26" s="44" t="s">
        <v>15</v>
      </c>
      <c r="C26" s="44" t="s">
        <v>16</v>
      </c>
      <c r="D26" s="6" t="s">
        <v>59</v>
      </c>
      <c r="E26" s="7" t="s">
        <v>59</v>
      </c>
      <c r="F26" s="47">
        <f t="shared" si="4"/>
        <v>16</v>
      </c>
      <c r="G26" s="9">
        <f t="shared" ref="G26:I26" si="10">SUM(G7+G16)</f>
        <v>5</v>
      </c>
      <c r="H26" s="6">
        <f t="shared" si="10"/>
        <v>3</v>
      </c>
      <c r="I26" s="7">
        <f t="shared" si="10"/>
        <v>7</v>
      </c>
      <c r="J26" s="8">
        <f t="shared" si="6"/>
        <v>3</v>
      </c>
      <c r="K26" s="9">
        <f t="shared" si="7"/>
        <v>0</v>
      </c>
      <c r="L26" s="6">
        <f t="shared" si="8"/>
        <v>0</v>
      </c>
      <c r="M26" s="7">
        <f t="shared" si="9"/>
        <v>0</v>
      </c>
      <c r="N26" s="8">
        <f t="shared" ref="N26:O26" si="11">SUM(N7+N16)</f>
        <v>0</v>
      </c>
      <c r="O26" s="9">
        <f t="shared" si="11"/>
        <v>0</v>
      </c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</row>
    <row r="27" ht="23.25" customHeight="1" spans="1:30">
      <c r="A27" s="43"/>
      <c r="B27" s="52" t="s">
        <v>17</v>
      </c>
      <c r="C27" s="52" t="s">
        <v>18</v>
      </c>
      <c r="D27" s="39" t="s">
        <v>59</v>
      </c>
      <c r="E27" s="40" t="s">
        <v>59</v>
      </c>
      <c r="F27" s="47">
        <f t="shared" si="4"/>
        <v>17</v>
      </c>
      <c r="G27" s="48">
        <f t="shared" ref="G27:I27" si="12">SUM(G8+G17)</f>
        <v>2</v>
      </c>
      <c r="H27" s="39">
        <f t="shared" si="12"/>
        <v>4</v>
      </c>
      <c r="I27" s="40">
        <f t="shared" si="12"/>
        <v>1</v>
      </c>
      <c r="J27" s="47">
        <f t="shared" si="6"/>
        <v>109</v>
      </c>
      <c r="K27" s="48">
        <v>0</v>
      </c>
      <c r="L27" s="39">
        <f t="shared" si="8"/>
        <v>24</v>
      </c>
      <c r="M27" s="40">
        <f t="shared" si="9"/>
        <v>0</v>
      </c>
      <c r="N27" s="47">
        <f t="shared" ref="N27:O27" si="13">SUM(N8+N17)</f>
        <v>0</v>
      </c>
      <c r="O27" s="48">
        <f t="shared" si="13"/>
        <v>0</v>
      </c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</row>
    <row r="28" ht="22.5" customHeight="1" spans="1:30">
      <c r="A28" s="43"/>
      <c r="B28" s="44" t="s">
        <v>19</v>
      </c>
      <c r="C28" s="44" t="s">
        <v>20</v>
      </c>
      <c r="D28" s="6" t="s">
        <v>59</v>
      </c>
      <c r="E28" s="7" t="s">
        <v>59</v>
      </c>
      <c r="F28" s="47">
        <f t="shared" si="4"/>
        <v>538</v>
      </c>
      <c r="G28" s="9">
        <f t="shared" ref="G28:I28" si="14">SUM(G9+G18)</f>
        <v>16</v>
      </c>
      <c r="H28" s="6">
        <f t="shared" si="14"/>
        <v>25</v>
      </c>
      <c r="I28" s="7">
        <f t="shared" si="14"/>
        <v>33</v>
      </c>
      <c r="J28" s="8">
        <f t="shared" si="6"/>
        <v>519</v>
      </c>
      <c r="K28" s="9">
        <v>17</v>
      </c>
      <c r="L28" s="6">
        <f t="shared" si="8"/>
        <v>407</v>
      </c>
      <c r="M28" s="7">
        <f t="shared" si="9"/>
        <v>0</v>
      </c>
      <c r="N28" s="8">
        <f t="shared" ref="N28:O28" si="15">SUM(N9+N18)</f>
        <v>0</v>
      </c>
      <c r="O28" s="9">
        <f t="shared" si="15"/>
        <v>0</v>
      </c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</row>
    <row r="29" ht="24.75" customHeight="1" spans="1:30">
      <c r="A29" s="43"/>
      <c r="B29" s="52" t="s">
        <v>21</v>
      </c>
      <c r="C29" s="52" t="s">
        <v>22</v>
      </c>
      <c r="D29" s="39" t="s">
        <v>59</v>
      </c>
      <c r="E29" s="40" t="s">
        <v>59</v>
      </c>
      <c r="F29" s="47">
        <f t="shared" si="4"/>
        <v>131</v>
      </c>
      <c r="G29" s="48">
        <f t="shared" ref="G29:I29" si="16">SUM(G10+G19)</f>
        <v>98</v>
      </c>
      <c r="H29" s="39">
        <f t="shared" si="16"/>
        <v>125</v>
      </c>
      <c r="I29" s="40">
        <f t="shared" si="16"/>
        <v>210</v>
      </c>
      <c r="J29" s="47">
        <f t="shared" si="6"/>
        <v>288</v>
      </c>
      <c r="K29" s="48">
        <v>238</v>
      </c>
      <c r="L29" s="39">
        <f t="shared" si="8"/>
        <v>288</v>
      </c>
      <c r="M29" s="40">
        <f t="shared" si="9"/>
        <v>0</v>
      </c>
      <c r="N29" s="47">
        <f t="shared" ref="N29:O29" si="17">SUM(N10+N19)</f>
        <v>0</v>
      </c>
      <c r="O29" s="48">
        <f t="shared" si="17"/>
        <v>0</v>
      </c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</row>
    <row r="30" ht="24.75" customHeight="1" spans="1:30">
      <c r="A30" s="43"/>
      <c r="B30" s="44" t="s">
        <v>23</v>
      </c>
      <c r="C30" s="44" t="s">
        <v>24</v>
      </c>
      <c r="D30" s="6" t="s">
        <v>59</v>
      </c>
      <c r="E30" s="7" t="s">
        <v>59</v>
      </c>
      <c r="F30" s="47">
        <f t="shared" si="4"/>
        <v>18</v>
      </c>
      <c r="G30" s="9">
        <f t="shared" ref="G30:I30" si="18">SUM(G11+G20)</f>
        <v>2</v>
      </c>
      <c r="H30" s="6">
        <f t="shared" si="18"/>
        <v>1</v>
      </c>
      <c r="I30" s="7">
        <f t="shared" si="18"/>
        <v>5</v>
      </c>
      <c r="J30" s="8">
        <f t="shared" si="6"/>
        <v>3</v>
      </c>
      <c r="K30" s="9">
        <f t="shared" ref="K30:K31" si="19">SUM(K12+K21)</f>
        <v>1</v>
      </c>
      <c r="L30" s="6">
        <f t="shared" si="8"/>
        <v>3</v>
      </c>
      <c r="M30" s="7">
        <f t="shared" si="9"/>
        <v>0</v>
      </c>
      <c r="N30" s="8">
        <f t="shared" ref="N30:O30" si="20">SUM(N11+N20)</f>
        <v>0</v>
      </c>
      <c r="O30" s="9">
        <f t="shared" si="20"/>
        <v>0</v>
      </c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</row>
    <row r="31" ht="25.5" customHeight="1" spans="1:30">
      <c r="A31" s="5"/>
      <c r="B31" s="52" t="s">
        <v>25</v>
      </c>
      <c r="C31" s="52" t="s">
        <v>26</v>
      </c>
      <c r="D31" s="39" t="s">
        <v>59</v>
      </c>
      <c r="E31" s="40" t="s">
        <v>59</v>
      </c>
      <c r="F31" s="47">
        <f t="shared" si="4"/>
        <v>20</v>
      </c>
      <c r="G31" s="48">
        <f t="shared" ref="G31:I31" si="21">SUM(G12+G21)</f>
        <v>4</v>
      </c>
      <c r="H31" s="39">
        <f t="shared" si="21"/>
        <v>2</v>
      </c>
      <c r="I31" s="40">
        <f t="shared" si="21"/>
        <v>6</v>
      </c>
      <c r="J31" s="47">
        <f t="shared" si="6"/>
        <v>3</v>
      </c>
      <c r="K31" s="48">
        <f t="shared" si="19"/>
        <v>0</v>
      </c>
      <c r="L31" s="39">
        <f t="shared" si="8"/>
        <v>3</v>
      </c>
      <c r="M31" s="40">
        <f t="shared" si="9"/>
        <v>0</v>
      </c>
      <c r="N31" s="47">
        <f t="shared" ref="N31:O31" si="22">SUM(N12+N21)</f>
        <v>0</v>
      </c>
      <c r="O31" s="48">
        <f t="shared" si="22"/>
        <v>0</v>
      </c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</row>
    <row r="32" ht="21.75" customHeight="1" spans="1:30">
      <c r="A32" s="53"/>
      <c r="B32" s="53"/>
      <c r="C32" s="54" t="s">
        <v>30</v>
      </c>
      <c r="D32" s="55" t="s">
        <v>59</v>
      </c>
      <c r="E32" s="56" t="s">
        <v>59</v>
      </c>
      <c r="F32" s="47">
        <f t="shared" ref="F32:O32" si="23">SUM(F23:F31)</f>
        <v>1360</v>
      </c>
      <c r="G32" s="57">
        <f t="shared" si="23"/>
        <v>132</v>
      </c>
      <c r="H32" s="55">
        <f t="shared" si="23"/>
        <v>163</v>
      </c>
      <c r="I32" s="56">
        <f t="shared" si="23"/>
        <v>380</v>
      </c>
      <c r="J32" s="90">
        <f t="shared" si="23"/>
        <v>1627</v>
      </c>
      <c r="K32" s="57">
        <f t="shared" si="23"/>
        <v>256</v>
      </c>
      <c r="L32" s="55">
        <f t="shared" si="23"/>
        <v>1260</v>
      </c>
      <c r="M32" s="56">
        <f t="shared" si="23"/>
        <v>0</v>
      </c>
      <c r="N32" s="90">
        <f t="shared" si="23"/>
        <v>0</v>
      </c>
      <c r="O32" s="57">
        <f t="shared" si="23"/>
        <v>0</v>
      </c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</row>
    <row r="33" ht="24.75" customHeight="1" spans="1:30">
      <c r="A33" s="58"/>
      <c r="B33" s="58"/>
      <c r="C33" s="54" t="s">
        <v>31</v>
      </c>
      <c r="D33" s="59" t="s">
        <v>59</v>
      </c>
      <c r="E33" s="60" t="s">
        <v>59</v>
      </c>
      <c r="F33" s="61">
        <f t="shared" ref="F33:O33" si="24">F32*40</f>
        <v>54400</v>
      </c>
      <c r="G33" s="62">
        <f t="shared" si="24"/>
        <v>5280</v>
      </c>
      <c r="H33" s="59">
        <f t="shared" si="24"/>
        <v>6520</v>
      </c>
      <c r="I33" s="60">
        <f t="shared" si="24"/>
        <v>15200</v>
      </c>
      <c r="J33" s="61">
        <f t="shared" si="24"/>
        <v>65080</v>
      </c>
      <c r="K33" s="62">
        <f t="shared" si="24"/>
        <v>10240</v>
      </c>
      <c r="L33" s="59">
        <f t="shared" si="24"/>
        <v>50400</v>
      </c>
      <c r="M33" s="60">
        <f t="shared" si="24"/>
        <v>0</v>
      </c>
      <c r="N33" s="61">
        <f t="shared" si="24"/>
        <v>0</v>
      </c>
      <c r="O33" s="62">
        <f t="shared" si="24"/>
        <v>0</v>
      </c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</row>
    <row r="34" ht="114" customHeight="1" spans="1:30">
      <c r="A34" s="58"/>
      <c r="C34" s="63" t="s">
        <v>37</v>
      </c>
      <c r="D34" s="64"/>
      <c r="E34" s="64"/>
      <c r="F34" s="65" t="s">
        <v>79</v>
      </c>
      <c r="G34" s="66"/>
      <c r="H34" s="66"/>
      <c r="I34" s="66"/>
      <c r="J34" s="66"/>
      <c r="K34" s="66"/>
      <c r="L34" s="66"/>
      <c r="M34" s="66"/>
      <c r="N34" s="66"/>
      <c r="O34" s="66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</row>
    <row r="35" customHeight="1" spans="4:30">
      <c r="D35" s="67"/>
      <c r="E35" s="67"/>
      <c r="F35" s="68"/>
      <c r="G35" s="68"/>
      <c r="H35" s="68"/>
      <c r="I35" s="68"/>
      <c r="J35" s="68"/>
      <c r="K35" s="68"/>
      <c r="L35" s="68"/>
      <c r="M35" s="68"/>
      <c r="N35" s="68"/>
      <c r="P35" s="67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</row>
    <row r="36" customHeight="1" spans="2:30">
      <c r="B36" s="69" t="s">
        <v>32</v>
      </c>
      <c r="C36" s="70"/>
      <c r="D36" s="67"/>
      <c r="E36" s="67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</row>
    <row r="37" ht="18.75" customHeight="1" spans="2:30">
      <c r="B37" s="71" t="s">
        <v>33</v>
      </c>
      <c r="C37" s="72" t="s">
        <v>80</v>
      </c>
      <c r="D37" s="67"/>
      <c r="E37" s="67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</row>
    <row r="38" ht="17.25" customHeight="1" spans="2:30">
      <c r="B38" s="71" t="s">
        <v>34</v>
      </c>
      <c r="C38" s="72" t="s">
        <v>81</v>
      </c>
      <c r="D38" s="67"/>
      <c r="E38" s="67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</row>
    <row r="39" customHeight="1" spans="1:30">
      <c r="A39" s="58"/>
      <c r="B39" s="71" t="s">
        <v>35</v>
      </c>
      <c r="C39" s="72" t="s">
        <v>82</v>
      </c>
      <c r="D39" s="67"/>
      <c r="E39" s="67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</row>
    <row r="40" customHeight="1" spans="1:30">
      <c r="A40" s="58"/>
      <c r="B40" s="71" t="s">
        <v>36</v>
      </c>
      <c r="C40" s="72" t="s">
        <v>83</v>
      </c>
      <c r="D40" s="67"/>
      <c r="E40" s="67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</row>
    <row r="41" customHeight="1" spans="1:30">
      <c r="A41" s="58"/>
      <c r="B41" s="58"/>
      <c r="C41" s="58"/>
      <c r="D41" s="67"/>
      <c r="E41" s="67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</row>
    <row r="42" customHeight="1" spans="1:30">
      <c r="A42" s="58"/>
      <c r="B42" s="58"/>
      <c r="C42" s="58"/>
      <c r="D42" s="73">
        <v>2022</v>
      </c>
      <c r="E42" s="3"/>
      <c r="F42" s="3"/>
      <c r="G42" s="4"/>
      <c r="H42" s="74">
        <v>2023</v>
      </c>
      <c r="I42" s="3"/>
      <c r="J42" s="3"/>
      <c r="K42" s="4"/>
      <c r="L42" s="74">
        <v>2024</v>
      </c>
      <c r="M42" s="3"/>
      <c r="N42" s="3"/>
      <c r="O42" s="4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91"/>
    </row>
    <row r="43" ht="23.25" customHeight="1" spans="3:30">
      <c r="C43" s="58"/>
      <c r="D43" s="75" t="s">
        <v>42</v>
      </c>
      <c r="E43" s="76" t="s">
        <v>43</v>
      </c>
      <c r="F43" s="77" t="s">
        <v>44</v>
      </c>
      <c r="G43" s="78" t="s">
        <v>45</v>
      </c>
      <c r="H43" s="79" t="s">
        <v>46</v>
      </c>
      <c r="I43" s="76" t="s">
        <v>47</v>
      </c>
      <c r="J43" s="77" t="s">
        <v>48</v>
      </c>
      <c r="K43" s="78" t="s">
        <v>49</v>
      </c>
      <c r="L43" s="79" t="s">
        <v>50</v>
      </c>
      <c r="M43" s="76" t="s">
        <v>51</v>
      </c>
      <c r="N43" s="77" t="s">
        <v>52</v>
      </c>
      <c r="O43" s="78" t="s">
        <v>53</v>
      </c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</row>
    <row r="44" ht="14.25" customHeight="1" spans="3:30">
      <c r="C44" s="52" t="s">
        <v>11</v>
      </c>
      <c r="D44" s="11"/>
      <c r="E44" s="11"/>
      <c r="F44" s="11">
        <f t="shared" ref="F44:L44" si="25">F23/5*100</f>
        <v>0</v>
      </c>
      <c r="G44" s="11">
        <f t="shared" si="25"/>
        <v>0</v>
      </c>
      <c r="H44" s="11">
        <f t="shared" si="25"/>
        <v>0</v>
      </c>
      <c r="I44" s="11">
        <f t="shared" si="25"/>
        <v>0</v>
      </c>
      <c r="J44" s="11">
        <f t="shared" si="25"/>
        <v>0</v>
      </c>
      <c r="K44" s="11">
        <f t="shared" si="25"/>
        <v>0</v>
      </c>
      <c r="L44" s="11">
        <f t="shared" si="25"/>
        <v>0</v>
      </c>
      <c r="M44" s="11"/>
      <c r="N44" s="11"/>
      <c r="O44" s="11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</row>
    <row r="45" ht="14.25" customHeight="1" spans="3:30">
      <c r="C45" s="44" t="s">
        <v>13</v>
      </c>
      <c r="D45" s="11"/>
      <c r="E45" s="11"/>
      <c r="F45" s="11">
        <f t="shared" ref="F45:L45" si="26">F24/5*100</f>
        <v>0</v>
      </c>
      <c r="G45" s="11">
        <f t="shared" si="26"/>
        <v>0</v>
      </c>
      <c r="H45" s="11">
        <f t="shared" si="26"/>
        <v>0</v>
      </c>
      <c r="I45" s="11">
        <f t="shared" si="26"/>
        <v>0</v>
      </c>
      <c r="J45" s="11">
        <f t="shared" si="26"/>
        <v>0</v>
      </c>
      <c r="K45" s="11">
        <f t="shared" si="26"/>
        <v>0</v>
      </c>
      <c r="L45" s="11">
        <f t="shared" si="26"/>
        <v>0</v>
      </c>
      <c r="M45" s="11"/>
      <c r="N45" s="11"/>
      <c r="O45" s="11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</row>
    <row r="46" ht="14.25" customHeight="1" spans="3:30">
      <c r="C46" s="52" t="s">
        <v>28</v>
      </c>
      <c r="D46" s="11"/>
      <c r="E46" s="11"/>
      <c r="F46" s="11">
        <f t="shared" ref="F46:L46" si="27">F25/5*100</f>
        <v>12400</v>
      </c>
      <c r="G46" s="11">
        <f t="shared" si="27"/>
        <v>100</v>
      </c>
      <c r="H46" s="11">
        <f t="shared" si="27"/>
        <v>60</v>
      </c>
      <c r="I46" s="11">
        <f t="shared" si="27"/>
        <v>2360</v>
      </c>
      <c r="J46" s="11">
        <f t="shared" si="27"/>
        <v>14040</v>
      </c>
      <c r="K46" s="11">
        <f t="shared" si="27"/>
        <v>0</v>
      </c>
      <c r="L46" s="11">
        <f t="shared" si="27"/>
        <v>10700</v>
      </c>
      <c r="M46" s="11"/>
      <c r="N46" s="11"/>
      <c r="O46" s="11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</row>
    <row r="47" ht="14.25" customHeight="1" spans="3:30">
      <c r="C47" s="44" t="s">
        <v>15</v>
      </c>
      <c r="D47" s="11"/>
      <c r="E47" s="11"/>
      <c r="F47" s="11">
        <f t="shared" ref="F47:I47" si="28">F26/5*100</f>
        <v>320</v>
      </c>
      <c r="G47" s="11">
        <f t="shared" si="28"/>
        <v>100</v>
      </c>
      <c r="H47" s="11">
        <f t="shared" si="28"/>
        <v>60</v>
      </c>
      <c r="I47" s="11">
        <f t="shared" si="28"/>
        <v>140</v>
      </c>
      <c r="J47" s="11">
        <v>1</v>
      </c>
      <c r="K47" s="11">
        <v>0</v>
      </c>
      <c r="L47" s="11">
        <f t="shared" ref="L47:L52" si="29">L26/5*100</f>
        <v>0</v>
      </c>
      <c r="M47" s="11"/>
      <c r="N47" s="11"/>
      <c r="O47" s="11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</row>
    <row r="48" ht="14.25" customHeight="1" spans="3:30">
      <c r="C48" s="52" t="s">
        <v>17</v>
      </c>
      <c r="D48" s="11"/>
      <c r="E48" s="11"/>
      <c r="F48" s="11">
        <f t="shared" ref="F48:I48" si="30">F27/5*100</f>
        <v>340</v>
      </c>
      <c r="G48" s="11">
        <f t="shared" si="30"/>
        <v>40</v>
      </c>
      <c r="H48" s="11">
        <f t="shared" si="30"/>
        <v>80</v>
      </c>
      <c r="I48" s="11">
        <f t="shared" si="30"/>
        <v>20</v>
      </c>
      <c r="J48" s="11">
        <v>2</v>
      </c>
      <c r="K48" s="11">
        <v>0</v>
      </c>
      <c r="L48" s="11">
        <f t="shared" si="29"/>
        <v>480</v>
      </c>
      <c r="M48" s="11"/>
      <c r="N48" s="11"/>
      <c r="O48" s="11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</row>
    <row r="49" ht="14.25" customHeight="1" spans="3:30">
      <c r="C49" s="44" t="s">
        <v>19</v>
      </c>
      <c r="D49" s="11"/>
      <c r="E49" s="11"/>
      <c r="F49" s="11">
        <f t="shared" ref="F49:I49" si="31">F28/5*100</f>
        <v>10760</v>
      </c>
      <c r="G49" s="11">
        <f t="shared" si="31"/>
        <v>320</v>
      </c>
      <c r="H49" s="11">
        <f t="shared" si="31"/>
        <v>500</v>
      </c>
      <c r="I49" s="11">
        <f t="shared" si="31"/>
        <v>660</v>
      </c>
      <c r="J49" s="11">
        <v>161</v>
      </c>
      <c r="K49" s="11">
        <v>17</v>
      </c>
      <c r="L49" s="11">
        <f t="shared" si="29"/>
        <v>8140</v>
      </c>
      <c r="M49" s="11"/>
      <c r="N49" s="11"/>
      <c r="O49" s="11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</row>
    <row r="50" ht="14.25" customHeight="1" spans="3:30">
      <c r="C50" s="52" t="s">
        <v>21</v>
      </c>
      <c r="D50" s="11"/>
      <c r="E50" s="11"/>
      <c r="F50" s="11">
        <f t="shared" ref="F50:I50" si="32">F29/5*100</f>
        <v>2620</v>
      </c>
      <c r="G50" s="11">
        <f t="shared" si="32"/>
        <v>1960</v>
      </c>
      <c r="H50" s="11">
        <f t="shared" si="32"/>
        <v>2500</v>
      </c>
      <c r="I50" s="11">
        <f t="shared" si="32"/>
        <v>4200</v>
      </c>
      <c r="J50" s="11">
        <v>755</v>
      </c>
      <c r="K50" s="11">
        <v>238</v>
      </c>
      <c r="L50" s="11">
        <f t="shared" si="29"/>
        <v>5760</v>
      </c>
      <c r="M50" s="11"/>
      <c r="N50" s="11"/>
      <c r="O50" s="11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</row>
    <row r="51" ht="14.25" customHeight="1" spans="3:30">
      <c r="C51" s="44" t="s">
        <v>23</v>
      </c>
      <c r="D51" s="11"/>
      <c r="E51" s="11"/>
      <c r="F51" s="11">
        <f t="shared" ref="F51:I51" si="33">F30/5*100</f>
        <v>360</v>
      </c>
      <c r="G51" s="11">
        <f t="shared" si="33"/>
        <v>40</v>
      </c>
      <c r="H51" s="11">
        <f t="shared" si="33"/>
        <v>20</v>
      </c>
      <c r="I51" s="11">
        <f t="shared" si="33"/>
        <v>100</v>
      </c>
      <c r="J51" s="11">
        <v>0</v>
      </c>
      <c r="K51" s="11">
        <v>1</v>
      </c>
      <c r="L51" s="11">
        <f t="shared" si="29"/>
        <v>60</v>
      </c>
      <c r="M51" s="11"/>
      <c r="N51" s="11"/>
      <c r="O51" s="11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</row>
    <row r="52" ht="14.25" customHeight="1" spans="3:30">
      <c r="C52" s="52" t="s">
        <v>25</v>
      </c>
      <c r="D52" s="11"/>
      <c r="E52" s="11"/>
      <c r="F52" s="11">
        <f t="shared" ref="F52:I52" si="34">F31/5*100</f>
        <v>400</v>
      </c>
      <c r="G52" s="11">
        <f t="shared" si="34"/>
        <v>80</v>
      </c>
      <c r="H52" s="11">
        <f t="shared" si="34"/>
        <v>40</v>
      </c>
      <c r="I52" s="11">
        <f t="shared" si="34"/>
        <v>120</v>
      </c>
      <c r="J52" s="11">
        <v>6</v>
      </c>
      <c r="K52" s="11">
        <v>0</v>
      </c>
      <c r="L52" s="11">
        <f t="shared" si="29"/>
        <v>60</v>
      </c>
      <c r="M52" s="11"/>
      <c r="N52" s="11"/>
      <c r="O52" s="11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</row>
    <row r="53" ht="14.25" customHeight="1" spans="4:30"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</row>
    <row r="54" ht="14.25" customHeight="1" spans="4:30"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</row>
    <row r="55" ht="14.25" customHeight="1" spans="4:30"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</row>
    <row r="56" ht="14.25" customHeight="1" spans="4:30"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68"/>
    </row>
    <row r="57" ht="14.25" customHeight="1" spans="4:30"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  <c r="AC57" s="68"/>
      <c r="AD57" s="68"/>
    </row>
    <row r="58" ht="14.25" customHeight="1" spans="4:30"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</row>
    <row r="59" ht="14.25" customHeight="1" spans="4:30"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  <c r="AB59" s="68"/>
      <c r="AC59" s="68"/>
      <c r="AD59" s="68"/>
    </row>
    <row r="60" ht="14.25" customHeight="1" spans="4:30"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  <c r="AB60" s="68"/>
      <c r="AC60" s="68"/>
      <c r="AD60" s="68"/>
    </row>
    <row r="61" ht="14.25" customHeight="1" spans="4:30"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  <c r="AB61" s="68"/>
      <c r="AC61" s="68"/>
      <c r="AD61" s="68"/>
    </row>
    <row r="62" ht="14.25" customHeight="1" spans="4:30"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  <c r="AB62" s="68"/>
      <c r="AC62" s="68"/>
      <c r="AD62" s="68"/>
    </row>
    <row r="63" ht="14.25" customHeight="1" spans="4:30"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</row>
    <row r="64" ht="14.25" customHeight="1" spans="4:30"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  <c r="AB64" s="68"/>
      <c r="AC64" s="68"/>
      <c r="AD64" s="68"/>
    </row>
    <row r="65" ht="14.25" customHeight="1" spans="4:30"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</row>
    <row r="66" ht="14.25" customHeight="1" spans="4:30"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</row>
    <row r="67" ht="14.25" customHeight="1" spans="4:30"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  <c r="AB67" s="68"/>
      <c r="AC67" s="68"/>
      <c r="AD67" s="68"/>
    </row>
    <row r="68" ht="14.25" customHeight="1" spans="4:30"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</row>
    <row r="69" ht="14.25" customHeight="1" spans="4:30"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</row>
    <row r="70" ht="14.25" customHeight="1" spans="4:30"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  <c r="AB70" s="68"/>
      <c r="AC70" s="68"/>
      <c r="AD70" s="68"/>
    </row>
    <row r="71" ht="14.25" customHeight="1" spans="4:30"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  <c r="AB71" s="68"/>
      <c r="AC71" s="68"/>
      <c r="AD71" s="68"/>
    </row>
    <row r="72" ht="14.25" customHeight="1" spans="4:30"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  <c r="AB72" s="68"/>
      <c r="AC72" s="68"/>
      <c r="AD72" s="68"/>
    </row>
    <row r="73" ht="14.25" customHeight="1" spans="4:30"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</row>
    <row r="74" ht="14.25" customHeight="1" spans="4:30"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  <c r="AB74" s="68"/>
      <c r="AC74" s="68"/>
      <c r="AD74" s="68"/>
    </row>
    <row r="75" ht="14.25" customHeight="1" spans="4:30"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68"/>
      <c r="AC75" s="68"/>
      <c r="AD75" s="68"/>
    </row>
    <row r="76" ht="14.25" customHeight="1" spans="4:30"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</row>
    <row r="77" ht="14.25" customHeight="1" spans="4:30"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</row>
    <row r="78" ht="14.25" customHeight="1" spans="4:30"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  <c r="AC78" s="68"/>
      <c r="AD78" s="68"/>
    </row>
    <row r="79" ht="14.25" customHeight="1" spans="4:30"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</row>
    <row r="80" ht="14.25" customHeight="1" spans="4:30"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</row>
    <row r="81" ht="14.25" customHeight="1" spans="4:30"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  <c r="AB81" s="68"/>
      <c r="AC81" s="68"/>
      <c r="AD81" s="68"/>
    </row>
    <row r="82" ht="14.25" customHeight="1" spans="4:30"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</row>
    <row r="83" ht="14.25" customHeight="1" spans="4:30"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</row>
    <row r="84" ht="14.25" customHeight="1" spans="4:30"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</row>
    <row r="85" ht="14.25" customHeight="1" spans="4:30"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</row>
    <row r="86" ht="14.25" customHeight="1" spans="4:30"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</row>
    <row r="87" ht="14.25" customHeight="1" spans="4:30"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</row>
    <row r="88" ht="14.25" customHeight="1" spans="4:30"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</row>
    <row r="89" ht="14.25" customHeight="1" spans="4:30"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</row>
    <row r="90" ht="14.25" customHeight="1" spans="4:30"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</row>
    <row r="91" ht="14.25" customHeight="1" spans="4:30"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</row>
    <row r="92" ht="14.25" customHeight="1" spans="4:30"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</row>
    <row r="93" ht="14.25" customHeight="1" spans="4:30"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</row>
    <row r="94" ht="14.25" customHeight="1" spans="4:30"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</row>
    <row r="95" ht="14.25" customHeight="1" spans="4:30"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</row>
    <row r="96" ht="14.25" customHeight="1" spans="4:30"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</row>
    <row r="97" ht="14.25" customHeight="1" spans="4:30"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</row>
    <row r="98" ht="14.25" customHeight="1" spans="4:30"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</row>
    <row r="99" ht="14.25" customHeight="1" spans="4:30"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</row>
    <row r="100" ht="14.25" customHeight="1" spans="4:30"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</row>
    <row r="101" ht="14.25" customHeight="1" spans="4:30"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</row>
    <row r="102" ht="14.25" customHeight="1" spans="4:30"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</row>
    <row r="103" ht="14.25" customHeight="1" spans="4:30"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</row>
    <row r="104" ht="14.25" customHeight="1" spans="4:30"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</row>
    <row r="105" ht="14.25" customHeight="1" spans="4:30"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</row>
    <row r="106" ht="14.25" customHeight="1" spans="4:30"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</row>
    <row r="107" ht="14.25" customHeight="1" spans="4:30"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</row>
    <row r="108" ht="14.25" customHeight="1" spans="4:30"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</row>
    <row r="109" ht="14.25" customHeight="1" spans="4:30"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</row>
    <row r="110" ht="14.25" customHeight="1" spans="4:30"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8"/>
      <c r="AB110" s="68"/>
      <c r="AC110" s="68"/>
      <c r="AD110" s="68"/>
    </row>
    <row r="111" ht="14.25" customHeight="1" spans="4:30"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</row>
    <row r="112" ht="14.25" customHeight="1" spans="4:30"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68"/>
      <c r="AB112" s="68"/>
      <c r="AC112" s="68"/>
      <c r="AD112" s="68"/>
    </row>
    <row r="113" ht="14.25" customHeight="1" spans="4:7">
      <c r="D113" s="93"/>
      <c r="E113" s="94"/>
      <c r="F113" s="95"/>
      <c r="G113" s="96"/>
    </row>
    <row r="114" ht="14.25" customHeight="1" spans="4:7">
      <c r="D114" s="93"/>
      <c r="E114" s="94"/>
      <c r="F114" s="95"/>
      <c r="G114" s="96"/>
    </row>
    <row r="115" ht="14.25" customHeight="1" spans="4:7">
      <c r="D115" s="93"/>
      <c r="E115" s="94"/>
      <c r="F115" s="95"/>
      <c r="G115" s="96"/>
    </row>
    <row r="116" ht="14.25" customHeight="1" spans="4:7">
      <c r="D116" s="93"/>
      <c r="E116" s="94"/>
      <c r="F116" s="95"/>
      <c r="G116" s="96"/>
    </row>
    <row r="117" ht="14.25" customHeight="1" spans="4:7">
      <c r="D117" s="93"/>
      <c r="E117" s="94"/>
      <c r="F117" s="95"/>
      <c r="G117" s="96"/>
    </row>
    <row r="118" ht="14.25" customHeight="1" spans="4:7">
      <c r="D118" s="93"/>
      <c r="E118" s="94"/>
      <c r="F118" s="95"/>
      <c r="G118" s="96"/>
    </row>
    <row r="119" ht="14.25" customHeight="1" spans="4:7">
      <c r="D119" s="93"/>
      <c r="E119" s="94"/>
      <c r="F119" s="95"/>
      <c r="G119" s="96"/>
    </row>
    <row r="120" ht="14.25" customHeight="1" spans="4:7">
      <c r="D120" s="93"/>
      <c r="E120" s="94"/>
      <c r="F120" s="95"/>
      <c r="G120" s="96"/>
    </row>
    <row r="121" ht="14.25" customHeight="1" spans="4:7">
      <c r="D121" s="93"/>
      <c r="E121" s="94"/>
      <c r="F121" s="95"/>
      <c r="G121" s="96"/>
    </row>
    <row r="122" ht="14.25" customHeight="1" spans="4:7">
      <c r="D122" s="93"/>
      <c r="E122" s="94"/>
      <c r="F122" s="95"/>
      <c r="G122" s="96"/>
    </row>
    <row r="123" ht="14.25" customHeight="1" spans="4:7">
      <c r="D123" s="93"/>
      <c r="E123" s="94"/>
      <c r="F123" s="95"/>
      <c r="G123" s="96"/>
    </row>
    <row r="124" ht="14.25" customHeight="1" spans="4:7">
      <c r="D124" s="93"/>
      <c r="E124" s="94"/>
      <c r="F124" s="95"/>
      <c r="G124" s="96"/>
    </row>
    <row r="125" ht="14.25" customHeight="1" spans="4:7">
      <c r="D125" s="93"/>
      <c r="E125" s="94"/>
      <c r="F125" s="95"/>
      <c r="G125" s="96"/>
    </row>
    <row r="126" ht="14.25" customHeight="1" spans="4:7">
      <c r="D126" s="93"/>
      <c r="E126" s="94"/>
      <c r="F126" s="95"/>
      <c r="G126" s="96"/>
    </row>
    <row r="127" ht="14.25" customHeight="1" spans="4:7">
      <c r="D127" s="93"/>
      <c r="E127" s="94"/>
      <c r="F127" s="95"/>
      <c r="G127" s="96"/>
    </row>
    <row r="128" ht="14.25" customHeight="1" spans="4:7">
      <c r="D128" s="93"/>
      <c r="E128" s="94"/>
      <c r="F128" s="95"/>
      <c r="G128" s="96"/>
    </row>
    <row r="129" ht="14.25" customHeight="1" spans="4:7">
      <c r="D129" s="93"/>
      <c r="E129" s="94"/>
      <c r="F129" s="95"/>
      <c r="G129" s="96"/>
    </row>
    <row r="130" ht="14.25" customHeight="1" spans="4:7">
      <c r="D130" s="93"/>
      <c r="E130" s="94"/>
      <c r="F130" s="95"/>
      <c r="G130" s="96"/>
    </row>
    <row r="131" ht="14.25" customHeight="1" spans="4:7">
      <c r="D131" s="93"/>
      <c r="E131" s="94"/>
      <c r="F131" s="95"/>
      <c r="G131" s="96"/>
    </row>
    <row r="132" ht="14.25" customHeight="1" spans="4:7">
      <c r="D132" s="93"/>
      <c r="E132" s="94"/>
      <c r="F132" s="95"/>
      <c r="G132" s="96"/>
    </row>
    <row r="133" ht="14.25" customHeight="1" spans="4:7">
      <c r="D133" s="93"/>
      <c r="E133" s="94"/>
      <c r="F133" s="95"/>
      <c r="G133" s="96"/>
    </row>
    <row r="134" ht="14.25" customHeight="1" spans="4:7">
      <c r="D134" s="93"/>
      <c r="E134" s="94"/>
      <c r="F134" s="95"/>
      <c r="G134" s="96"/>
    </row>
    <row r="135" ht="14.25" customHeight="1" spans="4:7">
      <c r="D135" s="93"/>
      <c r="E135" s="94"/>
      <c r="F135" s="95"/>
      <c r="G135" s="96"/>
    </row>
    <row r="136" ht="14.25" customHeight="1" spans="4:7">
      <c r="D136" s="93"/>
      <c r="E136" s="94"/>
      <c r="F136" s="95"/>
      <c r="G136" s="96"/>
    </row>
    <row r="137" ht="14.25" customHeight="1" spans="4:7">
      <c r="D137" s="93"/>
      <c r="E137" s="94"/>
      <c r="F137" s="95"/>
      <c r="G137" s="96"/>
    </row>
    <row r="138" ht="14.25" customHeight="1" spans="4:7">
      <c r="D138" s="93"/>
      <c r="E138" s="94"/>
      <c r="F138" s="95"/>
      <c r="G138" s="96"/>
    </row>
    <row r="139" ht="14.25" customHeight="1" spans="4:7">
      <c r="D139" s="93"/>
      <c r="E139" s="94"/>
      <c r="F139" s="95"/>
      <c r="G139" s="96"/>
    </row>
    <row r="140" ht="14.25" customHeight="1" spans="4:7">
      <c r="D140" s="93"/>
      <c r="E140" s="94"/>
      <c r="F140" s="95"/>
      <c r="G140" s="96"/>
    </row>
    <row r="141" ht="14.25" customHeight="1" spans="4:7">
      <c r="D141" s="93"/>
      <c r="E141" s="94"/>
      <c r="F141" s="95"/>
      <c r="G141" s="96"/>
    </row>
    <row r="142" ht="14.25" customHeight="1" spans="4:7">
      <c r="D142" s="93"/>
      <c r="E142" s="94"/>
      <c r="F142" s="95"/>
      <c r="G142" s="96"/>
    </row>
    <row r="143" ht="14.25" customHeight="1" spans="4:7">
      <c r="D143" s="93"/>
      <c r="E143" s="94"/>
      <c r="F143" s="95"/>
      <c r="G143" s="96"/>
    </row>
    <row r="144" ht="14.25" customHeight="1" spans="4:7">
      <c r="D144" s="93"/>
      <c r="E144" s="94"/>
      <c r="F144" s="95"/>
      <c r="G144" s="96"/>
    </row>
    <row r="145" ht="14.25" customHeight="1" spans="4:7">
      <c r="D145" s="93"/>
      <c r="E145" s="94"/>
      <c r="F145" s="95"/>
      <c r="G145" s="96"/>
    </row>
    <row r="146" ht="14.25" customHeight="1" spans="4:7">
      <c r="D146" s="93"/>
      <c r="E146" s="94"/>
      <c r="F146" s="95"/>
      <c r="G146" s="96"/>
    </row>
    <row r="147" ht="14.25" customHeight="1" spans="4:7">
      <c r="D147" s="93"/>
      <c r="E147" s="94"/>
      <c r="F147" s="95"/>
      <c r="G147" s="96"/>
    </row>
    <row r="148" ht="14.25" customHeight="1" spans="4:7">
      <c r="D148" s="93"/>
      <c r="E148" s="94"/>
      <c r="F148" s="95"/>
      <c r="G148" s="96"/>
    </row>
    <row r="149" ht="14.25" customHeight="1" spans="4:7">
      <c r="D149" s="93"/>
      <c r="E149" s="94"/>
      <c r="F149" s="95"/>
      <c r="G149" s="96"/>
    </row>
    <row r="150" ht="14.25" customHeight="1" spans="4:7">
      <c r="D150" s="93"/>
      <c r="E150" s="94"/>
      <c r="F150" s="95"/>
      <c r="G150" s="96"/>
    </row>
    <row r="151" ht="14.25" customHeight="1" spans="4:7">
      <c r="D151" s="93"/>
      <c r="E151" s="94"/>
      <c r="F151" s="95"/>
      <c r="G151" s="96"/>
    </row>
    <row r="152" ht="14.25" customHeight="1" spans="4:7">
      <c r="D152" s="93"/>
      <c r="E152" s="94"/>
      <c r="F152" s="95"/>
      <c r="G152" s="96"/>
    </row>
    <row r="153" ht="14.25" customHeight="1" spans="4:7">
      <c r="D153" s="93"/>
      <c r="E153" s="94"/>
      <c r="F153" s="95"/>
      <c r="G153" s="96"/>
    </row>
    <row r="154" ht="14.25" customHeight="1" spans="4:7">
      <c r="D154" s="93"/>
      <c r="E154" s="94"/>
      <c r="F154" s="95"/>
      <c r="G154" s="96"/>
    </row>
    <row r="155" ht="14.25" customHeight="1" spans="4:7">
      <c r="D155" s="93"/>
      <c r="E155" s="94"/>
      <c r="F155" s="95"/>
      <c r="G155" s="96"/>
    </row>
    <row r="156" ht="14.25" customHeight="1" spans="4:7">
      <c r="D156" s="93"/>
      <c r="E156" s="94"/>
      <c r="F156" s="95"/>
      <c r="G156" s="96"/>
    </row>
    <row r="157" ht="14.25" customHeight="1" spans="4:7">
      <c r="D157" s="93"/>
      <c r="E157" s="94"/>
      <c r="F157" s="95"/>
      <c r="G157" s="96"/>
    </row>
    <row r="158" ht="14.25" customHeight="1" spans="4:7">
      <c r="D158" s="93"/>
      <c r="E158" s="94"/>
      <c r="F158" s="95"/>
      <c r="G158" s="96"/>
    </row>
    <row r="159" ht="14.25" customHeight="1" spans="4:7">
      <c r="D159" s="93"/>
      <c r="E159" s="94"/>
      <c r="F159" s="95"/>
      <c r="G159" s="96"/>
    </row>
    <row r="160" ht="14.25" customHeight="1" spans="4:7">
      <c r="D160" s="93"/>
      <c r="E160" s="94"/>
      <c r="F160" s="95"/>
      <c r="G160" s="96"/>
    </row>
    <row r="161" ht="14.25" customHeight="1" spans="4:7">
      <c r="D161" s="93"/>
      <c r="E161" s="94"/>
      <c r="F161" s="95"/>
      <c r="G161" s="96"/>
    </row>
    <row r="162" ht="14.25" customHeight="1" spans="4:7">
      <c r="D162" s="93"/>
      <c r="E162" s="94"/>
      <c r="F162" s="95"/>
      <c r="G162" s="96"/>
    </row>
    <row r="163" ht="14.25" customHeight="1" spans="4:7">
      <c r="D163" s="93"/>
      <c r="E163" s="94"/>
      <c r="F163" s="95"/>
      <c r="G163" s="96"/>
    </row>
    <row r="164" ht="14.25" customHeight="1" spans="4:7">
      <c r="D164" s="93"/>
      <c r="E164" s="94"/>
      <c r="F164" s="95"/>
      <c r="G164" s="96"/>
    </row>
    <row r="165" ht="14.25" customHeight="1" spans="4:7">
      <c r="D165" s="93"/>
      <c r="E165" s="94"/>
      <c r="F165" s="95"/>
      <c r="G165" s="96"/>
    </row>
    <row r="166" ht="14.25" customHeight="1" spans="4:7">
      <c r="D166" s="93"/>
      <c r="E166" s="94"/>
      <c r="F166" s="95"/>
      <c r="G166" s="96"/>
    </row>
    <row r="167" ht="14.25" customHeight="1" spans="4:7">
      <c r="D167" s="93"/>
      <c r="E167" s="94"/>
      <c r="F167" s="95"/>
      <c r="G167" s="96"/>
    </row>
    <row r="168" ht="14.25" customHeight="1" spans="4:7">
      <c r="D168" s="93"/>
      <c r="E168" s="94"/>
      <c r="F168" s="95"/>
      <c r="G168" s="96"/>
    </row>
    <row r="169" ht="14.25" customHeight="1" spans="4:7">
      <c r="D169" s="93"/>
      <c r="E169" s="94"/>
      <c r="F169" s="95"/>
      <c r="G169" s="96"/>
    </row>
    <row r="170" ht="14.25" customHeight="1" spans="4:7">
      <c r="D170" s="93"/>
      <c r="E170" s="94"/>
      <c r="F170" s="95"/>
      <c r="G170" s="96"/>
    </row>
    <row r="171" ht="14.25" customHeight="1" spans="4:7">
      <c r="D171" s="93"/>
      <c r="E171" s="94"/>
      <c r="F171" s="95"/>
      <c r="G171" s="96"/>
    </row>
    <row r="172" ht="14.25" customHeight="1" spans="4:7">
      <c r="D172" s="93"/>
      <c r="E172" s="94"/>
      <c r="F172" s="95"/>
      <c r="G172" s="96"/>
    </row>
    <row r="173" ht="14.25" customHeight="1" spans="4:7">
      <c r="D173" s="93"/>
      <c r="E173" s="94"/>
      <c r="F173" s="95"/>
      <c r="G173" s="96"/>
    </row>
    <row r="174" ht="14.25" customHeight="1" spans="4:7">
      <c r="D174" s="93"/>
      <c r="E174" s="94"/>
      <c r="F174" s="95"/>
      <c r="G174" s="96"/>
    </row>
    <row r="175" ht="14.25" customHeight="1" spans="4:7">
      <c r="D175" s="93"/>
      <c r="E175" s="94"/>
      <c r="F175" s="95"/>
      <c r="G175" s="96"/>
    </row>
    <row r="176" ht="14.25" customHeight="1" spans="4:7">
      <c r="D176" s="93"/>
      <c r="E176" s="94"/>
      <c r="F176" s="95"/>
      <c r="G176" s="96"/>
    </row>
    <row r="177" ht="14.25" customHeight="1" spans="4:7">
      <c r="D177" s="93"/>
      <c r="E177" s="94"/>
      <c r="F177" s="95"/>
      <c r="G177" s="96"/>
    </row>
    <row r="178" ht="14.25" customHeight="1" spans="4:7">
      <c r="D178" s="93"/>
      <c r="E178" s="94"/>
      <c r="F178" s="95"/>
      <c r="G178" s="96"/>
    </row>
    <row r="179" ht="14.25" customHeight="1" spans="4:7">
      <c r="D179" s="93"/>
      <c r="E179" s="94"/>
      <c r="F179" s="95"/>
      <c r="G179" s="96"/>
    </row>
    <row r="180" ht="14.25" customHeight="1" spans="4:7">
      <c r="D180" s="93"/>
      <c r="E180" s="94"/>
      <c r="F180" s="95"/>
      <c r="G180" s="96"/>
    </row>
    <row r="181" ht="14.25" customHeight="1" spans="4:7">
      <c r="D181" s="93"/>
      <c r="E181" s="94"/>
      <c r="F181" s="95"/>
      <c r="G181" s="96"/>
    </row>
    <row r="182" ht="14.25" customHeight="1" spans="4:7">
      <c r="D182" s="93"/>
      <c r="E182" s="94"/>
      <c r="F182" s="95"/>
      <c r="G182" s="96"/>
    </row>
    <row r="183" ht="14.25" customHeight="1" spans="4:7">
      <c r="D183" s="93"/>
      <c r="E183" s="94"/>
      <c r="F183" s="95"/>
      <c r="G183" s="96"/>
    </row>
    <row r="184" ht="14.25" customHeight="1" spans="4:7">
      <c r="D184" s="93"/>
      <c r="E184" s="94"/>
      <c r="F184" s="95"/>
      <c r="G184" s="96"/>
    </row>
    <row r="185" ht="14.25" customHeight="1" spans="4:7">
      <c r="D185" s="93"/>
      <c r="E185" s="94"/>
      <c r="F185" s="95"/>
      <c r="G185" s="96"/>
    </row>
    <row r="186" ht="14.25" customHeight="1" spans="4:7">
      <c r="D186" s="93"/>
      <c r="E186" s="94"/>
      <c r="F186" s="95"/>
      <c r="G186" s="96"/>
    </row>
    <row r="187" ht="14.25" customHeight="1" spans="4:7">
      <c r="D187" s="93"/>
      <c r="E187" s="94"/>
      <c r="F187" s="95"/>
      <c r="G187" s="96"/>
    </row>
    <row r="188" ht="14.25" customHeight="1" spans="4:7">
      <c r="D188" s="93"/>
      <c r="E188" s="94"/>
      <c r="F188" s="95"/>
      <c r="G188" s="96"/>
    </row>
    <row r="189" ht="14.25" customHeight="1" spans="4:7">
      <c r="D189" s="93"/>
      <c r="E189" s="94"/>
      <c r="F189" s="95"/>
      <c r="G189" s="96"/>
    </row>
    <row r="190" ht="14.25" customHeight="1" spans="4:7">
      <c r="D190" s="93"/>
      <c r="E190" s="94"/>
      <c r="F190" s="95"/>
      <c r="G190" s="96"/>
    </row>
    <row r="191" ht="14.25" customHeight="1" spans="4:7">
      <c r="D191" s="93"/>
      <c r="E191" s="94"/>
      <c r="F191" s="95"/>
      <c r="G191" s="96"/>
    </row>
    <row r="192" ht="14.25" customHeight="1" spans="4:7">
      <c r="D192" s="93"/>
      <c r="E192" s="94"/>
      <c r="F192" s="95"/>
      <c r="G192" s="96"/>
    </row>
    <row r="193" ht="14.25" customHeight="1" spans="4:7">
      <c r="D193" s="93"/>
      <c r="E193" s="94"/>
      <c r="F193" s="95"/>
      <c r="G193" s="96"/>
    </row>
    <row r="194" ht="14.25" customHeight="1" spans="4:7">
      <c r="D194" s="93"/>
      <c r="E194" s="94"/>
      <c r="F194" s="95"/>
      <c r="G194" s="96"/>
    </row>
    <row r="195" ht="14.25" customHeight="1" spans="4:7">
      <c r="D195" s="93"/>
      <c r="E195" s="94"/>
      <c r="F195" s="95"/>
      <c r="G195" s="96"/>
    </row>
    <row r="196" ht="14.25" customHeight="1" spans="4:7">
      <c r="D196" s="93"/>
      <c r="E196" s="94"/>
      <c r="F196" s="95"/>
      <c r="G196" s="96"/>
    </row>
    <row r="197" ht="14.25" customHeight="1" spans="4:7">
      <c r="D197" s="93"/>
      <c r="E197" s="94"/>
      <c r="F197" s="95"/>
      <c r="G197" s="96"/>
    </row>
    <row r="198" ht="14.25" customHeight="1" spans="4:7">
      <c r="D198" s="93"/>
      <c r="E198" s="94"/>
      <c r="F198" s="95"/>
      <c r="G198" s="96"/>
    </row>
    <row r="199" ht="14.25" customHeight="1" spans="4:7">
      <c r="D199" s="93"/>
      <c r="E199" s="94"/>
      <c r="F199" s="95"/>
      <c r="G199" s="96"/>
    </row>
    <row r="200" ht="14.25" customHeight="1" spans="4:7">
      <c r="D200" s="93"/>
      <c r="E200" s="94"/>
      <c r="F200" s="95"/>
      <c r="G200" s="96"/>
    </row>
    <row r="201" ht="14.25" customHeight="1" spans="4:7">
      <c r="D201" s="93"/>
      <c r="E201" s="94"/>
      <c r="F201" s="95"/>
      <c r="G201" s="96"/>
    </row>
    <row r="202" ht="14.25" customHeight="1" spans="4:7">
      <c r="D202" s="93"/>
      <c r="E202" s="94"/>
      <c r="F202" s="95"/>
      <c r="G202" s="96"/>
    </row>
    <row r="203" ht="14.25" customHeight="1" spans="4:7">
      <c r="D203" s="93"/>
      <c r="E203" s="94"/>
      <c r="F203" s="95"/>
      <c r="G203" s="96"/>
    </row>
    <row r="204" ht="14.25" customHeight="1" spans="4:7">
      <c r="D204" s="93"/>
      <c r="E204" s="94"/>
      <c r="F204" s="95"/>
      <c r="G204" s="96"/>
    </row>
    <row r="205" ht="14.25" customHeight="1" spans="4:7">
      <c r="D205" s="93"/>
      <c r="E205" s="94"/>
      <c r="F205" s="95"/>
      <c r="G205" s="96"/>
    </row>
    <row r="206" ht="14.25" customHeight="1" spans="4:7">
      <c r="D206" s="93"/>
      <c r="E206" s="94"/>
      <c r="F206" s="95"/>
      <c r="G206" s="96"/>
    </row>
    <row r="207" ht="14.25" customHeight="1" spans="4:7">
      <c r="D207" s="93"/>
      <c r="E207" s="94"/>
      <c r="F207" s="95"/>
      <c r="G207" s="96"/>
    </row>
    <row r="208" ht="14.25" customHeight="1" spans="4:7">
      <c r="D208" s="93"/>
      <c r="E208" s="94"/>
      <c r="F208" s="95"/>
      <c r="G208" s="96"/>
    </row>
    <row r="209" ht="14.25" customHeight="1" spans="4:7">
      <c r="D209" s="93"/>
      <c r="E209" s="94"/>
      <c r="F209" s="95"/>
      <c r="G209" s="96"/>
    </row>
    <row r="210" ht="14.25" customHeight="1" spans="4:7">
      <c r="D210" s="93"/>
      <c r="E210" s="94"/>
      <c r="F210" s="95"/>
      <c r="G210" s="96"/>
    </row>
    <row r="211" ht="14.25" customHeight="1" spans="4:7">
      <c r="D211" s="93"/>
      <c r="E211" s="94"/>
      <c r="F211" s="95"/>
      <c r="G211" s="96"/>
    </row>
    <row r="212" ht="14.25" customHeight="1" spans="4:7">
      <c r="D212" s="93"/>
      <c r="E212" s="94"/>
      <c r="F212" s="95"/>
      <c r="G212" s="96"/>
    </row>
    <row r="213" ht="14.25" customHeight="1" spans="4:7">
      <c r="D213" s="93"/>
      <c r="E213" s="94"/>
      <c r="F213" s="95"/>
      <c r="G213" s="96"/>
    </row>
    <row r="214" ht="14.25" customHeight="1" spans="4:7">
      <c r="D214" s="93"/>
      <c r="E214" s="94"/>
      <c r="F214" s="95"/>
      <c r="G214" s="96"/>
    </row>
    <row r="215" ht="14.25" customHeight="1" spans="4:7">
      <c r="D215" s="93"/>
      <c r="E215" s="94"/>
      <c r="F215" s="95"/>
      <c r="G215" s="96"/>
    </row>
    <row r="216" ht="14.25" customHeight="1" spans="4:7">
      <c r="D216" s="93"/>
      <c r="E216" s="94"/>
      <c r="F216" s="95"/>
      <c r="G216" s="96"/>
    </row>
    <row r="217" ht="14.25" customHeight="1" spans="4:7">
      <c r="D217" s="93"/>
      <c r="E217" s="94"/>
      <c r="F217" s="95"/>
      <c r="G217" s="96"/>
    </row>
    <row r="218" ht="14.25" customHeight="1" spans="4:7">
      <c r="D218" s="93"/>
      <c r="E218" s="94"/>
      <c r="F218" s="95"/>
      <c r="G218" s="96"/>
    </row>
    <row r="219" ht="14.25" customHeight="1" spans="4:7">
      <c r="D219" s="93"/>
      <c r="E219" s="94"/>
      <c r="F219" s="95"/>
      <c r="G219" s="96"/>
    </row>
    <row r="220" ht="14.25" customHeight="1" spans="4:7">
      <c r="D220" s="93"/>
      <c r="E220" s="94"/>
      <c r="F220" s="95"/>
      <c r="G220" s="96"/>
    </row>
    <row r="221" ht="14.25" customHeight="1" spans="4:7">
      <c r="D221" s="93"/>
      <c r="E221" s="94"/>
      <c r="F221" s="95"/>
      <c r="G221" s="96"/>
    </row>
    <row r="222" ht="14.25" customHeight="1" spans="4:7">
      <c r="D222" s="93"/>
      <c r="E222" s="94"/>
      <c r="F222" s="95"/>
      <c r="G222" s="96"/>
    </row>
    <row r="223" ht="14.25" customHeight="1" spans="4:7">
      <c r="D223" s="93"/>
      <c r="E223" s="94"/>
      <c r="F223" s="95"/>
      <c r="G223" s="96"/>
    </row>
    <row r="224" ht="14.25" customHeight="1" spans="4:7">
      <c r="D224" s="93"/>
      <c r="E224" s="94"/>
      <c r="F224" s="95"/>
      <c r="G224" s="96"/>
    </row>
    <row r="225" ht="14.25" customHeight="1" spans="4:7">
      <c r="D225" s="93"/>
      <c r="E225" s="94"/>
      <c r="F225" s="95"/>
      <c r="G225" s="96"/>
    </row>
    <row r="226" ht="14.25" customHeight="1" spans="4:7">
      <c r="D226" s="93"/>
      <c r="E226" s="94"/>
      <c r="F226" s="95"/>
      <c r="G226" s="96"/>
    </row>
    <row r="227" ht="14.25" customHeight="1" spans="4:7">
      <c r="D227" s="93"/>
      <c r="E227" s="94"/>
      <c r="F227" s="95"/>
      <c r="G227" s="96"/>
    </row>
    <row r="228" ht="14.25" customHeight="1" spans="4:7">
      <c r="D228" s="93"/>
      <c r="E228" s="94"/>
      <c r="F228" s="95"/>
      <c r="G228" s="96"/>
    </row>
    <row r="229" ht="14.25" customHeight="1" spans="4:7">
      <c r="D229" s="93"/>
      <c r="E229" s="94"/>
      <c r="F229" s="95"/>
      <c r="G229" s="96"/>
    </row>
    <row r="230" ht="14.25" customHeight="1" spans="4:7">
      <c r="D230" s="93"/>
      <c r="E230" s="94"/>
      <c r="F230" s="95"/>
      <c r="G230" s="96"/>
    </row>
    <row r="231" ht="14.25" customHeight="1" spans="4:7">
      <c r="D231" s="93"/>
      <c r="E231" s="94"/>
      <c r="F231" s="95"/>
      <c r="G231" s="96"/>
    </row>
    <row r="232" ht="14.25" customHeight="1" spans="4:7">
      <c r="D232" s="93"/>
      <c r="E232" s="94"/>
      <c r="F232" s="95"/>
      <c r="G232" s="96"/>
    </row>
    <row r="233" ht="14.25" customHeight="1" spans="4:7">
      <c r="D233" s="93"/>
      <c r="E233" s="94"/>
      <c r="F233" s="95"/>
      <c r="G233" s="96"/>
    </row>
    <row r="234" ht="14.25" customHeight="1" spans="4:7">
      <c r="D234" s="93"/>
      <c r="E234" s="94"/>
      <c r="F234" s="95"/>
      <c r="G234" s="96"/>
    </row>
    <row r="235" ht="14.25" customHeight="1" spans="4:7">
      <c r="D235" s="93"/>
      <c r="E235" s="94"/>
      <c r="F235" s="95"/>
      <c r="G235" s="96"/>
    </row>
    <row r="236" ht="14.25" customHeight="1" spans="4:7">
      <c r="D236" s="93"/>
      <c r="E236" s="94"/>
      <c r="F236" s="95"/>
      <c r="G236" s="96"/>
    </row>
    <row r="237" ht="14.25" customHeight="1" spans="4:7">
      <c r="D237" s="93"/>
      <c r="E237" s="94"/>
      <c r="F237" s="95"/>
      <c r="G237" s="96"/>
    </row>
    <row r="238" ht="14.25" customHeight="1" spans="4:7">
      <c r="D238" s="93"/>
      <c r="E238" s="94"/>
      <c r="F238" s="95"/>
      <c r="G238" s="96"/>
    </row>
    <row r="239" ht="14.25" customHeight="1" spans="4:7">
      <c r="D239" s="93"/>
      <c r="E239" s="94"/>
      <c r="F239" s="95"/>
      <c r="G239" s="96"/>
    </row>
    <row r="240" ht="14.25" customHeight="1" spans="4:7">
      <c r="D240" s="93"/>
      <c r="E240" s="94"/>
      <c r="F240" s="95"/>
      <c r="G240" s="96"/>
    </row>
    <row r="241" ht="14.25" customHeight="1" spans="4:7">
      <c r="D241" s="93"/>
      <c r="E241" s="94"/>
      <c r="F241" s="95"/>
      <c r="G241" s="96"/>
    </row>
    <row r="242" ht="14.25" customHeight="1" spans="4:7">
      <c r="D242" s="93"/>
      <c r="E242" s="94"/>
      <c r="F242" s="95"/>
      <c r="G242" s="96"/>
    </row>
    <row r="243" ht="14.25" customHeight="1" spans="4:7">
      <c r="D243" s="93"/>
      <c r="E243" s="94"/>
      <c r="F243" s="95"/>
      <c r="G243" s="96"/>
    </row>
    <row r="244" ht="14.25" customHeight="1" spans="4:7">
      <c r="D244" s="93"/>
      <c r="E244" s="94"/>
      <c r="F244" s="95"/>
      <c r="G244" s="96"/>
    </row>
    <row r="245" ht="14.25" customHeight="1" spans="4:7">
      <c r="D245" s="93"/>
      <c r="E245" s="94"/>
      <c r="F245" s="95"/>
      <c r="G245" s="96"/>
    </row>
    <row r="246" ht="14.25" customHeight="1" spans="4:7">
      <c r="D246" s="93"/>
      <c r="E246" s="94"/>
      <c r="F246" s="95"/>
      <c r="G246" s="96"/>
    </row>
    <row r="247" ht="14.25" customHeight="1" spans="4:7">
      <c r="D247" s="93"/>
      <c r="E247" s="94"/>
      <c r="F247" s="95"/>
      <c r="G247" s="96"/>
    </row>
    <row r="248" ht="14.25" customHeight="1" spans="4:7">
      <c r="D248" s="93"/>
      <c r="E248" s="94"/>
      <c r="F248" s="95"/>
      <c r="G248" s="96"/>
    </row>
    <row r="249" ht="14.25" customHeight="1" spans="4:7">
      <c r="D249" s="93"/>
      <c r="E249" s="94"/>
      <c r="F249" s="95"/>
      <c r="G249" s="96"/>
    </row>
    <row r="250" ht="14.25" customHeight="1" spans="4:7">
      <c r="D250" s="93"/>
      <c r="E250" s="94"/>
      <c r="F250" s="95"/>
      <c r="G250" s="96"/>
    </row>
    <row r="251" ht="14.25" customHeight="1" spans="4:7">
      <c r="D251" s="93"/>
      <c r="E251" s="94"/>
      <c r="F251" s="95"/>
      <c r="G251" s="96"/>
    </row>
    <row r="252" ht="14.25" customHeight="1" spans="4:7">
      <c r="D252" s="93"/>
      <c r="E252" s="94"/>
      <c r="F252" s="95"/>
      <c r="G252" s="96"/>
    </row>
    <row r="253" ht="14.25" customHeight="1" spans="4:7">
      <c r="D253" s="93"/>
      <c r="E253" s="94"/>
      <c r="F253" s="95"/>
      <c r="G253" s="96"/>
    </row>
    <row r="254" ht="14.25" customHeight="1" spans="4:7">
      <c r="D254" s="93"/>
      <c r="E254" s="94"/>
      <c r="F254" s="95"/>
      <c r="G254" s="96"/>
    </row>
    <row r="255" ht="14.25" customHeight="1" spans="4:7">
      <c r="D255" s="93"/>
      <c r="E255" s="94"/>
      <c r="F255" s="95"/>
      <c r="G255" s="96"/>
    </row>
    <row r="256" ht="14.25" customHeight="1" spans="4:7">
      <c r="D256" s="93"/>
      <c r="E256" s="94"/>
      <c r="F256" s="95"/>
      <c r="G256" s="96"/>
    </row>
    <row r="257" ht="14.25" customHeight="1" spans="4:7">
      <c r="D257" s="93"/>
      <c r="E257" s="94"/>
      <c r="F257" s="95"/>
      <c r="G257" s="96"/>
    </row>
    <row r="258" ht="14.25" customHeight="1" spans="4:7">
      <c r="D258" s="93"/>
      <c r="E258" s="94"/>
      <c r="F258" s="95"/>
      <c r="G258" s="96"/>
    </row>
    <row r="259" ht="14.25" customHeight="1" spans="4:7">
      <c r="D259" s="93"/>
      <c r="E259" s="94"/>
      <c r="F259" s="95"/>
      <c r="G259" s="96"/>
    </row>
    <row r="260" ht="14.25" customHeight="1" spans="4:7">
      <c r="D260" s="93"/>
      <c r="E260" s="94"/>
      <c r="F260" s="95"/>
      <c r="G260" s="96"/>
    </row>
    <row r="261" ht="14.25" customHeight="1" spans="4:7">
      <c r="D261" s="93"/>
      <c r="E261" s="94"/>
      <c r="F261" s="95"/>
      <c r="G261" s="96"/>
    </row>
    <row r="262" ht="14.25" customHeight="1" spans="4:7">
      <c r="D262" s="93"/>
      <c r="E262" s="94"/>
      <c r="F262" s="95"/>
      <c r="G262" s="96"/>
    </row>
    <row r="263" ht="14.25" customHeight="1" spans="4:7">
      <c r="D263" s="93"/>
      <c r="E263" s="94"/>
      <c r="F263" s="95"/>
      <c r="G263" s="96"/>
    </row>
    <row r="264" ht="14.25" customHeight="1" spans="4:7">
      <c r="D264" s="93"/>
      <c r="E264" s="94"/>
      <c r="F264" s="95"/>
      <c r="G264" s="96"/>
    </row>
    <row r="265" ht="14.25" customHeight="1" spans="4:7">
      <c r="D265" s="93"/>
      <c r="E265" s="94"/>
      <c r="F265" s="95"/>
      <c r="G265" s="96"/>
    </row>
    <row r="266" ht="14.25" customHeight="1" spans="4:7">
      <c r="D266" s="93"/>
      <c r="E266" s="94"/>
      <c r="F266" s="95"/>
      <c r="G266" s="96"/>
    </row>
    <row r="267" ht="14.25" customHeight="1" spans="4:7">
      <c r="D267" s="93"/>
      <c r="E267" s="94"/>
      <c r="F267" s="95"/>
      <c r="G267" s="96"/>
    </row>
    <row r="268" ht="14.25" customHeight="1" spans="4:7">
      <c r="D268" s="93"/>
      <c r="E268" s="94"/>
      <c r="F268" s="95"/>
      <c r="G268" s="96"/>
    </row>
    <row r="269" ht="14.25" customHeight="1" spans="4:7">
      <c r="D269" s="93"/>
      <c r="E269" s="94"/>
      <c r="F269" s="95"/>
      <c r="G269" s="96"/>
    </row>
    <row r="270" ht="14.25" customHeight="1" spans="4:7">
      <c r="D270" s="93"/>
      <c r="E270" s="94"/>
      <c r="F270" s="95"/>
      <c r="G270" s="96"/>
    </row>
    <row r="271" ht="14.25" customHeight="1" spans="4:7">
      <c r="D271" s="93"/>
      <c r="E271" s="94"/>
      <c r="F271" s="95"/>
      <c r="G271" s="96"/>
    </row>
    <row r="272" ht="14.25" customHeight="1" spans="4:7">
      <c r="D272" s="93"/>
      <c r="E272" s="94"/>
      <c r="F272" s="95"/>
      <c r="G272" s="96"/>
    </row>
    <row r="273" ht="14.25" customHeight="1" spans="4:7">
      <c r="D273" s="93"/>
      <c r="E273" s="94"/>
      <c r="F273" s="95"/>
      <c r="G273" s="96"/>
    </row>
    <row r="274" ht="14.25" customHeight="1" spans="4:7">
      <c r="D274" s="93"/>
      <c r="E274" s="94"/>
      <c r="F274" s="95"/>
      <c r="G274" s="96"/>
    </row>
    <row r="275" ht="14.25" customHeight="1" spans="4:7">
      <c r="D275" s="93"/>
      <c r="E275" s="94"/>
      <c r="F275" s="95"/>
      <c r="G275" s="96"/>
    </row>
    <row r="276" ht="14.25" customHeight="1" spans="4:7">
      <c r="D276" s="93"/>
      <c r="E276" s="94"/>
      <c r="F276" s="95"/>
      <c r="G276" s="96"/>
    </row>
    <row r="277" ht="14.25" customHeight="1" spans="4:7">
      <c r="D277" s="93"/>
      <c r="E277" s="94"/>
      <c r="F277" s="95"/>
      <c r="G277" s="96"/>
    </row>
    <row r="278" ht="14.25" customHeight="1" spans="4:7">
      <c r="D278" s="93"/>
      <c r="E278" s="94"/>
      <c r="F278" s="95"/>
      <c r="G278" s="96"/>
    </row>
    <row r="279" ht="14.25" customHeight="1" spans="4:7">
      <c r="D279" s="93"/>
      <c r="E279" s="94"/>
      <c r="F279" s="95"/>
      <c r="G279" s="96"/>
    </row>
    <row r="280" ht="14.25" customHeight="1" spans="4:7">
      <c r="D280" s="93"/>
      <c r="E280" s="94"/>
      <c r="F280" s="95"/>
      <c r="G280" s="96"/>
    </row>
    <row r="281" ht="14.25" customHeight="1" spans="4:7">
      <c r="D281" s="93"/>
      <c r="E281" s="94"/>
      <c r="F281" s="95"/>
      <c r="G281" s="96"/>
    </row>
    <row r="282" ht="14.25" customHeight="1" spans="4:7">
      <c r="D282" s="93"/>
      <c r="E282" s="94"/>
      <c r="F282" s="95"/>
      <c r="G282" s="96"/>
    </row>
    <row r="283" ht="14.25" customHeight="1" spans="4:7">
      <c r="D283" s="93"/>
      <c r="E283" s="94"/>
      <c r="F283" s="95"/>
      <c r="G283" s="96"/>
    </row>
    <row r="284" ht="14.25" customHeight="1" spans="4:7">
      <c r="D284" s="93"/>
      <c r="E284" s="94"/>
      <c r="F284" s="95"/>
      <c r="G284" s="96"/>
    </row>
    <row r="285" ht="14.25" customHeight="1" spans="4:7">
      <c r="D285" s="93"/>
      <c r="E285" s="94"/>
      <c r="F285" s="95"/>
      <c r="G285" s="96"/>
    </row>
    <row r="286" ht="14.25" customHeight="1" spans="4:7">
      <c r="D286" s="93"/>
      <c r="E286" s="94"/>
      <c r="F286" s="95"/>
      <c r="G286" s="96"/>
    </row>
    <row r="287" ht="14.25" customHeight="1" spans="4:7">
      <c r="D287" s="93"/>
      <c r="E287" s="94"/>
      <c r="F287" s="95"/>
      <c r="G287" s="96"/>
    </row>
    <row r="288" ht="14.25" customHeight="1" spans="4:7">
      <c r="D288" s="93"/>
      <c r="E288" s="94"/>
      <c r="F288" s="95"/>
      <c r="G288" s="96"/>
    </row>
    <row r="289" ht="14.25" customHeight="1" spans="4:7">
      <c r="D289" s="93"/>
      <c r="E289" s="94"/>
      <c r="F289" s="95"/>
      <c r="G289" s="96"/>
    </row>
    <row r="290" ht="14.25" customHeight="1" spans="4:7">
      <c r="D290" s="93"/>
      <c r="E290" s="94"/>
      <c r="F290" s="95"/>
      <c r="G290" s="96"/>
    </row>
    <row r="291" ht="14.25" customHeight="1" spans="4:7">
      <c r="D291" s="93"/>
      <c r="E291" s="94"/>
      <c r="F291" s="95"/>
      <c r="G291" s="96"/>
    </row>
    <row r="292" ht="14.25" customHeight="1" spans="4:7">
      <c r="D292" s="93"/>
      <c r="E292" s="94"/>
      <c r="F292" s="95"/>
      <c r="G292" s="96"/>
    </row>
    <row r="293" ht="14.25" customHeight="1" spans="4:7">
      <c r="D293" s="93"/>
      <c r="E293" s="94"/>
      <c r="F293" s="95"/>
      <c r="G293" s="96"/>
    </row>
    <row r="294" ht="14.25" customHeight="1" spans="4:7">
      <c r="D294" s="93"/>
      <c r="E294" s="94"/>
      <c r="F294" s="95"/>
      <c r="G294" s="96"/>
    </row>
    <row r="295" ht="14.25" customHeight="1" spans="4:7">
      <c r="D295" s="93"/>
      <c r="E295" s="94"/>
      <c r="F295" s="95"/>
      <c r="G295" s="96"/>
    </row>
    <row r="296" ht="14.25" customHeight="1" spans="4:7">
      <c r="D296" s="93"/>
      <c r="E296" s="94"/>
      <c r="F296" s="95"/>
      <c r="G296" s="96"/>
    </row>
    <row r="297" ht="14.25" customHeight="1" spans="4:7">
      <c r="D297" s="93"/>
      <c r="E297" s="94"/>
      <c r="F297" s="95"/>
      <c r="G297" s="96"/>
    </row>
    <row r="298" ht="14.25" customHeight="1" spans="4:7">
      <c r="D298" s="93"/>
      <c r="E298" s="94"/>
      <c r="F298" s="95"/>
      <c r="G298" s="96"/>
    </row>
    <row r="299" ht="14.25" customHeight="1" spans="4:7">
      <c r="D299" s="93"/>
      <c r="E299" s="94"/>
      <c r="F299" s="95"/>
      <c r="G299" s="96"/>
    </row>
    <row r="300" ht="14.25" customHeight="1" spans="4:7">
      <c r="D300" s="93"/>
      <c r="E300" s="94"/>
      <c r="F300" s="95"/>
      <c r="G300" s="96"/>
    </row>
    <row r="301" ht="14.25" customHeight="1" spans="4:7">
      <c r="D301" s="93"/>
      <c r="E301" s="94"/>
      <c r="F301" s="95"/>
      <c r="G301" s="96"/>
    </row>
    <row r="302" ht="14.25" customHeight="1" spans="4:7">
      <c r="D302" s="93"/>
      <c r="E302" s="94"/>
      <c r="F302" s="95"/>
      <c r="G302" s="96"/>
    </row>
    <row r="303" ht="14.25" customHeight="1" spans="4:7">
      <c r="D303" s="93"/>
      <c r="E303" s="94"/>
      <c r="F303" s="95"/>
      <c r="G303" s="96"/>
    </row>
    <row r="304" ht="14.25" customHeight="1" spans="4:7">
      <c r="D304" s="93"/>
      <c r="E304" s="94"/>
      <c r="F304" s="95"/>
      <c r="G304" s="96"/>
    </row>
    <row r="305" ht="14.25" customHeight="1" spans="4:7">
      <c r="D305" s="93"/>
      <c r="E305" s="94"/>
      <c r="F305" s="95"/>
      <c r="G305" s="96"/>
    </row>
    <row r="306" ht="14.25" customHeight="1" spans="4:7">
      <c r="D306" s="93"/>
      <c r="E306" s="94"/>
      <c r="F306" s="95"/>
      <c r="G306" s="96"/>
    </row>
    <row r="307" ht="14.25" customHeight="1" spans="4:7">
      <c r="D307" s="93"/>
      <c r="E307" s="94"/>
      <c r="F307" s="95"/>
      <c r="G307" s="96"/>
    </row>
    <row r="308" ht="14.25" customHeight="1" spans="4:7">
      <c r="D308" s="93"/>
      <c r="E308" s="94"/>
      <c r="F308" s="95"/>
      <c r="G308" s="96"/>
    </row>
    <row r="309" ht="14.25" customHeight="1" spans="4:7">
      <c r="D309" s="93"/>
      <c r="E309" s="94"/>
      <c r="F309" s="95"/>
      <c r="G309" s="96"/>
    </row>
    <row r="310" ht="14.25" customHeight="1" spans="4:7">
      <c r="D310" s="93"/>
      <c r="E310" s="94"/>
      <c r="F310" s="95"/>
      <c r="G310" s="96"/>
    </row>
    <row r="311" ht="14.25" customHeight="1" spans="4:7">
      <c r="D311" s="93"/>
      <c r="E311" s="94"/>
      <c r="F311" s="95"/>
      <c r="G311" s="96"/>
    </row>
    <row r="312" ht="14.25" customHeight="1" spans="4:7">
      <c r="D312" s="93"/>
      <c r="E312" s="94"/>
      <c r="F312" s="95"/>
      <c r="G312" s="96"/>
    </row>
    <row r="313" ht="14.25" customHeight="1" spans="4:7">
      <c r="D313" s="93"/>
      <c r="E313" s="94"/>
      <c r="F313" s="95"/>
      <c r="G313" s="96"/>
    </row>
    <row r="314" ht="14.25" customHeight="1" spans="4:7">
      <c r="D314" s="93"/>
      <c r="E314" s="94"/>
      <c r="F314" s="95"/>
      <c r="G314" s="96"/>
    </row>
    <row r="315" ht="14.25" customHeight="1" spans="4:7">
      <c r="D315" s="93"/>
      <c r="E315" s="94"/>
      <c r="F315" s="95"/>
      <c r="G315" s="96"/>
    </row>
    <row r="316" ht="14.25" customHeight="1" spans="4:7">
      <c r="D316" s="93"/>
      <c r="E316" s="94"/>
      <c r="F316" s="95"/>
      <c r="G316" s="96"/>
    </row>
    <row r="317" ht="14.25" customHeight="1" spans="4:7">
      <c r="D317" s="93"/>
      <c r="E317" s="94"/>
      <c r="F317" s="95"/>
      <c r="G317" s="96"/>
    </row>
    <row r="318" ht="14.25" customHeight="1" spans="4:7">
      <c r="D318" s="93"/>
      <c r="E318" s="94"/>
      <c r="F318" s="95"/>
      <c r="G318" s="96"/>
    </row>
    <row r="319" ht="14.25" customHeight="1" spans="4:7">
      <c r="D319" s="93"/>
      <c r="E319" s="94"/>
      <c r="F319" s="95"/>
      <c r="G319" s="96"/>
    </row>
    <row r="320" ht="14.25" customHeight="1" spans="4:7">
      <c r="D320" s="93"/>
      <c r="E320" s="94"/>
      <c r="F320" s="95"/>
      <c r="G320" s="96"/>
    </row>
    <row r="321" ht="14.25" customHeight="1" spans="4:7">
      <c r="D321" s="93"/>
      <c r="E321" s="94"/>
      <c r="F321" s="95"/>
      <c r="G321" s="96"/>
    </row>
    <row r="322" ht="14.25" customHeight="1" spans="4:7">
      <c r="D322" s="93"/>
      <c r="E322" s="94"/>
      <c r="F322" s="95"/>
      <c r="G322" s="96"/>
    </row>
    <row r="323" ht="14.25" customHeight="1" spans="4:7">
      <c r="D323" s="93"/>
      <c r="E323" s="94"/>
      <c r="F323" s="95"/>
      <c r="G323" s="96"/>
    </row>
    <row r="324" ht="14.25" customHeight="1" spans="4:7">
      <c r="D324" s="93"/>
      <c r="E324" s="94"/>
      <c r="F324" s="95"/>
      <c r="G324" s="96"/>
    </row>
    <row r="325" ht="14.25" customHeight="1" spans="4:7">
      <c r="D325" s="93"/>
      <c r="E325" s="94"/>
      <c r="F325" s="95"/>
      <c r="G325" s="96"/>
    </row>
    <row r="326" ht="14.25" customHeight="1" spans="4:7">
      <c r="D326" s="93"/>
      <c r="E326" s="94"/>
      <c r="F326" s="95"/>
      <c r="G326" s="96"/>
    </row>
    <row r="327" ht="14.25" customHeight="1" spans="4:7">
      <c r="D327" s="93"/>
      <c r="E327" s="94"/>
      <c r="F327" s="95"/>
      <c r="G327" s="96"/>
    </row>
    <row r="328" ht="14.25" customHeight="1" spans="4:7">
      <c r="D328" s="93"/>
      <c r="E328" s="94"/>
      <c r="F328" s="95"/>
      <c r="G328" s="96"/>
    </row>
    <row r="329" ht="14.25" customHeight="1" spans="4:7">
      <c r="D329" s="93"/>
      <c r="E329" s="94"/>
      <c r="F329" s="95"/>
      <c r="G329" s="96"/>
    </row>
    <row r="330" ht="14.25" customHeight="1" spans="4:7">
      <c r="D330" s="93"/>
      <c r="E330" s="94"/>
      <c r="F330" s="95"/>
      <c r="G330" s="96"/>
    </row>
    <row r="331" ht="14.25" customHeight="1" spans="4:7">
      <c r="D331" s="93"/>
      <c r="E331" s="94"/>
      <c r="F331" s="95"/>
      <c r="G331" s="96"/>
    </row>
    <row r="332" ht="14.25" customHeight="1" spans="4:7">
      <c r="D332" s="93"/>
      <c r="E332" s="94"/>
      <c r="F332" s="95"/>
      <c r="G332" s="96"/>
    </row>
    <row r="333" ht="14.25" customHeight="1" spans="4:7">
      <c r="D333" s="93"/>
      <c r="E333" s="94"/>
      <c r="F333" s="95"/>
      <c r="G333" s="96"/>
    </row>
    <row r="334" ht="14.25" customHeight="1" spans="4:7">
      <c r="D334" s="93"/>
      <c r="E334" s="94"/>
      <c r="F334" s="95"/>
      <c r="G334" s="96"/>
    </row>
    <row r="335" ht="14.25" customHeight="1" spans="4:7">
      <c r="D335" s="93"/>
      <c r="E335" s="94"/>
      <c r="F335" s="95"/>
      <c r="G335" s="96"/>
    </row>
    <row r="336" ht="14.25" customHeight="1" spans="4:7">
      <c r="D336" s="93"/>
      <c r="E336" s="94"/>
      <c r="F336" s="95"/>
      <c r="G336" s="96"/>
    </row>
    <row r="337" ht="14.25" customHeight="1" spans="4:7">
      <c r="D337" s="93"/>
      <c r="E337" s="94"/>
      <c r="F337" s="95"/>
      <c r="G337" s="96"/>
    </row>
    <row r="338" ht="14.25" customHeight="1" spans="4:7">
      <c r="D338" s="93"/>
      <c r="E338" s="94"/>
      <c r="F338" s="95"/>
      <c r="G338" s="96"/>
    </row>
    <row r="339" ht="14.25" customHeight="1" spans="4:7">
      <c r="D339" s="93"/>
      <c r="E339" s="94"/>
      <c r="F339" s="95"/>
      <c r="G339" s="96"/>
    </row>
    <row r="340" ht="14.25" customHeight="1" spans="4:7">
      <c r="D340" s="93"/>
      <c r="E340" s="94"/>
      <c r="F340" s="95"/>
      <c r="G340" s="96"/>
    </row>
    <row r="341" ht="14.25" customHeight="1" spans="4:7">
      <c r="D341" s="93"/>
      <c r="E341" s="94"/>
      <c r="F341" s="95"/>
      <c r="G341" s="96"/>
    </row>
    <row r="342" ht="14.25" customHeight="1" spans="4:7">
      <c r="D342" s="93"/>
      <c r="E342" s="94"/>
      <c r="F342" s="95"/>
      <c r="G342" s="96"/>
    </row>
    <row r="343" ht="14.25" customHeight="1" spans="4:7">
      <c r="D343" s="93"/>
      <c r="E343" s="94"/>
      <c r="F343" s="95"/>
      <c r="G343" s="96"/>
    </row>
    <row r="344" ht="14.25" customHeight="1" spans="4:7">
      <c r="D344" s="93"/>
      <c r="E344" s="94"/>
      <c r="F344" s="95"/>
      <c r="G344" s="96"/>
    </row>
    <row r="345" ht="14.25" customHeight="1" spans="4:7">
      <c r="D345" s="93"/>
      <c r="E345" s="94"/>
      <c r="F345" s="95"/>
      <c r="G345" s="96"/>
    </row>
    <row r="346" ht="14.25" customHeight="1" spans="4:7">
      <c r="D346" s="93"/>
      <c r="E346" s="94"/>
      <c r="F346" s="95"/>
      <c r="G346" s="96"/>
    </row>
    <row r="347" ht="14.25" customHeight="1" spans="4:7">
      <c r="D347" s="93"/>
      <c r="E347" s="94"/>
      <c r="F347" s="95"/>
      <c r="G347" s="96"/>
    </row>
    <row r="348" ht="14.25" customHeight="1" spans="4:7">
      <c r="D348" s="93"/>
      <c r="E348" s="94"/>
      <c r="F348" s="95"/>
      <c r="G348" s="96"/>
    </row>
    <row r="349" ht="14.25" customHeight="1" spans="4:7">
      <c r="D349" s="93"/>
      <c r="E349" s="94"/>
      <c r="F349" s="95"/>
      <c r="G349" s="96"/>
    </row>
    <row r="350" ht="14.25" customHeight="1" spans="4:7">
      <c r="D350" s="93"/>
      <c r="E350" s="94"/>
      <c r="F350" s="95"/>
      <c r="G350" s="96"/>
    </row>
    <row r="351" ht="14.25" customHeight="1" spans="4:7">
      <c r="D351" s="93"/>
      <c r="E351" s="94"/>
      <c r="F351" s="95"/>
      <c r="G351" s="96"/>
    </row>
    <row r="352" ht="14.25" customHeight="1" spans="4:7">
      <c r="D352" s="93"/>
      <c r="E352" s="94"/>
      <c r="F352" s="95"/>
      <c r="G352" s="96"/>
    </row>
    <row r="353" ht="14.25" customHeight="1" spans="4:7">
      <c r="D353" s="93"/>
      <c r="E353" s="94"/>
      <c r="F353" s="95"/>
      <c r="G353" s="96"/>
    </row>
    <row r="354" ht="14.25" customHeight="1" spans="4:7">
      <c r="D354" s="93"/>
      <c r="E354" s="94"/>
      <c r="F354" s="95"/>
      <c r="G354" s="96"/>
    </row>
    <row r="355" ht="14.25" customHeight="1" spans="4:7">
      <c r="D355" s="93"/>
      <c r="E355" s="94"/>
      <c r="F355" s="95"/>
      <c r="G355" s="96"/>
    </row>
    <row r="356" ht="14.25" customHeight="1" spans="4:7">
      <c r="D356" s="93"/>
      <c r="E356" s="94"/>
      <c r="F356" s="95"/>
      <c r="G356" s="96"/>
    </row>
    <row r="357" ht="14.25" customHeight="1" spans="4:7">
      <c r="D357" s="93"/>
      <c r="E357" s="94"/>
      <c r="F357" s="95"/>
      <c r="G357" s="96"/>
    </row>
    <row r="358" ht="14.25" customHeight="1" spans="4:7">
      <c r="D358" s="93"/>
      <c r="E358" s="94"/>
      <c r="F358" s="95"/>
      <c r="G358" s="96"/>
    </row>
    <row r="359" ht="14.25" customHeight="1" spans="4:7">
      <c r="D359" s="93"/>
      <c r="E359" s="94"/>
      <c r="F359" s="95"/>
      <c r="G359" s="96"/>
    </row>
    <row r="360" ht="14.25" customHeight="1" spans="4:7">
      <c r="D360" s="93"/>
      <c r="E360" s="94"/>
      <c r="F360" s="95"/>
      <c r="G360" s="96"/>
    </row>
    <row r="361" ht="14.25" customHeight="1" spans="4:7">
      <c r="D361" s="93"/>
      <c r="E361" s="94"/>
      <c r="F361" s="95"/>
      <c r="G361" s="96"/>
    </row>
    <row r="362" ht="14.25" customHeight="1" spans="4:7">
      <c r="D362" s="93"/>
      <c r="E362" s="94"/>
      <c r="F362" s="95"/>
      <c r="G362" s="96"/>
    </row>
    <row r="363" ht="14.25" customHeight="1" spans="4:7">
      <c r="D363" s="93"/>
      <c r="E363" s="94"/>
      <c r="F363" s="95"/>
      <c r="G363" s="96"/>
    </row>
    <row r="364" ht="14.25" customHeight="1" spans="4:7">
      <c r="D364" s="93"/>
      <c r="E364" s="94"/>
      <c r="F364" s="95"/>
      <c r="G364" s="96"/>
    </row>
    <row r="365" ht="14.25" customHeight="1" spans="4:7">
      <c r="D365" s="93"/>
      <c r="E365" s="94"/>
      <c r="F365" s="95"/>
      <c r="G365" s="96"/>
    </row>
    <row r="366" ht="14.25" customHeight="1" spans="4:7">
      <c r="D366" s="93"/>
      <c r="E366" s="94"/>
      <c r="F366" s="95"/>
      <c r="G366" s="96"/>
    </row>
    <row r="367" ht="14.25" customHeight="1" spans="4:7">
      <c r="D367" s="93"/>
      <c r="E367" s="94"/>
      <c r="F367" s="95"/>
      <c r="G367" s="96"/>
    </row>
    <row r="368" ht="14.25" customHeight="1" spans="4:7">
      <c r="D368" s="93"/>
      <c r="E368" s="94"/>
      <c r="F368" s="95"/>
      <c r="G368" s="96"/>
    </row>
    <row r="369" ht="14.25" customHeight="1" spans="4:7">
      <c r="D369" s="93"/>
      <c r="E369" s="94"/>
      <c r="F369" s="95"/>
      <c r="G369" s="96"/>
    </row>
    <row r="370" ht="14.25" customHeight="1" spans="4:7">
      <c r="D370" s="93"/>
      <c r="E370" s="94"/>
      <c r="F370" s="95"/>
      <c r="G370" s="96"/>
    </row>
    <row r="371" ht="14.25" customHeight="1" spans="4:7">
      <c r="D371" s="93"/>
      <c r="E371" s="94"/>
      <c r="F371" s="95"/>
      <c r="G371" s="96"/>
    </row>
    <row r="372" ht="14.25" customHeight="1" spans="4:7">
      <c r="D372" s="93"/>
      <c r="E372" s="94"/>
      <c r="F372" s="95"/>
      <c r="G372" s="96"/>
    </row>
    <row r="373" ht="14.25" customHeight="1" spans="4:7">
      <c r="D373" s="93"/>
      <c r="E373" s="94"/>
      <c r="F373" s="95"/>
      <c r="G373" s="96"/>
    </row>
    <row r="374" ht="14.25" customHeight="1" spans="4:7">
      <c r="D374" s="93"/>
      <c r="E374" s="94"/>
      <c r="F374" s="95"/>
      <c r="G374" s="96"/>
    </row>
    <row r="375" ht="14.25" customHeight="1" spans="4:7">
      <c r="D375" s="93"/>
      <c r="E375" s="94"/>
      <c r="F375" s="95"/>
      <c r="G375" s="96"/>
    </row>
    <row r="376" ht="14.25" customHeight="1" spans="4:7">
      <c r="D376" s="93"/>
      <c r="E376" s="94"/>
      <c r="F376" s="95"/>
      <c r="G376" s="96"/>
    </row>
    <row r="377" ht="14.25" customHeight="1" spans="4:7">
      <c r="D377" s="93"/>
      <c r="E377" s="94"/>
      <c r="F377" s="95"/>
      <c r="G377" s="96"/>
    </row>
    <row r="378" ht="14.25" customHeight="1" spans="4:7">
      <c r="D378" s="93"/>
      <c r="E378" s="94"/>
      <c r="F378" s="95"/>
      <c r="G378" s="96"/>
    </row>
    <row r="379" ht="14.25" customHeight="1" spans="4:7">
      <c r="D379" s="93"/>
      <c r="E379" s="94"/>
      <c r="F379" s="95"/>
      <c r="G379" s="96"/>
    </row>
    <row r="380" ht="14.25" customHeight="1" spans="4:7">
      <c r="D380" s="93"/>
      <c r="E380" s="94"/>
      <c r="F380" s="95"/>
      <c r="G380" s="96"/>
    </row>
    <row r="381" ht="14.25" customHeight="1" spans="4:7">
      <c r="D381" s="93"/>
      <c r="E381" s="94"/>
      <c r="F381" s="95"/>
      <c r="G381" s="96"/>
    </row>
    <row r="382" ht="14.25" customHeight="1" spans="4:7">
      <c r="D382" s="93"/>
      <c r="E382" s="94"/>
      <c r="F382" s="95"/>
      <c r="G382" s="96"/>
    </row>
    <row r="383" ht="14.25" customHeight="1" spans="4:7">
      <c r="D383" s="93"/>
      <c r="E383" s="94"/>
      <c r="F383" s="95"/>
      <c r="G383" s="96"/>
    </row>
    <row r="384" ht="14.25" customHeight="1" spans="4:7">
      <c r="D384" s="93"/>
      <c r="E384" s="94"/>
      <c r="F384" s="95"/>
      <c r="G384" s="96"/>
    </row>
    <row r="385" ht="14.25" customHeight="1" spans="4:7">
      <c r="D385" s="93"/>
      <c r="E385" s="94"/>
      <c r="F385" s="95"/>
      <c r="G385" s="96"/>
    </row>
    <row r="386" ht="14.25" customHeight="1" spans="4:7">
      <c r="D386" s="93"/>
      <c r="E386" s="94"/>
      <c r="F386" s="95"/>
      <c r="G386" s="96"/>
    </row>
    <row r="387" ht="14.25" customHeight="1" spans="4:7">
      <c r="D387" s="93"/>
      <c r="E387" s="94"/>
      <c r="F387" s="95"/>
      <c r="G387" s="96"/>
    </row>
    <row r="388" ht="14.25" customHeight="1" spans="4:7">
      <c r="D388" s="93"/>
      <c r="E388" s="94"/>
      <c r="F388" s="95"/>
      <c r="G388" s="96"/>
    </row>
    <row r="389" ht="14.25" customHeight="1" spans="4:7">
      <c r="D389" s="93"/>
      <c r="E389" s="94"/>
      <c r="F389" s="95"/>
      <c r="G389" s="96"/>
    </row>
    <row r="390" ht="14.25" customHeight="1" spans="4:7">
      <c r="D390" s="93"/>
      <c r="E390" s="94"/>
      <c r="F390" s="95"/>
      <c r="G390" s="96"/>
    </row>
    <row r="391" ht="14.25" customHeight="1" spans="4:7">
      <c r="D391" s="93"/>
      <c r="E391" s="94"/>
      <c r="F391" s="95"/>
      <c r="G391" s="96"/>
    </row>
    <row r="392" ht="14.25" customHeight="1" spans="4:7">
      <c r="D392" s="93"/>
      <c r="E392" s="94"/>
      <c r="F392" s="95"/>
      <c r="G392" s="96"/>
    </row>
    <row r="393" ht="14.25" customHeight="1" spans="4:7">
      <c r="D393" s="93"/>
      <c r="E393" s="94"/>
      <c r="F393" s="95"/>
      <c r="G393" s="96"/>
    </row>
    <row r="394" ht="14.25" customHeight="1" spans="4:7">
      <c r="D394" s="93"/>
      <c r="E394" s="94"/>
      <c r="F394" s="95"/>
      <c r="G394" s="96"/>
    </row>
    <row r="395" ht="14.25" customHeight="1" spans="4:7">
      <c r="D395" s="93"/>
      <c r="E395" s="94"/>
      <c r="F395" s="95"/>
      <c r="G395" s="96"/>
    </row>
    <row r="396" ht="14.25" customHeight="1" spans="4:7">
      <c r="D396" s="93"/>
      <c r="E396" s="94"/>
      <c r="F396" s="95"/>
      <c r="G396" s="96"/>
    </row>
    <row r="397" ht="14.25" customHeight="1" spans="4:7">
      <c r="D397" s="93"/>
      <c r="E397" s="94"/>
      <c r="F397" s="95"/>
      <c r="G397" s="96"/>
    </row>
    <row r="398" ht="14.25" customHeight="1" spans="4:7">
      <c r="D398" s="93"/>
      <c r="E398" s="94"/>
      <c r="F398" s="95"/>
      <c r="G398" s="96"/>
    </row>
    <row r="399" ht="14.25" customHeight="1" spans="4:7">
      <c r="D399" s="93"/>
      <c r="E399" s="94"/>
      <c r="F399" s="95"/>
      <c r="G399" s="96"/>
    </row>
    <row r="400" ht="14.25" customHeight="1" spans="4:7">
      <c r="D400" s="93"/>
      <c r="E400" s="94"/>
      <c r="F400" s="95"/>
      <c r="G400" s="96"/>
    </row>
    <row r="401" ht="14.25" customHeight="1" spans="4:7">
      <c r="D401" s="93"/>
      <c r="E401" s="94"/>
      <c r="F401" s="95"/>
      <c r="G401" s="96"/>
    </row>
    <row r="402" ht="14.25" customHeight="1" spans="4:7">
      <c r="D402" s="93"/>
      <c r="E402" s="94"/>
      <c r="F402" s="95"/>
      <c r="G402" s="96"/>
    </row>
    <row r="403" ht="14.25" customHeight="1" spans="4:7">
      <c r="D403" s="93"/>
      <c r="E403" s="94"/>
      <c r="F403" s="95"/>
      <c r="G403" s="96"/>
    </row>
    <row r="404" ht="14.25" customHeight="1" spans="4:7">
      <c r="D404" s="93"/>
      <c r="E404" s="94"/>
      <c r="F404" s="95"/>
      <c r="G404" s="96"/>
    </row>
    <row r="405" ht="14.25" customHeight="1" spans="4:7">
      <c r="D405" s="93"/>
      <c r="E405" s="94"/>
      <c r="F405" s="95"/>
      <c r="G405" s="96"/>
    </row>
    <row r="406" ht="14.25" customHeight="1" spans="4:7">
      <c r="D406" s="93"/>
      <c r="E406" s="94"/>
      <c r="F406" s="95"/>
      <c r="G406" s="96"/>
    </row>
    <row r="407" ht="14.25" customHeight="1" spans="4:7">
      <c r="D407" s="93"/>
      <c r="E407" s="94"/>
      <c r="F407" s="95"/>
      <c r="G407" s="96"/>
    </row>
    <row r="408" ht="14.25" customHeight="1" spans="4:7">
      <c r="D408" s="93"/>
      <c r="E408" s="94"/>
      <c r="F408" s="95"/>
      <c r="G408" s="96"/>
    </row>
    <row r="409" ht="14.25" customHeight="1" spans="4:7">
      <c r="D409" s="93"/>
      <c r="E409" s="94"/>
      <c r="F409" s="95"/>
      <c r="G409" s="96"/>
    </row>
    <row r="410" ht="14.25" customHeight="1" spans="4:7">
      <c r="D410" s="93"/>
      <c r="E410" s="94"/>
      <c r="F410" s="95"/>
      <c r="G410" s="96"/>
    </row>
    <row r="411" ht="14.25" customHeight="1" spans="4:7">
      <c r="D411" s="93"/>
      <c r="E411" s="94"/>
      <c r="F411" s="95"/>
      <c r="G411" s="96"/>
    </row>
    <row r="412" ht="14.25" customHeight="1" spans="4:7">
      <c r="D412" s="93"/>
      <c r="E412" s="94"/>
      <c r="F412" s="95"/>
      <c r="G412" s="96"/>
    </row>
    <row r="413" ht="14.25" customHeight="1" spans="4:7">
      <c r="D413" s="93"/>
      <c r="E413" s="94"/>
      <c r="F413" s="95"/>
      <c r="G413" s="96"/>
    </row>
    <row r="414" ht="14.25" customHeight="1" spans="4:7">
      <c r="D414" s="93"/>
      <c r="E414" s="94"/>
      <c r="F414" s="95"/>
      <c r="G414" s="96"/>
    </row>
    <row r="415" ht="14.25" customHeight="1" spans="4:7">
      <c r="D415" s="93"/>
      <c r="E415" s="94"/>
      <c r="F415" s="95"/>
      <c r="G415" s="96"/>
    </row>
    <row r="416" ht="14.25" customHeight="1" spans="4:7">
      <c r="D416" s="93"/>
      <c r="E416" s="94"/>
      <c r="F416" s="95"/>
      <c r="G416" s="96"/>
    </row>
    <row r="417" ht="14.25" customHeight="1" spans="4:7">
      <c r="D417" s="93"/>
      <c r="E417" s="94"/>
      <c r="F417" s="95"/>
      <c r="G417" s="96"/>
    </row>
    <row r="418" ht="14.25" customHeight="1" spans="4:7">
      <c r="D418" s="93"/>
      <c r="E418" s="94"/>
      <c r="F418" s="95"/>
      <c r="G418" s="96"/>
    </row>
    <row r="419" ht="14.25" customHeight="1" spans="4:7">
      <c r="D419" s="93"/>
      <c r="E419" s="94"/>
      <c r="F419" s="95"/>
      <c r="G419" s="96"/>
    </row>
    <row r="420" ht="14.25" customHeight="1" spans="4:7">
      <c r="D420" s="93"/>
      <c r="E420" s="94"/>
      <c r="F420" s="95"/>
      <c r="G420" s="96"/>
    </row>
    <row r="421" ht="14.25" customHeight="1" spans="4:7">
      <c r="D421" s="93"/>
      <c r="E421" s="94"/>
      <c r="F421" s="95"/>
      <c r="G421" s="96"/>
    </row>
    <row r="422" ht="14.25" customHeight="1" spans="4:7">
      <c r="D422" s="93"/>
      <c r="E422" s="94"/>
      <c r="F422" s="95"/>
      <c r="G422" s="96"/>
    </row>
    <row r="423" ht="14.25" customHeight="1" spans="4:7">
      <c r="D423" s="93"/>
      <c r="E423" s="94"/>
      <c r="F423" s="95"/>
      <c r="G423" s="96"/>
    </row>
    <row r="424" ht="14.25" customHeight="1" spans="4:7">
      <c r="D424" s="93"/>
      <c r="E424" s="94"/>
      <c r="F424" s="95"/>
      <c r="G424" s="96"/>
    </row>
    <row r="425" ht="14.25" customHeight="1" spans="4:7">
      <c r="D425" s="93"/>
      <c r="E425" s="94"/>
      <c r="F425" s="95"/>
      <c r="G425" s="96"/>
    </row>
    <row r="426" ht="14.25" customHeight="1" spans="4:7">
      <c r="D426" s="93"/>
      <c r="E426" s="94"/>
      <c r="F426" s="95"/>
      <c r="G426" s="96"/>
    </row>
    <row r="427" ht="14.25" customHeight="1" spans="4:7">
      <c r="D427" s="93"/>
      <c r="E427" s="94"/>
      <c r="F427" s="95"/>
      <c r="G427" s="96"/>
    </row>
    <row r="428" ht="14.25" customHeight="1" spans="4:7">
      <c r="D428" s="93"/>
      <c r="E428" s="94"/>
      <c r="F428" s="95"/>
      <c r="G428" s="96"/>
    </row>
    <row r="429" ht="14.25" customHeight="1" spans="4:7">
      <c r="D429" s="93"/>
      <c r="E429" s="94"/>
      <c r="F429" s="95"/>
      <c r="G429" s="96"/>
    </row>
    <row r="430" ht="14.25" customHeight="1" spans="4:7">
      <c r="D430" s="93"/>
      <c r="E430" s="94"/>
      <c r="F430" s="95"/>
      <c r="G430" s="96"/>
    </row>
    <row r="431" ht="14.25" customHeight="1" spans="4:7">
      <c r="D431" s="93"/>
      <c r="E431" s="94"/>
      <c r="F431" s="95"/>
      <c r="G431" s="96"/>
    </row>
    <row r="432" ht="14.25" customHeight="1" spans="4:7">
      <c r="D432" s="93"/>
      <c r="E432" s="94"/>
      <c r="F432" s="95"/>
      <c r="G432" s="96"/>
    </row>
    <row r="433" ht="14.25" customHeight="1" spans="4:7">
      <c r="D433" s="93"/>
      <c r="E433" s="94"/>
      <c r="F433" s="95"/>
      <c r="G433" s="96"/>
    </row>
    <row r="434" ht="14.25" customHeight="1" spans="4:7">
      <c r="D434" s="93"/>
      <c r="E434" s="94"/>
      <c r="F434" s="95"/>
      <c r="G434" s="96"/>
    </row>
    <row r="435" ht="14.25" customHeight="1" spans="4:7">
      <c r="D435" s="93"/>
      <c r="E435" s="94"/>
      <c r="F435" s="95"/>
      <c r="G435" s="96"/>
    </row>
    <row r="436" ht="14.25" customHeight="1" spans="4:7">
      <c r="D436" s="93"/>
      <c r="E436" s="94"/>
      <c r="F436" s="95"/>
      <c r="G436" s="96"/>
    </row>
    <row r="437" ht="14.25" customHeight="1" spans="4:7">
      <c r="D437" s="93"/>
      <c r="E437" s="94"/>
      <c r="F437" s="95"/>
      <c r="G437" s="96"/>
    </row>
    <row r="438" ht="14.25" customHeight="1" spans="4:7">
      <c r="D438" s="93"/>
      <c r="E438" s="94"/>
      <c r="F438" s="95"/>
      <c r="G438" s="96"/>
    </row>
    <row r="439" ht="14.25" customHeight="1" spans="4:7">
      <c r="D439" s="93"/>
      <c r="E439" s="94"/>
      <c r="F439" s="95"/>
      <c r="G439" s="96"/>
    </row>
    <row r="440" ht="14.25" customHeight="1" spans="4:7">
      <c r="D440" s="93"/>
      <c r="E440" s="94"/>
      <c r="F440" s="95"/>
      <c r="G440" s="96"/>
    </row>
    <row r="441" ht="14.25" customHeight="1" spans="4:7">
      <c r="D441" s="93"/>
      <c r="E441" s="94"/>
      <c r="F441" s="95"/>
      <c r="G441" s="96"/>
    </row>
    <row r="442" ht="14.25" customHeight="1" spans="4:7">
      <c r="D442" s="93"/>
      <c r="E442" s="94"/>
      <c r="F442" s="95"/>
      <c r="G442" s="96"/>
    </row>
    <row r="443" ht="14.25" customHeight="1" spans="4:7">
      <c r="D443" s="93"/>
      <c r="E443" s="94"/>
      <c r="F443" s="95"/>
      <c r="G443" s="96"/>
    </row>
    <row r="444" ht="14.25" customHeight="1" spans="4:7">
      <c r="D444" s="93"/>
      <c r="E444" s="94"/>
      <c r="F444" s="95"/>
      <c r="G444" s="96"/>
    </row>
    <row r="445" ht="14.25" customHeight="1" spans="4:7">
      <c r="D445" s="93"/>
      <c r="E445" s="94"/>
      <c r="F445" s="95"/>
      <c r="G445" s="96"/>
    </row>
    <row r="446" ht="14.25" customHeight="1" spans="4:7">
      <c r="D446" s="93"/>
      <c r="E446" s="94"/>
      <c r="F446" s="95"/>
      <c r="G446" s="96"/>
    </row>
    <row r="447" ht="14.25" customHeight="1" spans="4:7">
      <c r="D447" s="93"/>
      <c r="E447" s="94"/>
      <c r="F447" s="95"/>
      <c r="G447" s="96"/>
    </row>
    <row r="448" ht="14.25" customHeight="1" spans="4:7">
      <c r="D448" s="93"/>
      <c r="E448" s="94"/>
      <c r="F448" s="95"/>
      <c r="G448" s="96"/>
    </row>
    <row r="449" ht="14.25" customHeight="1" spans="4:7">
      <c r="D449" s="93"/>
      <c r="E449" s="94"/>
      <c r="F449" s="95"/>
      <c r="G449" s="96"/>
    </row>
    <row r="450" ht="14.25" customHeight="1" spans="4:7">
      <c r="D450" s="93"/>
      <c r="E450" s="94"/>
      <c r="F450" s="95"/>
      <c r="G450" s="96"/>
    </row>
    <row r="451" ht="14.25" customHeight="1" spans="4:7">
      <c r="D451" s="93"/>
      <c r="E451" s="94"/>
      <c r="F451" s="95"/>
      <c r="G451" s="96"/>
    </row>
    <row r="452" ht="14.25" customHeight="1" spans="4:7">
      <c r="D452" s="93"/>
      <c r="E452" s="94"/>
      <c r="F452" s="95"/>
      <c r="G452" s="96"/>
    </row>
    <row r="453" ht="14.25" customHeight="1" spans="4:7">
      <c r="D453" s="93"/>
      <c r="E453" s="94"/>
      <c r="F453" s="95"/>
      <c r="G453" s="96"/>
    </row>
    <row r="454" ht="14.25" customHeight="1" spans="4:7">
      <c r="D454" s="93"/>
      <c r="E454" s="94"/>
      <c r="F454" s="95"/>
      <c r="G454" s="96"/>
    </row>
    <row r="455" ht="14.25" customHeight="1" spans="4:7">
      <c r="D455" s="93"/>
      <c r="E455" s="94"/>
      <c r="F455" s="95"/>
      <c r="G455" s="96"/>
    </row>
    <row r="456" ht="14.25" customHeight="1" spans="4:7">
      <c r="D456" s="93"/>
      <c r="E456" s="94"/>
      <c r="F456" s="95"/>
      <c r="G456" s="96"/>
    </row>
    <row r="457" ht="14.25" customHeight="1" spans="4:7">
      <c r="D457" s="93"/>
      <c r="E457" s="94"/>
      <c r="F457" s="95"/>
      <c r="G457" s="96"/>
    </row>
    <row r="458" ht="14.25" customHeight="1" spans="4:7">
      <c r="D458" s="93"/>
      <c r="E458" s="94"/>
      <c r="F458" s="95"/>
      <c r="G458" s="96"/>
    </row>
    <row r="459" ht="14.25" customHeight="1" spans="4:7">
      <c r="D459" s="93"/>
      <c r="E459" s="94"/>
      <c r="F459" s="95"/>
      <c r="G459" s="96"/>
    </row>
    <row r="460" ht="14.25" customHeight="1" spans="4:7">
      <c r="D460" s="93"/>
      <c r="E460" s="94"/>
      <c r="F460" s="95"/>
      <c r="G460" s="96"/>
    </row>
    <row r="461" ht="14.25" customHeight="1" spans="4:7">
      <c r="D461" s="93"/>
      <c r="E461" s="94"/>
      <c r="F461" s="95"/>
      <c r="G461" s="96"/>
    </row>
    <row r="462" ht="14.25" customHeight="1" spans="4:7">
      <c r="D462" s="93"/>
      <c r="E462" s="94"/>
      <c r="F462" s="95"/>
      <c r="G462" s="96"/>
    </row>
    <row r="463" ht="14.25" customHeight="1" spans="4:7">
      <c r="D463" s="93"/>
      <c r="E463" s="94"/>
      <c r="F463" s="95"/>
      <c r="G463" s="96"/>
    </row>
    <row r="464" ht="14.25" customHeight="1" spans="4:7">
      <c r="D464" s="93"/>
      <c r="E464" s="94"/>
      <c r="F464" s="95"/>
      <c r="G464" s="96"/>
    </row>
    <row r="465" ht="14.25" customHeight="1" spans="4:7">
      <c r="D465" s="93"/>
      <c r="E465" s="94"/>
      <c r="F465" s="95"/>
      <c r="G465" s="96"/>
    </row>
    <row r="466" ht="14.25" customHeight="1" spans="4:7">
      <c r="D466" s="93"/>
      <c r="E466" s="94"/>
      <c r="F466" s="95"/>
      <c r="G466" s="96"/>
    </row>
    <row r="467" ht="14.25" customHeight="1" spans="4:7">
      <c r="D467" s="93"/>
      <c r="E467" s="94"/>
      <c r="F467" s="95"/>
      <c r="G467" s="96"/>
    </row>
    <row r="468" ht="14.25" customHeight="1" spans="4:7">
      <c r="D468" s="93"/>
      <c r="E468" s="94"/>
      <c r="F468" s="95"/>
      <c r="G468" s="96"/>
    </row>
    <row r="469" ht="14.25" customHeight="1" spans="4:7">
      <c r="D469" s="93"/>
      <c r="E469" s="94"/>
      <c r="F469" s="95"/>
      <c r="G469" s="96"/>
    </row>
    <row r="470" ht="14.25" customHeight="1" spans="4:7">
      <c r="D470" s="93"/>
      <c r="E470" s="94"/>
      <c r="F470" s="95"/>
      <c r="G470" s="96"/>
    </row>
    <row r="471" ht="14.25" customHeight="1" spans="4:7">
      <c r="D471" s="93"/>
      <c r="E471" s="94"/>
      <c r="F471" s="95"/>
      <c r="G471" s="96"/>
    </row>
    <row r="472" ht="14.25" customHeight="1" spans="4:7">
      <c r="D472" s="93"/>
      <c r="E472" s="94"/>
      <c r="F472" s="95"/>
      <c r="G472" s="96"/>
    </row>
    <row r="473" ht="14.25" customHeight="1" spans="4:7">
      <c r="D473" s="93"/>
      <c r="E473" s="94"/>
      <c r="F473" s="95"/>
      <c r="G473" s="96"/>
    </row>
    <row r="474" ht="14.25" customHeight="1" spans="4:7">
      <c r="D474" s="93"/>
      <c r="E474" s="94"/>
      <c r="F474" s="95"/>
      <c r="G474" s="96"/>
    </row>
    <row r="475" ht="14.25" customHeight="1" spans="4:7">
      <c r="D475" s="93"/>
      <c r="E475" s="94"/>
      <c r="F475" s="95"/>
      <c r="G475" s="96"/>
    </row>
    <row r="476" ht="14.25" customHeight="1" spans="4:7">
      <c r="D476" s="93"/>
      <c r="E476" s="94"/>
      <c r="F476" s="95"/>
      <c r="G476" s="96"/>
    </row>
    <row r="477" ht="14.25" customHeight="1" spans="4:7">
      <c r="D477" s="93"/>
      <c r="E477" s="94"/>
      <c r="F477" s="95"/>
      <c r="G477" s="96"/>
    </row>
    <row r="478" ht="14.25" customHeight="1" spans="4:7">
      <c r="D478" s="93"/>
      <c r="E478" s="94"/>
      <c r="F478" s="95"/>
      <c r="G478" s="96"/>
    </row>
    <row r="479" ht="14.25" customHeight="1" spans="4:7">
      <c r="D479" s="93"/>
      <c r="E479" s="94"/>
      <c r="F479" s="95"/>
      <c r="G479" s="96"/>
    </row>
    <row r="480" ht="14.25" customHeight="1" spans="4:7">
      <c r="D480" s="93"/>
      <c r="E480" s="94"/>
      <c r="F480" s="95"/>
      <c r="G480" s="96"/>
    </row>
    <row r="481" ht="14.25" customHeight="1" spans="4:7">
      <c r="D481" s="93"/>
      <c r="E481" s="94"/>
      <c r="F481" s="95"/>
      <c r="G481" s="96"/>
    </row>
    <row r="482" ht="14.25" customHeight="1" spans="4:7">
      <c r="D482" s="93"/>
      <c r="E482" s="94"/>
      <c r="F482" s="95"/>
      <c r="G482" s="96"/>
    </row>
    <row r="483" ht="14.25" customHeight="1" spans="4:7">
      <c r="D483" s="93"/>
      <c r="E483" s="94"/>
      <c r="F483" s="95"/>
      <c r="G483" s="96"/>
    </row>
    <row r="484" ht="14.25" customHeight="1" spans="4:7">
      <c r="D484" s="93"/>
      <c r="E484" s="94"/>
      <c r="F484" s="95"/>
      <c r="G484" s="96"/>
    </row>
    <row r="485" ht="14.25" customHeight="1" spans="4:7">
      <c r="D485" s="93"/>
      <c r="E485" s="94"/>
      <c r="F485" s="95"/>
      <c r="G485" s="96"/>
    </row>
    <row r="486" ht="14.25" customHeight="1" spans="4:7">
      <c r="D486" s="93"/>
      <c r="E486" s="94"/>
      <c r="F486" s="95"/>
      <c r="G486" s="96"/>
    </row>
    <row r="487" ht="14.25" customHeight="1" spans="4:7">
      <c r="D487" s="93"/>
      <c r="E487" s="94"/>
      <c r="F487" s="95"/>
      <c r="G487" s="96"/>
    </row>
    <row r="488" ht="14.25" customHeight="1" spans="4:7">
      <c r="D488" s="93"/>
      <c r="E488" s="94"/>
      <c r="F488" s="95"/>
      <c r="G488" s="96"/>
    </row>
    <row r="489" ht="14.25" customHeight="1" spans="4:7">
      <c r="D489" s="93"/>
      <c r="E489" s="94"/>
      <c r="F489" s="95"/>
      <c r="G489" s="96"/>
    </row>
    <row r="490" ht="14.25" customHeight="1" spans="4:7">
      <c r="D490" s="93"/>
      <c r="E490" s="94"/>
      <c r="F490" s="95"/>
      <c r="G490" s="96"/>
    </row>
    <row r="491" ht="14.25" customHeight="1" spans="4:7">
      <c r="D491" s="93"/>
      <c r="E491" s="94"/>
      <c r="F491" s="95"/>
      <c r="G491" s="96"/>
    </row>
    <row r="492" ht="14.25" customHeight="1" spans="4:7">
      <c r="D492" s="93"/>
      <c r="E492" s="94"/>
      <c r="F492" s="95"/>
      <c r="G492" s="96"/>
    </row>
    <row r="493" ht="14.25" customHeight="1" spans="4:7">
      <c r="D493" s="93"/>
      <c r="E493" s="94"/>
      <c r="F493" s="95"/>
      <c r="G493" s="96"/>
    </row>
    <row r="494" ht="14.25" customHeight="1" spans="4:7">
      <c r="D494" s="93"/>
      <c r="E494" s="94"/>
      <c r="F494" s="95"/>
      <c r="G494" s="96"/>
    </row>
    <row r="495" ht="14.25" customHeight="1" spans="4:7">
      <c r="D495" s="93"/>
      <c r="E495" s="94"/>
      <c r="F495" s="95"/>
      <c r="G495" s="96"/>
    </row>
    <row r="496" ht="14.25" customHeight="1" spans="4:7">
      <c r="D496" s="93"/>
      <c r="E496" s="94"/>
      <c r="F496" s="95"/>
      <c r="G496" s="96"/>
    </row>
    <row r="497" ht="14.25" customHeight="1" spans="4:7">
      <c r="D497" s="93"/>
      <c r="E497" s="94"/>
      <c r="F497" s="95"/>
      <c r="G497" s="96"/>
    </row>
    <row r="498" ht="14.25" customHeight="1" spans="4:7">
      <c r="D498" s="93"/>
      <c r="E498" s="94"/>
      <c r="F498" s="95"/>
      <c r="G498" s="96"/>
    </row>
    <row r="499" ht="14.25" customHeight="1" spans="4:7">
      <c r="D499" s="93"/>
      <c r="E499" s="94"/>
      <c r="F499" s="95"/>
      <c r="G499" s="96"/>
    </row>
    <row r="500" ht="14.25" customHeight="1" spans="4:7">
      <c r="D500" s="93"/>
      <c r="E500" s="94"/>
      <c r="F500" s="95"/>
      <c r="G500" s="96"/>
    </row>
    <row r="501" ht="14.25" customHeight="1" spans="4:7">
      <c r="D501" s="93"/>
      <c r="E501" s="94"/>
      <c r="F501" s="95"/>
      <c r="G501" s="96"/>
    </row>
    <row r="502" ht="14.25" customHeight="1" spans="4:7">
      <c r="D502" s="93"/>
      <c r="E502" s="94"/>
      <c r="F502" s="95"/>
      <c r="G502" s="96"/>
    </row>
    <row r="503" ht="14.25" customHeight="1" spans="4:7">
      <c r="D503" s="93"/>
      <c r="E503" s="94"/>
      <c r="F503" s="95"/>
      <c r="G503" s="96"/>
    </row>
    <row r="504" ht="14.25" customHeight="1" spans="4:7">
      <c r="D504" s="93"/>
      <c r="E504" s="94"/>
      <c r="F504" s="95"/>
      <c r="G504" s="96"/>
    </row>
    <row r="505" ht="14.25" customHeight="1" spans="4:7">
      <c r="D505" s="93"/>
      <c r="E505" s="94"/>
      <c r="F505" s="95"/>
      <c r="G505" s="96"/>
    </row>
    <row r="506" ht="14.25" customHeight="1" spans="4:7">
      <c r="D506" s="93"/>
      <c r="E506" s="94"/>
      <c r="F506" s="95"/>
      <c r="G506" s="96"/>
    </row>
    <row r="507" ht="14.25" customHeight="1" spans="4:7">
      <c r="D507" s="93"/>
      <c r="E507" s="94"/>
      <c r="F507" s="95"/>
      <c r="G507" s="96"/>
    </row>
    <row r="508" ht="14.25" customHeight="1" spans="4:7">
      <c r="D508" s="93"/>
      <c r="E508" s="94"/>
      <c r="F508" s="95"/>
      <c r="G508" s="96"/>
    </row>
    <row r="509" ht="14.25" customHeight="1" spans="4:7">
      <c r="D509" s="93"/>
      <c r="E509" s="94"/>
      <c r="F509" s="95"/>
      <c r="G509" s="96"/>
    </row>
    <row r="510" ht="14.25" customHeight="1" spans="4:7">
      <c r="D510" s="93"/>
      <c r="E510" s="94"/>
      <c r="F510" s="95"/>
      <c r="G510" s="96"/>
    </row>
    <row r="511" ht="14.25" customHeight="1" spans="4:7">
      <c r="D511" s="93"/>
      <c r="E511" s="94"/>
      <c r="F511" s="95"/>
      <c r="G511" s="96"/>
    </row>
    <row r="512" ht="14.25" customHeight="1" spans="4:7">
      <c r="D512" s="93"/>
      <c r="E512" s="94"/>
      <c r="F512" s="95"/>
      <c r="G512" s="96"/>
    </row>
    <row r="513" ht="14.25" customHeight="1" spans="4:7">
      <c r="D513" s="93"/>
      <c r="E513" s="94"/>
      <c r="F513" s="95"/>
      <c r="G513" s="96"/>
    </row>
    <row r="514" ht="14.25" customHeight="1" spans="4:7">
      <c r="D514" s="93"/>
      <c r="E514" s="94"/>
      <c r="F514" s="95"/>
      <c r="G514" s="96"/>
    </row>
    <row r="515" ht="14.25" customHeight="1" spans="4:7">
      <c r="D515" s="93"/>
      <c r="E515" s="94"/>
      <c r="F515" s="95"/>
      <c r="G515" s="96"/>
    </row>
    <row r="516" ht="14.25" customHeight="1" spans="4:7">
      <c r="D516" s="93"/>
      <c r="E516" s="94"/>
      <c r="F516" s="95"/>
      <c r="G516" s="96"/>
    </row>
    <row r="517" ht="14.25" customHeight="1" spans="4:7">
      <c r="D517" s="93"/>
      <c r="E517" s="94"/>
      <c r="F517" s="95"/>
      <c r="G517" s="96"/>
    </row>
    <row r="518" ht="14.25" customHeight="1" spans="4:7">
      <c r="D518" s="93"/>
      <c r="E518" s="94"/>
      <c r="F518" s="95"/>
      <c r="G518" s="96"/>
    </row>
    <row r="519" ht="14.25" customHeight="1" spans="4:7">
      <c r="D519" s="93"/>
      <c r="E519" s="94"/>
      <c r="F519" s="95"/>
      <c r="G519" s="96"/>
    </row>
    <row r="520" ht="14.25" customHeight="1" spans="4:7">
      <c r="D520" s="93"/>
      <c r="E520" s="94"/>
      <c r="F520" s="95"/>
      <c r="G520" s="96"/>
    </row>
    <row r="521" ht="14.25" customHeight="1" spans="4:7">
      <c r="D521" s="93"/>
      <c r="E521" s="94"/>
      <c r="F521" s="95"/>
      <c r="G521" s="96"/>
    </row>
    <row r="522" ht="14.25" customHeight="1" spans="4:7">
      <c r="D522" s="93"/>
      <c r="E522" s="94"/>
      <c r="F522" s="95"/>
      <c r="G522" s="96"/>
    </row>
    <row r="523" ht="14.25" customHeight="1" spans="4:7">
      <c r="D523" s="93"/>
      <c r="E523" s="94"/>
      <c r="F523" s="95"/>
      <c r="G523" s="96"/>
    </row>
    <row r="524" ht="14.25" customHeight="1" spans="4:7">
      <c r="D524" s="93"/>
      <c r="E524" s="94"/>
      <c r="F524" s="95"/>
      <c r="G524" s="96"/>
    </row>
    <row r="525" ht="14.25" customHeight="1" spans="4:7">
      <c r="D525" s="93"/>
      <c r="E525" s="94"/>
      <c r="F525" s="95"/>
      <c r="G525" s="96"/>
    </row>
    <row r="526" ht="14.25" customHeight="1" spans="4:7">
      <c r="D526" s="93"/>
      <c r="E526" s="94"/>
      <c r="F526" s="95"/>
      <c r="G526" s="96"/>
    </row>
    <row r="527" ht="14.25" customHeight="1" spans="4:7">
      <c r="D527" s="93"/>
      <c r="E527" s="94"/>
      <c r="F527" s="95"/>
      <c r="G527" s="96"/>
    </row>
    <row r="528" ht="14.25" customHeight="1" spans="4:7">
      <c r="D528" s="93"/>
      <c r="E528" s="94"/>
      <c r="F528" s="95"/>
      <c r="G528" s="96"/>
    </row>
    <row r="529" ht="14.25" customHeight="1" spans="4:7">
      <c r="D529" s="93"/>
      <c r="E529" s="94"/>
      <c r="F529" s="95"/>
      <c r="G529" s="96"/>
    </row>
    <row r="530" ht="14.25" customHeight="1" spans="4:7">
      <c r="D530" s="93"/>
      <c r="E530" s="94"/>
      <c r="F530" s="95"/>
      <c r="G530" s="96"/>
    </row>
    <row r="531" ht="14.25" customHeight="1" spans="4:7">
      <c r="D531" s="93"/>
      <c r="E531" s="94"/>
      <c r="F531" s="95"/>
      <c r="G531" s="96"/>
    </row>
    <row r="532" ht="14.25" customHeight="1" spans="4:7">
      <c r="D532" s="93"/>
      <c r="E532" s="94"/>
      <c r="F532" s="95"/>
      <c r="G532" s="96"/>
    </row>
    <row r="533" ht="14.25" customHeight="1" spans="4:7">
      <c r="D533" s="93"/>
      <c r="E533" s="94"/>
      <c r="F533" s="95"/>
      <c r="G533" s="96"/>
    </row>
    <row r="534" ht="14.25" customHeight="1" spans="4:7">
      <c r="D534" s="93"/>
      <c r="E534" s="94"/>
      <c r="F534" s="95"/>
      <c r="G534" s="96"/>
    </row>
    <row r="535" ht="14.25" customHeight="1" spans="4:7">
      <c r="D535" s="93"/>
      <c r="E535" s="94"/>
      <c r="F535" s="95"/>
      <c r="G535" s="96"/>
    </row>
    <row r="536" ht="14.25" customHeight="1" spans="4:7">
      <c r="D536" s="93"/>
      <c r="E536" s="94"/>
      <c r="F536" s="95"/>
      <c r="G536" s="96"/>
    </row>
    <row r="537" ht="14.25" customHeight="1" spans="4:7">
      <c r="D537" s="93"/>
      <c r="E537" s="94"/>
      <c r="F537" s="95"/>
      <c r="G537" s="96"/>
    </row>
    <row r="538" ht="14.25" customHeight="1" spans="4:7">
      <c r="D538" s="93"/>
      <c r="E538" s="94"/>
      <c r="F538" s="95"/>
      <c r="G538" s="96"/>
    </row>
    <row r="539" ht="14.25" customHeight="1" spans="4:7">
      <c r="D539" s="93"/>
      <c r="E539" s="94"/>
      <c r="F539" s="95"/>
      <c r="G539" s="96"/>
    </row>
    <row r="540" ht="14.25" customHeight="1" spans="4:7">
      <c r="D540" s="93"/>
      <c r="E540" s="94"/>
      <c r="F540" s="95"/>
      <c r="G540" s="96"/>
    </row>
    <row r="541" ht="14.25" customHeight="1" spans="4:7">
      <c r="D541" s="93"/>
      <c r="E541" s="94"/>
      <c r="F541" s="95"/>
      <c r="G541" s="96"/>
    </row>
    <row r="542" ht="14.25" customHeight="1" spans="4:7">
      <c r="D542" s="93"/>
      <c r="E542" s="94"/>
      <c r="F542" s="95"/>
      <c r="G542" s="96"/>
    </row>
    <row r="543" ht="14.25" customHeight="1" spans="4:7">
      <c r="D543" s="93"/>
      <c r="E543" s="94"/>
      <c r="F543" s="95"/>
      <c r="G543" s="96"/>
    </row>
    <row r="544" ht="14.25" customHeight="1" spans="4:7">
      <c r="D544" s="93"/>
      <c r="E544" s="94"/>
      <c r="F544" s="95"/>
      <c r="G544" s="96"/>
    </row>
    <row r="545" ht="14.25" customHeight="1" spans="4:7">
      <c r="D545" s="93"/>
      <c r="E545" s="94"/>
      <c r="F545" s="95"/>
      <c r="G545" s="96"/>
    </row>
    <row r="546" ht="14.25" customHeight="1" spans="4:7">
      <c r="D546" s="93"/>
      <c r="E546" s="94"/>
      <c r="F546" s="95"/>
      <c r="G546" s="96"/>
    </row>
    <row r="547" ht="14.25" customHeight="1" spans="4:7">
      <c r="D547" s="93"/>
      <c r="E547" s="94"/>
      <c r="F547" s="95"/>
      <c r="G547" s="96"/>
    </row>
    <row r="548" ht="14.25" customHeight="1" spans="4:7">
      <c r="D548" s="93"/>
      <c r="E548" s="94"/>
      <c r="F548" s="95"/>
      <c r="G548" s="96"/>
    </row>
    <row r="549" ht="14.25" customHeight="1" spans="4:7">
      <c r="D549" s="93"/>
      <c r="E549" s="94"/>
      <c r="F549" s="95"/>
      <c r="G549" s="96"/>
    </row>
    <row r="550" ht="14.25" customHeight="1" spans="4:7">
      <c r="D550" s="93"/>
      <c r="E550" s="94"/>
      <c r="F550" s="95"/>
      <c r="G550" s="96"/>
    </row>
    <row r="551" ht="14.25" customHeight="1" spans="4:7">
      <c r="D551" s="93"/>
      <c r="E551" s="94"/>
      <c r="F551" s="95"/>
      <c r="G551" s="96"/>
    </row>
    <row r="552" ht="14.25" customHeight="1" spans="4:7">
      <c r="D552" s="93"/>
      <c r="E552" s="94"/>
      <c r="F552" s="95"/>
      <c r="G552" s="96"/>
    </row>
    <row r="553" ht="14.25" customHeight="1" spans="4:7">
      <c r="D553" s="93"/>
      <c r="E553" s="94"/>
      <c r="F553" s="95"/>
      <c r="G553" s="96"/>
    </row>
    <row r="554" ht="14.25" customHeight="1" spans="4:7">
      <c r="D554" s="93"/>
      <c r="E554" s="94"/>
      <c r="F554" s="95"/>
      <c r="G554" s="96"/>
    </row>
    <row r="555" ht="14.25" customHeight="1" spans="4:7">
      <c r="D555" s="93"/>
      <c r="E555" s="94"/>
      <c r="F555" s="95"/>
      <c r="G555" s="96"/>
    </row>
    <row r="556" ht="14.25" customHeight="1" spans="4:7">
      <c r="D556" s="93"/>
      <c r="E556" s="94"/>
      <c r="F556" s="95"/>
      <c r="G556" s="96"/>
    </row>
    <row r="557" ht="14.25" customHeight="1" spans="4:7">
      <c r="D557" s="93"/>
      <c r="E557" s="94"/>
      <c r="F557" s="95"/>
      <c r="G557" s="96"/>
    </row>
    <row r="558" ht="14.25" customHeight="1" spans="4:7">
      <c r="D558" s="93"/>
      <c r="E558" s="94"/>
      <c r="F558" s="95"/>
      <c r="G558" s="96"/>
    </row>
    <row r="559" ht="14.25" customHeight="1" spans="4:7">
      <c r="D559" s="93"/>
      <c r="E559" s="94"/>
      <c r="F559" s="95"/>
      <c r="G559" s="96"/>
    </row>
    <row r="560" ht="14.25" customHeight="1" spans="4:7">
      <c r="D560" s="93"/>
      <c r="E560" s="94"/>
      <c r="F560" s="95"/>
      <c r="G560" s="96"/>
    </row>
    <row r="561" ht="14.25" customHeight="1" spans="4:7">
      <c r="D561" s="93"/>
      <c r="E561" s="94"/>
      <c r="F561" s="95"/>
      <c r="G561" s="96"/>
    </row>
    <row r="562" ht="14.25" customHeight="1" spans="4:7">
      <c r="D562" s="93"/>
      <c r="E562" s="94"/>
      <c r="F562" s="95"/>
      <c r="G562" s="96"/>
    </row>
    <row r="563" ht="14.25" customHeight="1" spans="4:7">
      <c r="D563" s="93"/>
      <c r="E563" s="94"/>
      <c r="F563" s="95"/>
      <c r="G563" s="96"/>
    </row>
    <row r="564" ht="14.25" customHeight="1" spans="4:7">
      <c r="D564" s="93"/>
      <c r="E564" s="94"/>
      <c r="F564" s="95"/>
      <c r="G564" s="96"/>
    </row>
    <row r="565" ht="14.25" customHeight="1" spans="4:7">
      <c r="D565" s="93"/>
      <c r="E565" s="94"/>
      <c r="F565" s="95"/>
      <c r="G565" s="96"/>
    </row>
    <row r="566" ht="14.25" customHeight="1" spans="4:7">
      <c r="D566" s="93"/>
      <c r="E566" s="94"/>
      <c r="F566" s="95"/>
      <c r="G566" s="96"/>
    </row>
    <row r="567" ht="14.25" customHeight="1" spans="4:7">
      <c r="D567" s="93"/>
      <c r="E567" s="94"/>
      <c r="F567" s="95"/>
      <c r="G567" s="96"/>
    </row>
    <row r="568" ht="14.25" customHeight="1" spans="4:7">
      <c r="D568" s="93"/>
      <c r="E568" s="94"/>
      <c r="F568" s="95"/>
      <c r="G568" s="96"/>
    </row>
    <row r="569" ht="14.25" customHeight="1" spans="4:7">
      <c r="D569" s="93"/>
      <c r="E569" s="94"/>
      <c r="F569" s="95"/>
      <c r="G569" s="96"/>
    </row>
    <row r="570" ht="14.25" customHeight="1" spans="4:7">
      <c r="D570" s="93"/>
      <c r="E570" s="94"/>
      <c r="F570" s="95"/>
      <c r="G570" s="96"/>
    </row>
    <row r="571" ht="14.25" customHeight="1" spans="4:7">
      <c r="D571" s="93"/>
      <c r="E571" s="94"/>
      <c r="F571" s="95"/>
      <c r="G571" s="96"/>
    </row>
    <row r="572" ht="14.25" customHeight="1" spans="4:7">
      <c r="D572" s="93"/>
      <c r="E572" s="94"/>
      <c r="F572" s="95"/>
      <c r="G572" s="96"/>
    </row>
    <row r="573" ht="14.25" customHeight="1" spans="4:7">
      <c r="D573" s="93"/>
      <c r="E573" s="94"/>
      <c r="F573" s="95"/>
      <c r="G573" s="96"/>
    </row>
    <row r="574" ht="14.25" customHeight="1" spans="4:7">
      <c r="D574" s="93"/>
      <c r="E574" s="94"/>
      <c r="F574" s="95"/>
      <c r="G574" s="96"/>
    </row>
    <row r="575" ht="14.25" customHeight="1" spans="4:7">
      <c r="D575" s="93"/>
      <c r="E575" s="94"/>
      <c r="F575" s="95"/>
      <c r="G575" s="96"/>
    </row>
    <row r="576" ht="14.25" customHeight="1" spans="4:7">
      <c r="D576" s="93"/>
      <c r="E576" s="94"/>
      <c r="F576" s="95"/>
      <c r="G576" s="96"/>
    </row>
    <row r="577" ht="14.25" customHeight="1" spans="4:7">
      <c r="D577" s="93"/>
      <c r="E577" s="94"/>
      <c r="F577" s="95"/>
      <c r="G577" s="96"/>
    </row>
    <row r="578" ht="14.25" customHeight="1" spans="4:7">
      <c r="D578" s="93"/>
      <c r="E578" s="94"/>
      <c r="F578" s="95"/>
      <c r="G578" s="96"/>
    </row>
    <row r="579" ht="14.25" customHeight="1" spans="4:7">
      <c r="D579" s="93"/>
      <c r="E579" s="94"/>
      <c r="F579" s="95"/>
      <c r="G579" s="96"/>
    </row>
    <row r="580" ht="14.25" customHeight="1" spans="4:7">
      <c r="D580" s="93"/>
      <c r="E580" s="94"/>
      <c r="F580" s="95"/>
      <c r="G580" s="96"/>
    </row>
    <row r="581" ht="14.25" customHeight="1" spans="4:7">
      <c r="D581" s="93"/>
      <c r="E581" s="94"/>
      <c r="F581" s="95"/>
      <c r="G581" s="96"/>
    </row>
    <row r="582" ht="14.25" customHeight="1" spans="4:7">
      <c r="D582" s="93"/>
      <c r="E582" s="94"/>
      <c r="F582" s="95"/>
      <c r="G582" s="96"/>
    </row>
    <row r="583" ht="14.25" customHeight="1" spans="4:7">
      <c r="D583" s="93"/>
      <c r="E583" s="94"/>
      <c r="F583" s="95"/>
      <c r="G583" s="96"/>
    </row>
    <row r="584" ht="14.25" customHeight="1" spans="4:7">
      <c r="D584" s="93"/>
      <c r="E584" s="94"/>
      <c r="F584" s="95"/>
      <c r="G584" s="96"/>
    </row>
    <row r="585" ht="14.25" customHeight="1" spans="4:7">
      <c r="D585" s="93"/>
      <c r="E585" s="94"/>
      <c r="F585" s="95"/>
      <c r="G585" s="96"/>
    </row>
    <row r="586" ht="14.25" customHeight="1" spans="4:7">
      <c r="D586" s="93"/>
      <c r="E586" s="94"/>
      <c r="F586" s="95"/>
      <c r="G586" s="96"/>
    </row>
    <row r="587" ht="14.25" customHeight="1" spans="4:7">
      <c r="D587" s="93"/>
      <c r="E587" s="94"/>
      <c r="F587" s="95"/>
      <c r="G587" s="96"/>
    </row>
    <row r="588" ht="14.25" customHeight="1" spans="4:7">
      <c r="D588" s="93"/>
      <c r="E588" s="94"/>
      <c r="F588" s="95"/>
      <c r="G588" s="96"/>
    </row>
    <row r="589" ht="14.25" customHeight="1" spans="4:7">
      <c r="D589" s="93"/>
      <c r="E589" s="94"/>
      <c r="F589" s="95"/>
      <c r="G589" s="96"/>
    </row>
    <row r="590" ht="14.25" customHeight="1" spans="4:7">
      <c r="D590" s="93"/>
      <c r="E590" s="94"/>
      <c r="F590" s="95"/>
      <c r="G590" s="96"/>
    </row>
    <row r="591" ht="14.25" customHeight="1" spans="4:7">
      <c r="D591" s="93"/>
      <c r="E591" s="94"/>
      <c r="F591" s="95"/>
      <c r="G591" s="96"/>
    </row>
    <row r="592" ht="14.25" customHeight="1" spans="4:7">
      <c r="D592" s="93"/>
      <c r="E592" s="94"/>
      <c r="F592" s="95"/>
      <c r="G592" s="96"/>
    </row>
    <row r="593" ht="14.25" customHeight="1" spans="4:7">
      <c r="D593" s="93"/>
      <c r="E593" s="94"/>
      <c r="F593" s="95"/>
      <c r="G593" s="96"/>
    </row>
    <row r="594" ht="14.25" customHeight="1" spans="4:7">
      <c r="D594" s="93"/>
      <c r="E594" s="94"/>
      <c r="F594" s="95"/>
      <c r="G594" s="96"/>
    </row>
    <row r="595" ht="14.25" customHeight="1" spans="4:7">
      <c r="D595" s="93"/>
      <c r="E595" s="94"/>
      <c r="F595" s="95"/>
      <c r="G595" s="96"/>
    </row>
    <row r="596" ht="14.25" customHeight="1" spans="4:7">
      <c r="D596" s="93"/>
      <c r="E596" s="94"/>
      <c r="F596" s="95"/>
      <c r="G596" s="96"/>
    </row>
    <row r="597" ht="14.25" customHeight="1" spans="4:7">
      <c r="D597" s="93"/>
      <c r="E597" s="94"/>
      <c r="F597" s="95"/>
      <c r="G597" s="96"/>
    </row>
    <row r="598" ht="14.25" customHeight="1" spans="4:7">
      <c r="D598" s="93"/>
      <c r="E598" s="94"/>
      <c r="F598" s="95"/>
      <c r="G598" s="96"/>
    </row>
    <row r="599" ht="14.25" customHeight="1" spans="4:7">
      <c r="D599" s="93"/>
      <c r="E599" s="94"/>
      <c r="F599" s="95"/>
      <c r="G599" s="96"/>
    </row>
    <row r="600" ht="14.25" customHeight="1" spans="4:7">
      <c r="D600" s="93"/>
      <c r="E600" s="94"/>
      <c r="F600" s="95"/>
      <c r="G600" s="96"/>
    </row>
    <row r="601" ht="14.25" customHeight="1" spans="4:7">
      <c r="D601" s="93"/>
      <c r="E601" s="94"/>
      <c r="F601" s="95"/>
      <c r="G601" s="96"/>
    </row>
    <row r="602" ht="14.25" customHeight="1" spans="4:7">
      <c r="D602" s="93"/>
      <c r="E602" s="94"/>
      <c r="F602" s="95"/>
      <c r="G602" s="96"/>
    </row>
    <row r="603" ht="14.25" customHeight="1" spans="4:7">
      <c r="D603" s="93"/>
      <c r="E603" s="94"/>
      <c r="F603" s="95"/>
      <c r="G603" s="96"/>
    </row>
    <row r="604" ht="14.25" customHeight="1" spans="4:7">
      <c r="D604" s="93"/>
      <c r="E604" s="94"/>
      <c r="F604" s="95"/>
      <c r="G604" s="96"/>
    </row>
    <row r="605" ht="14.25" customHeight="1" spans="4:7">
      <c r="D605" s="93"/>
      <c r="E605" s="94"/>
      <c r="F605" s="95"/>
      <c r="G605" s="96"/>
    </row>
    <row r="606" ht="14.25" customHeight="1" spans="4:7">
      <c r="D606" s="93"/>
      <c r="E606" s="94"/>
      <c r="F606" s="95"/>
      <c r="G606" s="96"/>
    </row>
    <row r="607" ht="14.25" customHeight="1" spans="4:7">
      <c r="D607" s="93"/>
      <c r="E607" s="94"/>
      <c r="F607" s="95"/>
      <c r="G607" s="96"/>
    </row>
    <row r="608" ht="14.25" customHeight="1" spans="4:7">
      <c r="D608" s="93"/>
      <c r="E608" s="94"/>
      <c r="F608" s="95"/>
      <c r="G608" s="96"/>
    </row>
    <row r="609" ht="14.25" customHeight="1" spans="4:7">
      <c r="D609" s="93"/>
      <c r="E609" s="94"/>
      <c r="F609" s="95"/>
      <c r="G609" s="96"/>
    </row>
    <row r="610" ht="14.25" customHeight="1" spans="4:7">
      <c r="D610" s="93"/>
      <c r="E610" s="94"/>
      <c r="F610" s="95"/>
      <c r="G610" s="96"/>
    </row>
    <row r="611" ht="14.25" customHeight="1" spans="4:7">
      <c r="D611" s="93"/>
      <c r="E611" s="94"/>
      <c r="F611" s="95"/>
      <c r="G611" s="96"/>
    </row>
    <row r="612" ht="14.25" customHeight="1" spans="4:7">
      <c r="D612" s="93"/>
      <c r="E612" s="94"/>
      <c r="F612" s="95"/>
      <c r="G612" s="96"/>
    </row>
    <row r="613" ht="14.25" customHeight="1" spans="4:7">
      <c r="D613" s="93"/>
      <c r="E613" s="94"/>
      <c r="F613" s="95"/>
      <c r="G613" s="96"/>
    </row>
    <row r="614" ht="14.25" customHeight="1" spans="4:7">
      <c r="D614" s="93"/>
      <c r="E614" s="94"/>
      <c r="F614" s="95"/>
      <c r="G614" s="96"/>
    </row>
    <row r="615" ht="14.25" customHeight="1" spans="4:7">
      <c r="D615" s="93"/>
      <c r="E615" s="94"/>
      <c r="F615" s="95"/>
      <c r="G615" s="96"/>
    </row>
    <row r="616" ht="14.25" customHeight="1" spans="4:7">
      <c r="D616" s="93"/>
      <c r="E616" s="94"/>
      <c r="F616" s="95"/>
      <c r="G616" s="96"/>
    </row>
    <row r="617" ht="14.25" customHeight="1" spans="4:7">
      <c r="D617" s="93"/>
      <c r="E617" s="94"/>
      <c r="F617" s="95"/>
      <c r="G617" s="96"/>
    </row>
    <row r="618" ht="14.25" customHeight="1" spans="4:7">
      <c r="D618" s="93"/>
      <c r="E618" s="94"/>
      <c r="F618" s="95"/>
      <c r="G618" s="96"/>
    </row>
    <row r="619" ht="14.25" customHeight="1" spans="4:7">
      <c r="D619" s="93"/>
      <c r="E619" s="94"/>
      <c r="F619" s="95"/>
      <c r="G619" s="96"/>
    </row>
    <row r="620" ht="14.25" customHeight="1" spans="4:7">
      <c r="D620" s="93"/>
      <c r="E620" s="94"/>
      <c r="F620" s="95"/>
      <c r="G620" s="96"/>
    </row>
    <row r="621" ht="14.25" customHeight="1" spans="4:7">
      <c r="D621" s="93"/>
      <c r="E621" s="94"/>
      <c r="F621" s="95"/>
      <c r="G621" s="96"/>
    </row>
    <row r="622" ht="14.25" customHeight="1" spans="4:7">
      <c r="D622" s="93"/>
      <c r="E622" s="94"/>
      <c r="F622" s="95"/>
      <c r="G622" s="96"/>
    </row>
    <row r="623" ht="14.25" customHeight="1" spans="4:7">
      <c r="D623" s="93"/>
      <c r="E623" s="94"/>
      <c r="F623" s="95"/>
      <c r="G623" s="96"/>
    </row>
    <row r="624" ht="14.25" customHeight="1" spans="4:7">
      <c r="D624" s="93"/>
      <c r="E624" s="94"/>
      <c r="F624" s="95"/>
      <c r="G624" s="96"/>
    </row>
    <row r="625" ht="14.25" customHeight="1" spans="4:7">
      <c r="D625" s="93"/>
      <c r="E625" s="94"/>
      <c r="F625" s="95"/>
      <c r="G625" s="96"/>
    </row>
    <row r="626" ht="14.25" customHeight="1" spans="4:7">
      <c r="D626" s="93"/>
      <c r="E626" s="94"/>
      <c r="F626" s="95"/>
      <c r="G626" s="96"/>
    </row>
    <row r="627" ht="14.25" customHeight="1" spans="4:7">
      <c r="D627" s="93"/>
      <c r="E627" s="94"/>
      <c r="F627" s="95"/>
      <c r="G627" s="96"/>
    </row>
    <row r="628" ht="14.25" customHeight="1" spans="4:7">
      <c r="D628" s="93"/>
      <c r="E628" s="94"/>
      <c r="F628" s="95"/>
      <c r="G628" s="96"/>
    </row>
    <row r="629" ht="14.25" customHeight="1" spans="4:7">
      <c r="D629" s="93"/>
      <c r="E629" s="94"/>
      <c r="F629" s="95"/>
      <c r="G629" s="96"/>
    </row>
    <row r="630" ht="14.25" customHeight="1" spans="4:7">
      <c r="D630" s="93"/>
      <c r="E630" s="94"/>
      <c r="F630" s="95"/>
      <c r="G630" s="96"/>
    </row>
    <row r="631" ht="14.25" customHeight="1" spans="4:7">
      <c r="D631" s="93"/>
      <c r="E631" s="94"/>
      <c r="F631" s="95"/>
      <c r="G631" s="96"/>
    </row>
    <row r="632" ht="14.25" customHeight="1" spans="4:7">
      <c r="D632" s="93"/>
      <c r="E632" s="94"/>
      <c r="F632" s="95"/>
      <c r="G632" s="96"/>
    </row>
    <row r="633" ht="14.25" customHeight="1" spans="4:7">
      <c r="D633" s="93"/>
      <c r="E633" s="94"/>
      <c r="F633" s="95"/>
      <c r="G633" s="96"/>
    </row>
    <row r="634" ht="14.25" customHeight="1" spans="4:7">
      <c r="D634" s="93"/>
      <c r="E634" s="94"/>
      <c r="F634" s="95"/>
      <c r="G634" s="96"/>
    </row>
    <row r="635" ht="14.25" customHeight="1" spans="4:7">
      <c r="D635" s="93"/>
      <c r="E635" s="94"/>
      <c r="F635" s="95"/>
      <c r="G635" s="96"/>
    </row>
    <row r="636" ht="14.25" customHeight="1" spans="4:7">
      <c r="D636" s="93"/>
      <c r="E636" s="94"/>
      <c r="F636" s="95"/>
      <c r="G636" s="96"/>
    </row>
    <row r="637" ht="14.25" customHeight="1" spans="4:7">
      <c r="D637" s="93"/>
      <c r="E637" s="94"/>
      <c r="F637" s="95"/>
      <c r="G637" s="96"/>
    </row>
    <row r="638" ht="14.25" customHeight="1" spans="4:7">
      <c r="D638" s="93"/>
      <c r="E638" s="94"/>
      <c r="F638" s="95"/>
      <c r="G638" s="96"/>
    </row>
    <row r="639" ht="14.25" customHeight="1" spans="4:7">
      <c r="D639" s="93"/>
      <c r="E639" s="94"/>
      <c r="F639" s="95"/>
      <c r="G639" s="96"/>
    </row>
    <row r="640" ht="14.25" customHeight="1" spans="4:7">
      <c r="D640" s="93"/>
      <c r="E640" s="94"/>
      <c r="F640" s="95"/>
      <c r="G640" s="96"/>
    </row>
    <row r="641" ht="14.25" customHeight="1" spans="4:7">
      <c r="D641" s="93"/>
      <c r="E641" s="94"/>
      <c r="F641" s="95"/>
      <c r="G641" s="96"/>
    </row>
    <row r="642" ht="14.25" customHeight="1" spans="4:7">
      <c r="D642" s="93"/>
      <c r="E642" s="94"/>
      <c r="F642" s="95"/>
      <c r="G642" s="96"/>
    </row>
    <row r="643" ht="14.25" customHeight="1" spans="4:7">
      <c r="D643" s="93"/>
      <c r="E643" s="94"/>
      <c r="F643" s="95"/>
      <c r="G643" s="96"/>
    </row>
    <row r="644" ht="14.25" customHeight="1" spans="4:7">
      <c r="D644" s="93"/>
      <c r="E644" s="94"/>
      <c r="F644" s="95"/>
      <c r="G644" s="96"/>
    </row>
    <row r="645" ht="14.25" customHeight="1" spans="4:7">
      <c r="D645" s="93"/>
      <c r="E645" s="94"/>
      <c r="F645" s="95"/>
      <c r="G645" s="96"/>
    </row>
    <row r="646" ht="14.25" customHeight="1" spans="4:7">
      <c r="D646" s="93"/>
      <c r="E646" s="94"/>
      <c r="F646" s="95"/>
      <c r="G646" s="96"/>
    </row>
    <row r="647" ht="14.25" customHeight="1" spans="4:7">
      <c r="D647" s="93"/>
      <c r="E647" s="94"/>
      <c r="F647" s="95"/>
      <c r="G647" s="96"/>
    </row>
    <row r="648" ht="14.25" customHeight="1" spans="4:7">
      <c r="D648" s="93"/>
      <c r="E648" s="94"/>
      <c r="F648" s="95"/>
      <c r="G648" s="96"/>
    </row>
    <row r="649" ht="14.25" customHeight="1" spans="4:7">
      <c r="D649" s="93"/>
      <c r="E649" s="94"/>
      <c r="F649" s="95"/>
      <c r="G649" s="96"/>
    </row>
    <row r="650" ht="14.25" customHeight="1" spans="4:7">
      <c r="D650" s="93"/>
      <c r="E650" s="94"/>
      <c r="F650" s="95"/>
      <c r="G650" s="96"/>
    </row>
    <row r="651" ht="14.25" customHeight="1" spans="4:7">
      <c r="D651" s="93"/>
      <c r="E651" s="94"/>
      <c r="F651" s="95"/>
      <c r="G651" s="96"/>
    </row>
    <row r="652" ht="14.25" customHeight="1" spans="4:7">
      <c r="D652" s="93"/>
      <c r="E652" s="94"/>
      <c r="F652" s="95"/>
      <c r="G652" s="96"/>
    </row>
    <row r="653" ht="14.25" customHeight="1" spans="4:7">
      <c r="D653" s="93"/>
      <c r="E653" s="94"/>
      <c r="F653" s="95"/>
      <c r="G653" s="96"/>
    </row>
    <row r="654" ht="14.25" customHeight="1" spans="4:7">
      <c r="D654" s="93"/>
      <c r="E654" s="94"/>
      <c r="F654" s="95"/>
      <c r="G654" s="96"/>
    </row>
    <row r="655" ht="14.25" customHeight="1" spans="4:7">
      <c r="D655" s="93"/>
      <c r="E655" s="94"/>
      <c r="F655" s="95"/>
      <c r="G655" s="96"/>
    </row>
    <row r="656" ht="14.25" customHeight="1" spans="4:7">
      <c r="D656" s="93"/>
      <c r="E656" s="94"/>
      <c r="F656" s="95"/>
      <c r="G656" s="96"/>
    </row>
    <row r="657" ht="14.25" customHeight="1" spans="4:7">
      <c r="D657" s="93"/>
      <c r="E657" s="94"/>
      <c r="F657" s="95"/>
      <c r="G657" s="96"/>
    </row>
    <row r="658" ht="14.25" customHeight="1" spans="4:7">
      <c r="D658" s="93"/>
      <c r="E658" s="94"/>
      <c r="F658" s="95"/>
      <c r="G658" s="96"/>
    </row>
    <row r="659" ht="14.25" customHeight="1" spans="4:7">
      <c r="D659" s="93"/>
      <c r="E659" s="94"/>
      <c r="F659" s="95"/>
      <c r="G659" s="96"/>
    </row>
    <row r="660" ht="14.25" customHeight="1" spans="4:7">
      <c r="D660" s="93"/>
      <c r="E660" s="94"/>
      <c r="F660" s="95"/>
      <c r="G660" s="96"/>
    </row>
    <row r="661" ht="14.25" customHeight="1" spans="4:7">
      <c r="D661" s="93"/>
      <c r="E661" s="94"/>
      <c r="F661" s="95"/>
      <c r="G661" s="96"/>
    </row>
    <row r="662" ht="14.25" customHeight="1" spans="4:7">
      <c r="D662" s="93"/>
      <c r="E662" s="94"/>
      <c r="F662" s="95"/>
      <c r="G662" s="96"/>
    </row>
    <row r="663" ht="14.25" customHeight="1" spans="4:7">
      <c r="D663" s="93"/>
      <c r="E663" s="94"/>
      <c r="F663" s="95"/>
      <c r="G663" s="96"/>
    </row>
    <row r="664" ht="14.25" customHeight="1" spans="4:7">
      <c r="D664" s="93"/>
      <c r="E664" s="94"/>
      <c r="F664" s="95"/>
      <c r="G664" s="96"/>
    </row>
    <row r="665" ht="14.25" customHeight="1" spans="4:7">
      <c r="D665" s="93"/>
      <c r="E665" s="94"/>
      <c r="F665" s="95"/>
      <c r="G665" s="96"/>
    </row>
    <row r="666" ht="14.25" customHeight="1" spans="4:7">
      <c r="D666" s="93"/>
      <c r="E666" s="94"/>
      <c r="F666" s="95"/>
      <c r="G666" s="96"/>
    </row>
    <row r="667" ht="14.25" customHeight="1" spans="4:7">
      <c r="D667" s="93"/>
      <c r="E667" s="94"/>
      <c r="F667" s="95"/>
      <c r="G667" s="96"/>
    </row>
    <row r="668" ht="14.25" customHeight="1" spans="4:7">
      <c r="D668" s="93"/>
      <c r="E668" s="94"/>
      <c r="F668" s="95"/>
      <c r="G668" s="96"/>
    </row>
    <row r="669" ht="14.25" customHeight="1" spans="4:7">
      <c r="D669" s="93"/>
      <c r="E669" s="94"/>
      <c r="F669" s="95"/>
      <c r="G669" s="96"/>
    </row>
    <row r="670" ht="14.25" customHeight="1" spans="4:7">
      <c r="D670" s="93"/>
      <c r="E670" s="94"/>
      <c r="F670" s="95"/>
      <c r="G670" s="96"/>
    </row>
    <row r="671" ht="14.25" customHeight="1" spans="4:7">
      <c r="D671" s="93"/>
      <c r="E671" s="94"/>
      <c r="F671" s="95"/>
      <c r="G671" s="96"/>
    </row>
    <row r="672" ht="14.25" customHeight="1" spans="4:7">
      <c r="D672" s="93"/>
      <c r="E672" s="94"/>
      <c r="F672" s="95"/>
      <c r="G672" s="96"/>
    </row>
    <row r="673" ht="14.25" customHeight="1" spans="4:7">
      <c r="D673" s="93"/>
      <c r="E673" s="94"/>
      <c r="F673" s="95"/>
      <c r="G673" s="96"/>
    </row>
    <row r="674" ht="14.25" customHeight="1" spans="4:7">
      <c r="D674" s="93"/>
      <c r="E674" s="94"/>
      <c r="F674" s="95"/>
      <c r="G674" s="96"/>
    </row>
    <row r="675" ht="14.25" customHeight="1" spans="4:7">
      <c r="D675" s="93"/>
      <c r="E675" s="94"/>
      <c r="F675" s="95"/>
      <c r="G675" s="96"/>
    </row>
    <row r="676" ht="14.25" customHeight="1" spans="4:7">
      <c r="D676" s="93"/>
      <c r="E676" s="94"/>
      <c r="F676" s="95"/>
      <c r="G676" s="96"/>
    </row>
    <row r="677" ht="14.25" customHeight="1" spans="4:7">
      <c r="D677" s="93"/>
      <c r="E677" s="94"/>
      <c r="F677" s="95"/>
      <c r="G677" s="96"/>
    </row>
    <row r="678" ht="14.25" customHeight="1" spans="4:7">
      <c r="D678" s="93"/>
      <c r="E678" s="94"/>
      <c r="F678" s="95"/>
      <c r="G678" s="96"/>
    </row>
    <row r="679" ht="14.25" customHeight="1" spans="4:7">
      <c r="D679" s="93"/>
      <c r="E679" s="94"/>
      <c r="F679" s="95"/>
      <c r="G679" s="96"/>
    </row>
    <row r="680" ht="14.25" customHeight="1" spans="4:7">
      <c r="D680" s="93"/>
      <c r="E680" s="94"/>
      <c r="F680" s="95"/>
      <c r="G680" s="96"/>
    </row>
    <row r="681" ht="14.25" customHeight="1" spans="4:7">
      <c r="D681" s="93"/>
      <c r="E681" s="94"/>
      <c r="F681" s="95"/>
      <c r="G681" s="96"/>
    </row>
    <row r="682" ht="14.25" customHeight="1" spans="4:7">
      <c r="D682" s="93"/>
      <c r="E682" s="94"/>
      <c r="F682" s="95"/>
      <c r="G682" s="96"/>
    </row>
    <row r="683" ht="14.25" customHeight="1" spans="4:7">
      <c r="D683" s="93"/>
      <c r="E683" s="94"/>
      <c r="F683" s="95"/>
      <c r="G683" s="96"/>
    </row>
    <row r="684" ht="14.25" customHeight="1" spans="4:7">
      <c r="D684" s="93"/>
      <c r="E684" s="94"/>
      <c r="F684" s="95"/>
      <c r="G684" s="96"/>
    </row>
    <row r="685" ht="14.25" customHeight="1" spans="4:7">
      <c r="D685" s="93"/>
      <c r="E685" s="94"/>
      <c r="F685" s="95"/>
      <c r="G685" s="96"/>
    </row>
    <row r="686" ht="14.25" customHeight="1" spans="4:7">
      <c r="D686" s="93"/>
      <c r="E686" s="94"/>
      <c r="F686" s="95"/>
      <c r="G686" s="96"/>
    </row>
    <row r="687" ht="14.25" customHeight="1" spans="4:7">
      <c r="D687" s="93"/>
      <c r="E687" s="94"/>
      <c r="F687" s="95"/>
      <c r="G687" s="96"/>
    </row>
    <row r="688" ht="14.25" customHeight="1" spans="4:7">
      <c r="D688" s="93"/>
      <c r="E688" s="94"/>
      <c r="F688" s="95"/>
      <c r="G688" s="96"/>
    </row>
    <row r="689" ht="14.25" customHeight="1" spans="4:7">
      <c r="D689" s="93"/>
      <c r="E689" s="94"/>
      <c r="F689" s="95"/>
      <c r="G689" s="96"/>
    </row>
    <row r="690" ht="14.25" customHeight="1" spans="4:7">
      <c r="D690" s="93"/>
      <c r="E690" s="94"/>
      <c r="F690" s="95"/>
      <c r="G690" s="96"/>
    </row>
    <row r="691" ht="14.25" customHeight="1" spans="4:7">
      <c r="D691" s="93"/>
      <c r="E691" s="94"/>
      <c r="F691" s="95"/>
      <c r="G691" s="96"/>
    </row>
    <row r="692" ht="14.25" customHeight="1" spans="4:7">
      <c r="D692" s="93"/>
      <c r="E692" s="94"/>
      <c r="F692" s="95"/>
      <c r="G692" s="96"/>
    </row>
    <row r="693" ht="14.25" customHeight="1" spans="4:7">
      <c r="D693" s="93"/>
      <c r="E693" s="94"/>
      <c r="F693" s="95"/>
      <c r="G693" s="96"/>
    </row>
    <row r="694" ht="14.25" customHeight="1" spans="4:7">
      <c r="D694" s="93"/>
      <c r="E694" s="94"/>
      <c r="F694" s="95"/>
      <c r="G694" s="96"/>
    </row>
    <row r="695" ht="14.25" customHeight="1" spans="4:7">
      <c r="D695" s="93"/>
      <c r="E695" s="94"/>
      <c r="F695" s="95"/>
      <c r="G695" s="96"/>
    </row>
    <row r="696" ht="14.25" customHeight="1" spans="4:7">
      <c r="D696" s="93"/>
      <c r="E696" s="94"/>
      <c r="F696" s="95"/>
      <c r="G696" s="96"/>
    </row>
    <row r="697" ht="14.25" customHeight="1" spans="4:7">
      <c r="D697" s="93"/>
      <c r="E697" s="94"/>
      <c r="F697" s="95"/>
      <c r="G697" s="96"/>
    </row>
    <row r="698" ht="14.25" customHeight="1" spans="4:7">
      <c r="D698" s="93"/>
      <c r="E698" s="94"/>
      <c r="F698" s="95"/>
      <c r="G698" s="96"/>
    </row>
    <row r="699" ht="14.25" customHeight="1" spans="4:7">
      <c r="D699" s="93"/>
      <c r="E699" s="94"/>
      <c r="F699" s="95"/>
      <c r="G699" s="96"/>
    </row>
    <row r="700" ht="14.25" customHeight="1" spans="4:7">
      <c r="D700" s="93"/>
      <c r="E700" s="94"/>
      <c r="F700" s="95"/>
      <c r="G700" s="96"/>
    </row>
    <row r="701" ht="14.25" customHeight="1" spans="4:7">
      <c r="D701" s="93"/>
      <c r="E701" s="94"/>
      <c r="F701" s="95"/>
      <c r="G701" s="96"/>
    </row>
    <row r="702" ht="14.25" customHeight="1" spans="4:7">
      <c r="D702" s="93"/>
      <c r="E702" s="94"/>
      <c r="F702" s="95"/>
      <c r="G702" s="96"/>
    </row>
    <row r="703" ht="14.25" customHeight="1" spans="4:7">
      <c r="D703" s="93"/>
      <c r="E703" s="94"/>
      <c r="F703" s="95"/>
      <c r="G703" s="96"/>
    </row>
    <row r="704" ht="14.25" customHeight="1" spans="4:7">
      <c r="D704" s="93"/>
      <c r="E704" s="94"/>
      <c r="F704" s="95"/>
      <c r="G704" s="96"/>
    </row>
    <row r="705" ht="14.25" customHeight="1" spans="4:7">
      <c r="D705" s="93"/>
      <c r="E705" s="94"/>
      <c r="F705" s="95"/>
      <c r="G705" s="96"/>
    </row>
    <row r="706" ht="14.25" customHeight="1" spans="4:7">
      <c r="D706" s="93"/>
      <c r="E706" s="94"/>
      <c r="F706" s="95"/>
      <c r="G706" s="96"/>
    </row>
    <row r="707" ht="14.25" customHeight="1" spans="4:7">
      <c r="D707" s="93"/>
      <c r="E707" s="94"/>
      <c r="F707" s="95"/>
      <c r="G707" s="96"/>
    </row>
    <row r="708" ht="14.25" customHeight="1" spans="4:7">
      <c r="D708" s="93"/>
      <c r="E708" s="94"/>
      <c r="F708" s="95"/>
      <c r="G708" s="96"/>
    </row>
    <row r="709" ht="14.25" customHeight="1" spans="4:7">
      <c r="D709" s="93"/>
      <c r="E709" s="94"/>
      <c r="F709" s="95"/>
      <c r="G709" s="96"/>
    </row>
    <row r="710" ht="14.25" customHeight="1" spans="4:7">
      <c r="D710" s="93"/>
      <c r="E710" s="94"/>
      <c r="F710" s="95"/>
      <c r="G710" s="96"/>
    </row>
    <row r="711" ht="14.25" customHeight="1" spans="4:7">
      <c r="D711" s="93"/>
      <c r="E711" s="94"/>
      <c r="F711" s="95"/>
      <c r="G711" s="96"/>
    </row>
    <row r="712" ht="14.25" customHeight="1" spans="4:7">
      <c r="D712" s="93"/>
      <c r="E712" s="94"/>
      <c r="F712" s="95"/>
      <c r="G712" s="96"/>
    </row>
    <row r="713" ht="14.25" customHeight="1" spans="4:7">
      <c r="D713" s="93"/>
      <c r="E713" s="94"/>
      <c r="F713" s="95"/>
      <c r="G713" s="96"/>
    </row>
    <row r="714" ht="14.25" customHeight="1" spans="4:7">
      <c r="D714" s="93"/>
      <c r="E714" s="94"/>
      <c r="F714" s="95"/>
      <c r="G714" s="96"/>
    </row>
    <row r="715" ht="14.25" customHeight="1" spans="4:7">
      <c r="D715" s="93"/>
      <c r="E715" s="94"/>
      <c r="F715" s="95"/>
      <c r="G715" s="96"/>
    </row>
    <row r="716" ht="14.25" customHeight="1" spans="4:7">
      <c r="D716" s="93"/>
      <c r="E716" s="94"/>
      <c r="F716" s="95"/>
      <c r="G716" s="96"/>
    </row>
    <row r="717" ht="14.25" customHeight="1" spans="4:7">
      <c r="D717" s="93"/>
      <c r="E717" s="94"/>
      <c r="F717" s="95"/>
      <c r="G717" s="96"/>
    </row>
    <row r="718" ht="14.25" customHeight="1" spans="4:7">
      <c r="D718" s="93"/>
      <c r="E718" s="94"/>
      <c r="F718" s="95"/>
      <c r="G718" s="96"/>
    </row>
    <row r="719" ht="14.25" customHeight="1" spans="4:7">
      <c r="D719" s="93"/>
      <c r="E719" s="94"/>
      <c r="F719" s="95"/>
      <c r="G719" s="96"/>
    </row>
    <row r="720" ht="14.25" customHeight="1" spans="4:7">
      <c r="D720" s="93"/>
      <c r="E720" s="94"/>
      <c r="F720" s="95"/>
      <c r="G720" s="96"/>
    </row>
    <row r="721" ht="14.25" customHeight="1" spans="4:7">
      <c r="D721" s="93"/>
      <c r="E721" s="94"/>
      <c r="F721" s="95"/>
      <c r="G721" s="96"/>
    </row>
    <row r="722" ht="14.25" customHeight="1" spans="4:7">
      <c r="D722" s="93"/>
      <c r="E722" s="94"/>
      <c r="F722" s="95"/>
      <c r="G722" s="96"/>
    </row>
    <row r="723" ht="14.25" customHeight="1" spans="4:7">
      <c r="D723" s="93"/>
      <c r="E723" s="94"/>
      <c r="F723" s="95"/>
      <c r="G723" s="96"/>
    </row>
    <row r="724" ht="14.25" customHeight="1" spans="4:7">
      <c r="D724" s="93"/>
      <c r="E724" s="94"/>
      <c r="F724" s="95"/>
      <c r="G724" s="96"/>
    </row>
    <row r="725" ht="14.25" customHeight="1" spans="4:7">
      <c r="D725" s="93"/>
      <c r="E725" s="94"/>
      <c r="F725" s="95"/>
      <c r="G725" s="96"/>
    </row>
    <row r="726" ht="14.25" customHeight="1" spans="4:7">
      <c r="D726" s="93"/>
      <c r="E726" s="94"/>
      <c r="F726" s="95"/>
      <c r="G726" s="96"/>
    </row>
    <row r="727" ht="14.25" customHeight="1" spans="4:7">
      <c r="D727" s="93"/>
      <c r="E727" s="94"/>
      <c r="F727" s="95"/>
      <c r="G727" s="96"/>
    </row>
    <row r="728" ht="14.25" customHeight="1" spans="4:7">
      <c r="D728" s="93"/>
      <c r="E728" s="94"/>
      <c r="F728" s="95"/>
      <c r="G728" s="96"/>
    </row>
    <row r="729" ht="14.25" customHeight="1" spans="4:7">
      <c r="D729" s="93"/>
      <c r="E729" s="94"/>
      <c r="F729" s="95"/>
      <c r="G729" s="96"/>
    </row>
    <row r="730" ht="14.25" customHeight="1" spans="4:7">
      <c r="D730" s="93"/>
      <c r="E730" s="94"/>
      <c r="F730" s="95"/>
      <c r="G730" s="96"/>
    </row>
    <row r="731" ht="14.25" customHeight="1" spans="4:7">
      <c r="D731" s="93"/>
      <c r="E731" s="94"/>
      <c r="F731" s="95"/>
      <c r="G731" s="96"/>
    </row>
    <row r="732" ht="14.25" customHeight="1" spans="4:7">
      <c r="D732" s="93"/>
      <c r="E732" s="94"/>
      <c r="F732" s="95"/>
      <c r="G732" s="96"/>
    </row>
    <row r="733" ht="14.25" customHeight="1" spans="4:7">
      <c r="D733" s="93"/>
      <c r="E733" s="94"/>
      <c r="F733" s="95"/>
      <c r="G733" s="96"/>
    </row>
    <row r="734" ht="14.25" customHeight="1" spans="4:7">
      <c r="D734" s="93"/>
      <c r="E734" s="94"/>
      <c r="F734" s="95"/>
      <c r="G734" s="96"/>
    </row>
    <row r="735" ht="14.25" customHeight="1" spans="4:7">
      <c r="D735" s="93"/>
      <c r="E735" s="94"/>
      <c r="F735" s="95"/>
      <c r="G735" s="96"/>
    </row>
    <row r="736" ht="14.25" customHeight="1" spans="4:7">
      <c r="D736" s="93"/>
      <c r="E736" s="94"/>
      <c r="F736" s="95"/>
      <c r="G736" s="96"/>
    </row>
    <row r="737" ht="14.25" customHeight="1" spans="4:7">
      <c r="D737" s="93"/>
      <c r="E737" s="94"/>
      <c r="F737" s="95"/>
      <c r="G737" s="96"/>
    </row>
    <row r="738" ht="14.25" customHeight="1" spans="4:7">
      <c r="D738" s="93"/>
      <c r="E738" s="94"/>
      <c r="F738" s="95"/>
      <c r="G738" s="96"/>
    </row>
    <row r="739" ht="14.25" customHeight="1" spans="4:7">
      <c r="D739" s="93"/>
      <c r="E739" s="94"/>
      <c r="F739" s="95"/>
      <c r="G739" s="96"/>
    </row>
    <row r="740" ht="14.25" customHeight="1" spans="4:7">
      <c r="D740" s="93"/>
      <c r="E740" s="94"/>
      <c r="F740" s="95"/>
      <c r="G740" s="96"/>
    </row>
    <row r="741" ht="14.25" customHeight="1" spans="4:7">
      <c r="D741" s="93"/>
      <c r="E741" s="94"/>
      <c r="F741" s="95"/>
      <c r="G741" s="96"/>
    </row>
    <row r="742" ht="14.25" customHeight="1" spans="4:7">
      <c r="D742" s="93"/>
      <c r="E742" s="94"/>
      <c r="F742" s="95"/>
      <c r="G742" s="96"/>
    </row>
    <row r="743" ht="14.25" customHeight="1" spans="4:7">
      <c r="D743" s="93"/>
      <c r="E743" s="94"/>
      <c r="F743" s="95"/>
      <c r="G743" s="96"/>
    </row>
    <row r="744" ht="14.25" customHeight="1" spans="4:7">
      <c r="D744" s="93"/>
      <c r="E744" s="94"/>
      <c r="F744" s="95"/>
      <c r="G744" s="96"/>
    </row>
    <row r="745" ht="14.25" customHeight="1" spans="4:7">
      <c r="D745" s="93"/>
      <c r="E745" s="94"/>
      <c r="F745" s="95"/>
      <c r="G745" s="96"/>
    </row>
    <row r="746" ht="14.25" customHeight="1" spans="4:7">
      <c r="D746" s="93"/>
      <c r="E746" s="94"/>
      <c r="F746" s="95"/>
      <c r="G746" s="96"/>
    </row>
    <row r="747" ht="14.25" customHeight="1" spans="4:7">
      <c r="D747" s="93"/>
      <c r="E747" s="94"/>
      <c r="F747" s="95"/>
      <c r="G747" s="96"/>
    </row>
    <row r="748" ht="14.25" customHeight="1" spans="4:7">
      <c r="D748" s="93"/>
      <c r="E748" s="94"/>
      <c r="F748" s="95"/>
      <c r="G748" s="96"/>
    </row>
    <row r="749" ht="14.25" customHeight="1" spans="4:7">
      <c r="D749" s="93"/>
      <c r="E749" s="94"/>
      <c r="F749" s="95"/>
      <c r="G749" s="96"/>
    </row>
    <row r="750" ht="14.25" customHeight="1" spans="4:7">
      <c r="D750" s="93"/>
      <c r="E750" s="94"/>
      <c r="F750" s="95"/>
      <c r="G750" s="96"/>
    </row>
    <row r="751" ht="14.25" customHeight="1" spans="4:7">
      <c r="D751" s="93"/>
      <c r="E751" s="94"/>
      <c r="F751" s="95"/>
      <c r="G751" s="96"/>
    </row>
    <row r="752" ht="14.25" customHeight="1" spans="4:7">
      <c r="D752" s="93"/>
      <c r="E752" s="94"/>
      <c r="F752" s="95"/>
      <c r="G752" s="96"/>
    </row>
    <row r="753" ht="14.25" customHeight="1" spans="4:7">
      <c r="D753" s="93"/>
      <c r="E753" s="94"/>
      <c r="F753" s="95"/>
      <c r="G753" s="96"/>
    </row>
    <row r="754" ht="14.25" customHeight="1" spans="4:7">
      <c r="D754" s="93"/>
      <c r="E754" s="94"/>
      <c r="F754" s="95"/>
      <c r="G754" s="96"/>
    </row>
    <row r="755" ht="14.25" customHeight="1" spans="4:7">
      <c r="D755" s="93"/>
      <c r="E755" s="94"/>
      <c r="F755" s="95"/>
      <c r="G755" s="96"/>
    </row>
    <row r="756" ht="14.25" customHeight="1" spans="4:7">
      <c r="D756" s="93"/>
      <c r="E756" s="94"/>
      <c r="F756" s="95"/>
      <c r="G756" s="96"/>
    </row>
    <row r="757" ht="14.25" customHeight="1" spans="4:7">
      <c r="D757" s="93"/>
      <c r="E757" s="94"/>
      <c r="F757" s="95"/>
      <c r="G757" s="96"/>
    </row>
    <row r="758" ht="14.25" customHeight="1" spans="4:7">
      <c r="D758" s="93"/>
      <c r="E758" s="94"/>
      <c r="F758" s="95"/>
      <c r="G758" s="96"/>
    </row>
    <row r="759" ht="14.25" customHeight="1" spans="4:7">
      <c r="D759" s="93"/>
      <c r="E759" s="94"/>
      <c r="F759" s="95"/>
      <c r="G759" s="96"/>
    </row>
    <row r="760" ht="14.25" customHeight="1" spans="4:7">
      <c r="D760" s="93"/>
      <c r="E760" s="94"/>
      <c r="F760" s="95"/>
      <c r="G760" s="96"/>
    </row>
    <row r="761" ht="14.25" customHeight="1" spans="4:7">
      <c r="D761" s="93"/>
      <c r="E761" s="94"/>
      <c r="F761" s="95"/>
      <c r="G761" s="96"/>
    </row>
    <row r="762" ht="14.25" customHeight="1" spans="4:7">
      <c r="D762" s="93"/>
      <c r="E762" s="94"/>
      <c r="F762" s="95"/>
      <c r="G762" s="96"/>
    </row>
    <row r="763" ht="14.25" customHeight="1" spans="4:7">
      <c r="D763" s="93"/>
      <c r="E763" s="94"/>
      <c r="F763" s="95"/>
      <c r="G763" s="96"/>
    </row>
    <row r="764" ht="14.25" customHeight="1" spans="4:7">
      <c r="D764" s="93"/>
      <c r="E764" s="94"/>
      <c r="F764" s="95"/>
      <c r="G764" s="96"/>
    </row>
    <row r="765" ht="14.25" customHeight="1" spans="4:7">
      <c r="D765" s="93"/>
      <c r="E765" s="94"/>
      <c r="F765" s="95"/>
      <c r="G765" s="96"/>
    </row>
    <row r="766" ht="14.25" customHeight="1" spans="4:7">
      <c r="D766" s="93"/>
      <c r="E766" s="94"/>
      <c r="F766" s="95"/>
      <c r="G766" s="96"/>
    </row>
    <row r="767" ht="14.25" customHeight="1" spans="4:7">
      <c r="D767" s="93"/>
      <c r="E767" s="94"/>
      <c r="F767" s="95"/>
      <c r="G767" s="96"/>
    </row>
    <row r="768" ht="14.25" customHeight="1" spans="4:7">
      <c r="D768" s="93"/>
      <c r="E768" s="94"/>
      <c r="F768" s="95"/>
      <c r="G768" s="96"/>
    </row>
    <row r="769" ht="14.25" customHeight="1" spans="4:7">
      <c r="D769" s="93"/>
      <c r="E769" s="94"/>
      <c r="F769" s="95"/>
      <c r="G769" s="96"/>
    </row>
    <row r="770" ht="14.25" customHeight="1" spans="4:7">
      <c r="D770" s="93"/>
      <c r="E770" s="94"/>
      <c r="F770" s="95"/>
      <c r="G770" s="96"/>
    </row>
    <row r="771" ht="14.25" customHeight="1" spans="4:7">
      <c r="D771" s="93"/>
      <c r="E771" s="94"/>
      <c r="F771" s="95"/>
      <c r="G771" s="96"/>
    </row>
    <row r="772" ht="14.25" customHeight="1" spans="4:7">
      <c r="D772" s="93"/>
      <c r="E772" s="94"/>
      <c r="F772" s="95"/>
      <c r="G772" s="96"/>
    </row>
    <row r="773" ht="14.25" customHeight="1" spans="4:7">
      <c r="D773" s="93"/>
      <c r="E773" s="94"/>
      <c r="F773" s="95"/>
      <c r="G773" s="96"/>
    </row>
    <row r="774" ht="14.25" customHeight="1" spans="4:7">
      <c r="D774" s="93"/>
      <c r="E774" s="94"/>
      <c r="F774" s="95"/>
      <c r="G774" s="96"/>
    </row>
    <row r="775" ht="14.25" customHeight="1" spans="4:7">
      <c r="D775" s="93"/>
      <c r="E775" s="94"/>
      <c r="F775" s="95"/>
      <c r="G775" s="96"/>
    </row>
    <row r="776" ht="14.25" customHeight="1" spans="4:7">
      <c r="D776" s="93"/>
      <c r="E776" s="94"/>
      <c r="F776" s="95"/>
      <c r="G776" s="96"/>
    </row>
    <row r="777" ht="14.25" customHeight="1" spans="4:7">
      <c r="D777" s="93"/>
      <c r="E777" s="94"/>
      <c r="F777" s="95"/>
      <c r="G777" s="96"/>
    </row>
    <row r="778" ht="14.25" customHeight="1" spans="4:7">
      <c r="D778" s="93"/>
      <c r="E778" s="94"/>
      <c r="F778" s="95"/>
      <c r="G778" s="96"/>
    </row>
    <row r="779" ht="14.25" customHeight="1" spans="4:7">
      <c r="D779" s="93"/>
      <c r="E779" s="94"/>
      <c r="F779" s="95"/>
      <c r="G779" s="96"/>
    </row>
    <row r="780" ht="14.25" customHeight="1" spans="4:7">
      <c r="D780" s="93"/>
      <c r="E780" s="94"/>
      <c r="F780" s="95"/>
      <c r="G780" s="96"/>
    </row>
    <row r="781" ht="14.25" customHeight="1" spans="4:7">
      <c r="D781" s="93"/>
      <c r="E781" s="94"/>
      <c r="F781" s="95"/>
      <c r="G781" s="96"/>
    </row>
    <row r="782" ht="14.25" customHeight="1" spans="4:7">
      <c r="D782" s="93"/>
      <c r="E782" s="94"/>
      <c r="F782" s="95"/>
      <c r="G782" s="96"/>
    </row>
    <row r="783" ht="14.25" customHeight="1" spans="4:7">
      <c r="D783" s="93"/>
      <c r="E783" s="94"/>
      <c r="F783" s="95"/>
      <c r="G783" s="96"/>
    </row>
    <row r="784" ht="14.25" customHeight="1" spans="4:7">
      <c r="D784" s="93"/>
      <c r="E784" s="94"/>
      <c r="F784" s="95"/>
      <c r="G784" s="96"/>
    </row>
    <row r="785" ht="14.25" customHeight="1" spans="4:7">
      <c r="D785" s="93"/>
      <c r="E785" s="94"/>
      <c r="F785" s="95"/>
      <c r="G785" s="96"/>
    </row>
    <row r="786" ht="14.25" customHeight="1" spans="4:7">
      <c r="D786" s="93"/>
      <c r="E786" s="94"/>
      <c r="F786" s="95"/>
      <c r="G786" s="96"/>
    </row>
    <row r="787" ht="14.25" customHeight="1" spans="4:7">
      <c r="D787" s="93"/>
      <c r="E787" s="94"/>
      <c r="F787" s="95"/>
      <c r="G787" s="96"/>
    </row>
    <row r="788" ht="14.25" customHeight="1" spans="4:7">
      <c r="D788" s="93"/>
      <c r="E788" s="94"/>
      <c r="F788" s="95"/>
      <c r="G788" s="96"/>
    </row>
    <row r="789" ht="14.25" customHeight="1" spans="4:7">
      <c r="D789" s="93"/>
      <c r="E789" s="94"/>
      <c r="F789" s="95"/>
      <c r="G789" s="96"/>
    </row>
    <row r="790" ht="14.25" customHeight="1" spans="4:7">
      <c r="D790" s="93"/>
      <c r="E790" s="94"/>
      <c r="F790" s="95"/>
      <c r="G790" s="96"/>
    </row>
    <row r="791" ht="14.25" customHeight="1" spans="4:7">
      <c r="D791" s="93"/>
      <c r="E791" s="94"/>
      <c r="F791" s="95"/>
      <c r="G791" s="96"/>
    </row>
    <row r="792" ht="14.25" customHeight="1" spans="4:7">
      <c r="D792" s="93"/>
      <c r="E792" s="94"/>
      <c r="F792" s="95"/>
      <c r="G792" s="96"/>
    </row>
    <row r="793" ht="14.25" customHeight="1" spans="4:7">
      <c r="D793" s="93"/>
      <c r="E793" s="94"/>
      <c r="F793" s="95"/>
      <c r="G793" s="96"/>
    </row>
    <row r="794" ht="14.25" customHeight="1" spans="4:7">
      <c r="D794" s="93"/>
      <c r="E794" s="94"/>
      <c r="F794" s="95"/>
      <c r="G794" s="96"/>
    </row>
    <row r="795" ht="14.25" customHeight="1" spans="4:7">
      <c r="D795" s="93"/>
      <c r="E795" s="94"/>
      <c r="F795" s="95"/>
      <c r="G795" s="96"/>
    </row>
    <row r="796" ht="14.25" customHeight="1" spans="4:7">
      <c r="D796" s="93"/>
      <c r="E796" s="94"/>
      <c r="F796" s="95"/>
      <c r="G796" s="96"/>
    </row>
    <row r="797" ht="14.25" customHeight="1" spans="4:7">
      <c r="D797" s="93"/>
      <c r="E797" s="94"/>
      <c r="F797" s="95"/>
      <c r="G797" s="96"/>
    </row>
    <row r="798" ht="14.25" customHeight="1" spans="4:7">
      <c r="D798" s="93"/>
      <c r="E798" s="94"/>
      <c r="F798" s="95"/>
      <c r="G798" s="96"/>
    </row>
    <row r="799" ht="14.25" customHeight="1" spans="4:7">
      <c r="D799" s="93"/>
      <c r="E799" s="94"/>
      <c r="F799" s="95"/>
      <c r="G799" s="96"/>
    </row>
    <row r="800" ht="14.25" customHeight="1" spans="4:7">
      <c r="D800" s="93"/>
      <c r="E800" s="94"/>
      <c r="F800" s="95"/>
      <c r="G800" s="96"/>
    </row>
    <row r="801" ht="14.25" customHeight="1" spans="4:7">
      <c r="D801" s="93"/>
      <c r="E801" s="94"/>
      <c r="F801" s="95"/>
      <c r="G801" s="96"/>
    </row>
    <row r="802" ht="14.25" customHeight="1" spans="4:7">
      <c r="D802" s="93"/>
      <c r="E802" s="94"/>
      <c r="F802" s="95"/>
      <c r="G802" s="96"/>
    </row>
    <row r="803" ht="14.25" customHeight="1" spans="4:7">
      <c r="D803" s="93"/>
      <c r="E803" s="94"/>
      <c r="F803" s="95"/>
      <c r="G803" s="96"/>
    </row>
    <row r="804" ht="14.25" customHeight="1" spans="4:7">
      <c r="D804" s="93"/>
      <c r="E804" s="94"/>
      <c r="F804" s="95"/>
      <c r="G804" s="96"/>
    </row>
    <row r="805" ht="14.25" customHeight="1" spans="4:7">
      <c r="D805" s="93"/>
      <c r="E805" s="94"/>
      <c r="F805" s="95"/>
      <c r="G805" s="96"/>
    </row>
    <row r="806" ht="14.25" customHeight="1" spans="4:7">
      <c r="D806" s="93"/>
      <c r="E806" s="94"/>
      <c r="F806" s="95"/>
      <c r="G806" s="96"/>
    </row>
    <row r="807" ht="14.25" customHeight="1" spans="4:7">
      <c r="D807" s="93"/>
      <c r="E807" s="94"/>
      <c r="F807" s="95"/>
      <c r="G807" s="96"/>
    </row>
    <row r="808" ht="14.25" customHeight="1" spans="4:7">
      <c r="D808" s="93"/>
      <c r="E808" s="94"/>
      <c r="F808" s="95"/>
      <c r="G808" s="96"/>
    </row>
    <row r="809" ht="14.25" customHeight="1" spans="4:7">
      <c r="D809" s="93"/>
      <c r="E809" s="94"/>
      <c r="F809" s="95"/>
      <c r="G809" s="96"/>
    </row>
    <row r="810" ht="14.25" customHeight="1" spans="4:7">
      <c r="D810" s="93"/>
      <c r="E810" s="94"/>
      <c r="F810" s="95"/>
      <c r="G810" s="96"/>
    </row>
    <row r="811" ht="14.25" customHeight="1" spans="4:7">
      <c r="D811" s="93"/>
      <c r="E811" s="94"/>
      <c r="F811" s="95"/>
      <c r="G811" s="96"/>
    </row>
    <row r="812" ht="14.25" customHeight="1" spans="4:7">
      <c r="D812" s="93"/>
      <c r="E812" s="94"/>
      <c r="F812" s="95"/>
      <c r="G812" s="96"/>
    </row>
    <row r="813" ht="14.25" customHeight="1" spans="4:7">
      <c r="D813" s="93"/>
      <c r="E813" s="94"/>
      <c r="F813" s="95"/>
      <c r="G813" s="96"/>
    </row>
    <row r="814" ht="14.25" customHeight="1" spans="4:7">
      <c r="D814" s="93"/>
      <c r="E814" s="94"/>
      <c r="F814" s="95"/>
      <c r="G814" s="96"/>
    </row>
    <row r="815" ht="14.25" customHeight="1" spans="4:7">
      <c r="D815" s="93"/>
      <c r="E815" s="94"/>
      <c r="F815" s="95"/>
      <c r="G815" s="96"/>
    </row>
    <row r="816" ht="14.25" customHeight="1" spans="4:7">
      <c r="D816" s="93"/>
      <c r="E816" s="94"/>
      <c r="F816" s="95"/>
      <c r="G816" s="96"/>
    </row>
    <row r="817" ht="14.25" customHeight="1" spans="4:7">
      <c r="D817" s="93"/>
      <c r="E817" s="94"/>
      <c r="F817" s="95"/>
      <c r="G817" s="96"/>
    </row>
    <row r="818" ht="14.25" customHeight="1" spans="4:7">
      <c r="D818" s="93"/>
      <c r="E818" s="94"/>
      <c r="F818" s="95"/>
      <c r="G818" s="96"/>
    </row>
    <row r="819" ht="14.25" customHeight="1" spans="4:7">
      <c r="D819" s="93"/>
      <c r="E819" s="94"/>
      <c r="F819" s="95"/>
      <c r="G819" s="96"/>
    </row>
    <row r="820" ht="14.25" customHeight="1" spans="4:7">
      <c r="D820" s="93"/>
      <c r="E820" s="94"/>
      <c r="F820" s="95"/>
      <c r="G820" s="96"/>
    </row>
    <row r="821" ht="14.25" customHeight="1" spans="4:7">
      <c r="D821" s="93"/>
      <c r="E821" s="94"/>
      <c r="F821" s="95"/>
      <c r="G821" s="96"/>
    </row>
    <row r="822" ht="14.25" customHeight="1" spans="4:7">
      <c r="D822" s="93"/>
      <c r="E822" s="94"/>
      <c r="F822" s="95"/>
      <c r="G822" s="96"/>
    </row>
    <row r="823" ht="14.25" customHeight="1" spans="4:7">
      <c r="D823" s="93"/>
      <c r="E823" s="94"/>
      <c r="F823" s="95"/>
      <c r="G823" s="96"/>
    </row>
    <row r="824" ht="14.25" customHeight="1" spans="4:7">
      <c r="D824" s="93"/>
      <c r="E824" s="94"/>
      <c r="F824" s="95"/>
      <c r="G824" s="96"/>
    </row>
    <row r="825" ht="14.25" customHeight="1" spans="4:7">
      <c r="D825" s="93"/>
      <c r="E825" s="94"/>
      <c r="F825" s="95"/>
      <c r="G825" s="96"/>
    </row>
    <row r="826" ht="14.25" customHeight="1" spans="4:7">
      <c r="D826" s="93"/>
      <c r="E826" s="94"/>
      <c r="F826" s="95"/>
      <c r="G826" s="96"/>
    </row>
    <row r="827" ht="14.25" customHeight="1" spans="4:7">
      <c r="D827" s="93"/>
      <c r="E827" s="94"/>
      <c r="F827" s="95"/>
      <c r="G827" s="96"/>
    </row>
    <row r="828" ht="14.25" customHeight="1" spans="4:7">
      <c r="D828" s="93"/>
      <c r="E828" s="94"/>
      <c r="F828" s="95"/>
      <c r="G828" s="96"/>
    </row>
    <row r="829" ht="14.25" customHeight="1" spans="4:7">
      <c r="D829" s="93"/>
      <c r="E829" s="94"/>
      <c r="F829" s="95"/>
      <c r="G829" s="96"/>
    </row>
    <row r="830" ht="14.25" customHeight="1" spans="4:7">
      <c r="D830" s="93"/>
      <c r="E830" s="94"/>
      <c r="F830" s="95"/>
      <c r="G830" s="96"/>
    </row>
    <row r="831" ht="14.25" customHeight="1" spans="4:7">
      <c r="D831" s="93"/>
      <c r="E831" s="94"/>
      <c r="F831" s="95"/>
      <c r="G831" s="96"/>
    </row>
    <row r="832" ht="14.25" customHeight="1" spans="4:7">
      <c r="D832" s="93"/>
      <c r="E832" s="94"/>
      <c r="F832" s="95"/>
      <c r="G832" s="96"/>
    </row>
    <row r="833" ht="14.25" customHeight="1" spans="4:7">
      <c r="D833" s="93"/>
      <c r="E833" s="94"/>
      <c r="F833" s="95"/>
      <c r="G833" s="96"/>
    </row>
    <row r="834" ht="14.25" customHeight="1" spans="4:7">
      <c r="D834" s="93"/>
      <c r="E834" s="94"/>
      <c r="F834" s="95"/>
      <c r="G834" s="96"/>
    </row>
    <row r="835" ht="14.25" customHeight="1" spans="4:7">
      <c r="D835" s="93"/>
      <c r="E835" s="94"/>
      <c r="F835" s="95"/>
      <c r="G835" s="96"/>
    </row>
    <row r="836" ht="14.25" customHeight="1" spans="4:7">
      <c r="D836" s="93"/>
      <c r="E836" s="94"/>
      <c r="F836" s="95"/>
      <c r="G836" s="96"/>
    </row>
    <row r="837" ht="14.25" customHeight="1" spans="4:7">
      <c r="D837" s="93"/>
      <c r="E837" s="94"/>
      <c r="F837" s="95"/>
      <c r="G837" s="96"/>
    </row>
    <row r="838" ht="14.25" customHeight="1" spans="4:7">
      <c r="D838" s="93"/>
      <c r="E838" s="94"/>
      <c r="F838" s="95"/>
      <c r="G838" s="96"/>
    </row>
    <row r="839" ht="14.25" customHeight="1" spans="4:7">
      <c r="D839" s="93"/>
      <c r="E839" s="94"/>
      <c r="F839" s="95"/>
      <c r="G839" s="96"/>
    </row>
    <row r="840" ht="14.25" customHeight="1" spans="4:7">
      <c r="D840" s="93"/>
      <c r="E840" s="94"/>
      <c r="F840" s="95"/>
      <c r="G840" s="96"/>
    </row>
    <row r="841" ht="14.25" customHeight="1" spans="4:7">
      <c r="D841" s="93"/>
      <c r="E841" s="94"/>
      <c r="F841" s="95"/>
      <c r="G841" s="96"/>
    </row>
    <row r="842" ht="14.25" customHeight="1" spans="4:7">
      <c r="D842" s="93"/>
      <c r="E842" s="94"/>
      <c r="F842" s="95"/>
      <c r="G842" s="96"/>
    </row>
    <row r="843" ht="14.25" customHeight="1" spans="4:7">
      <c r="D843" s="93"/>
      <c r="E843" s="94"/>
      <c r="F843" s="95"/>
      <c r="G843" s="96"/>
    </row>
    <row r="844" ht="14.25" customHeight="1" spans="4:7">
      <c r="D844" s="93"/>
      <c r="E844" s="94"/>
      <c r="F844" s="95"/>
      <c r="G844" s="96"/>
    </row>
    <row r="845" ht="14.25" customHeight="1" spans="4:7">
      <c r="D845" s="93"/>
      <c r="E845" s="94"/>
      <c r="F845" s="95"/>
      <c r="G845" s="96"/>
    </row>
    <row r="846" ht="14.25" customHeight="1" spans="4:7">
      <c r="D846" s="93"/>
      <c r="E846" s="94"/>
      <c r="F846" s="95"/>
      <c r="G846" s="96"/>
    </row>
    <row r="847" ht="14.25" customHeight="1" spans="4:7">
      <c r="D847" s="93"/>
      <c r="E847" s="94"/>
      <c r="F847" s="95"/>
      <c r="G847" s="96"/>
    </row>
    <row r="848" ht="14.25" customHeight="1" spans="4:7">
      <c r="D848" s="93"/>
      <c r="E848" s="94"/>
      <c r="F848" s="95"/>
      <c r="G848" s="96"/>
    </row>
    <row r="849" ht="14.25" customHeight="1" spans="4:7">
      <c r="D849" s="93"/>
      <c r="E849" s="94"/>
      <c r="F849" s="95"/>
      <c r="G849" s="96"/>
    </row>
    <row r="850" ht="14.25" customHeight="1" spans="4:7">
      <c r="D850" s="93"/>
      <c r="E850" s="94"/>
      <c r="F850" s="95"/>
      <c r="G850" s="96"/>
    </row>
    <row r="851" ht="14.25" customHeight="1" spans="4:7">
      <c r="D851" s="93"/>
      <c r="E851" s="94"/>
      <c r="F851" s="95"/>
      <c r="G851" s="96"/>
    </row>
    <row r="852" ht="14.25" customHeight="1" spans="4:7">
      <c r="D852" s="93"/>
      <c r="E852" s="94"/>
      <c r="F852" s="95"/>
      <c r="G852" s="96"/>
    </row>
    <row r="853" ht="14.25" customHeight="1" spans="4:7">
      <c r="D853" s="93"/>
      <c r="E853" s="94"/>
      <c r="F853" s="95"/>
      <c r="G853" s="96"/>
    </row>
    <row r="854" ht="14.25" customHeight="1" spans="4:7">
      <c r="D854" s="93"/>
      <c r="E854" s="94"/>
      <c r="F854" s="95"/>
      <c r="G854" s="96"/>
    </row>
    <row r="855" ht="14.25" customHeight="1" spans="4:7">
      <c r="D855" s="93"/>
      <c r="E855" s="94"/>
      <c r="F855" s="95"/>
      <c r="G855" s="96"/>
    </row>
    <row r="856" ht="14.25" customHeight="1" spans="4:7">
      <c r="D856" s="93"/>
      <c r="E856" s="94"/>
      <c r="F856" s="95"/>
      <c r="G856" s="96"/>
    </row>
    <row r="857" ht="14.25" customHeight="1" spans="4:7">
      <c r="D857" s="93"/>
      <c r="E857" s="94"/>
      <c r="F857" s="95"/>
      <c r="G857" s="96"/>
    </row>
    <row r="858" ht="14.25" customHeight="1" spans="4:7">
      <c r="D858" s="93"/>
      <c r="E858" s="94"/>
      <c r="F858" s="95"/>
      <c r="G858" s="96"/>
    </row>
    <row r="859" ht="14.25" customHeight="1" spans="4:7">
      <c r="D859" s="93"/>
      <c r="E859" s="94"/>
      <c r="F859" s="95"/>
      <c r="G859" s="96"/>
    </row>
    <row r="860" ht="14.25" customHeight="1" spans="4:7">
      <c r="D860" s="93"/>
      <c r="E860" s="94"/>
      <c r="F860" s="95"/>
      <c r="G860" s="96"/>
    </row>
    <row r="861" ht="14.25" customHeight="1" spans="4:7">
      <c r="D861" s="93"/>
      <c r="E861" s="94"/>
      <c r="F861" s="95"/>
      <c r="G861" s="96"/>
    </row>
    <row r="862" ht="14.25" customHeight="1" spans="4:7">
      <c r="D862" s="93"/>
      <c r="E862" s="94"/>
      <c r="F862" s="95"/>
      <c r="G862" s="96"/>
    </row>
    <row r="863" ht="14.25" customHeight="1" spans="4:7">
      <c r="D863" s="93"/>
      <c r="E863" s="94"/>
      <c r="F863" s="95"/>
      <c r="G863" s="96"/>
    </row>
    <row r="864" ht="14.25" customHeight="1" spans="4:7">
      <c r="D864" s="93"/>
      <c r="E864" s="94"/>
      <c r="F864" s="95"/>
      <c r="G864" s="96"/>
    </row>
    <row r="865" ht="14.25" customHeight="1" spans="4:7">
      <c r="D865" s="93"/>
      <c r="E865" s="94"/>
      <c r="F865" s="95"/>
      <c r="G865" s="96"/>
    </row>
    <row r="866" ht="14.25" customHeight="1" spans="4:7">
      <c r="D866" s="93"/>
      <c r="E866" s="94"/>
      <c r="F866" s="95"/>
      <c r="G866" s="96"/>
    </row>
    <row r="867" ht="14.25" customHeight="1" spans="4:7">
      <c r="D867" s="93"/>
      <c r="E867" s="94"/>
      <c r="F867" s="95"/>
      <c r="G867" s="96"/>
    </row>
    <row r="868" ht="14.25" customHeight="1" spans="4:7">
      <c r="D868" s="93"/>
      <c r="E868" s="94"/>
      <c r="F868" s="95"/>
      <c r="G868" s="96"/>
    </row>
    <row r="869" ht="14.25" customHeight="1" spans="4:7">
      <c r="D869" s="93"/>
      <c r="E869" s="94"/>
      <c r="F869" s="95"/>
      <c r="G869" s="96"/>
    </row>
    <row r="870" ht="14.25" customHeight="1" spans="4:7">
      <c r="D870" s="93"/>
      <c r="E870" s="94"/>
      <c r="F870" s="95"/>
      <c r="G870" s="96"/>
    </row>
    <row r="871" ht="14.25" customHeight="1" spans="4:7">
      <c r="D871" s="93"/>
      <c r="E871" s="94"/>
      <c r="F871" s="95"/>
      <c r="G871" s="96"/>
    </row>
    <row r="872" ht="14.25" customHeight="1" spans="4:7">
      <c r="D872" s="93"/>
      <c r="E872" s="94"/>
      <c r="F872" s="95"/>
      <c r="G872" s="96"/>
    </row>
    <row r="873" ht="14.25" customHeight="1" spans="4:7">
      <c r="D873" s="93"/>
      <c r="E873" s="94"/>
      <c r="F873" s="95"/>
      <c r="G873" s="96"/>
    </row>
    <row r="874" ht="14.25" customHeight="1" spans="4:7">
      <c r="D874" s="93"/>
      <c r="E874" s="94"/>
      <c r="F874" s="95"/>
      <c r="G874" s="96"/>
    </row>
    <row r="875" ht="14.25" customHeight="1" spans="4:7">
      <c r="D875" s="93"/>
      <c r="E875" s="94"/>
      <c r="F875" s="95"/>
      <c r="G875" s="96"/>
    </row>
    <row r="876" ht="14.25" customHeight="1" spans="4:7">
      <c r="D876" s="93"/>
      <c r="E876" s="94"/>
      <c r="F876" s="95"/>
      <c r="G876" s="96"/>
    </row>
    <row r="877" ht="14.25" customHeight="1" spans="4:7">
      <c r="D877" s="93"/>
      <c r="E877" s="94"/>
      <c r="F877" s="95"/>
      <c r="G877" s="96"/>
    </row>
    <row r="878" ht="14.25" customHeight="1" spans="4:7">
      <c r="D878" s="93"/>
      <c r="E878" s="94"/>
      <c r="F878" s="95"/>
      <c r="G878" s="96"/>
    </row>
    <row r="879" ht="14.25" customHeight="1" spans="4:7">
      <c r="D879" s="93"/>
      <c r="E879" s="94"/>
      <c r="F879" s="95"/>
      <c r="G879" s="96"/>
    </row>
    <row r="880" ht="14.25" customHeight="1" spans="4:7">
      <c r="D880" s="93"/>
      <c r="E880" s="94"/>
      <c r="F880" s="95"/>
      <c r="G880" s="96"/>
    </row>
    <row r="881" ht="14.25" customHeight="1" spans="4:7">
      <c r="D881" s="93"/>
      <c r="E881" s="94"/>
      <c r="F881" s="95"/>
      <c r="G881" s="96"/>
    </row>
    <row r="882" ht="14.25" customHeight="1" spans="4:7">
      <c r="D882" s="93"/>
      <c r="E882" s="94"/>
      <c r="F882" s="95"/>
      <c r="G882" s="96"/>
    </row>
    <row r="883" ht="14.25" customHeight="1" spans="4:7">
      <c r="D883" s="93"/>
      <c r="E883" s="94"/>
      <c r="F883" s="95"/>
      <c r="G883" s="96"/>
    </row>
    <row r="884" ht="14.25" customHeight="1" spans="4:7">
      <c r="D884" s="93"/>
      <c r="E884" s="94"/>
      <c r="F884" s="95"/>
      <c r="G884" s="96"/>
    </row>
    <row r="885" ht="14.25" customHeight="1" spans="4:7">
      <c r="D885" s="93"/>
      <c r="E885" s="94"/>
      <c r="F885" s="95"/>
      <c r="G885" s="96"/>
    </row>
    <row r="886" ht="14.25" customHeight="1" spans="4:7">
      <c r="D886" s="93"/>
      <c r="E886" s="94"/>
      <c r="F886" s="95"/>
      <c r="G886" s="96"/>
    </row>
    <row r="887" ht="14.25" customHeight="1" spans="4:7">
      <c r="D887" s="93"/>
      <c r="E887" s="94"/>
      <c r="F887" s="95"/>
      <c r="G887" s="96"/>
    </row>
    <row r="888" ht="14.25" customHeight="1" spans="4:7">
      <c r="D888" s="93"/>
      <c r="E888" s="94"/>
      <c r="F888" s="95"/>
      <c r="G888" s="96"/>
    </row>
    <row r="889" ht="14.25" customHeight="1" spans="4:7">
      <c r="D889" s="93"/>
      <c r="E889" s="94"/>
      <c r="F889" s="95"/>
      <c r="G889" s="96"/>
    </row>
    <row r="890" ht="14.25" customHeight="1" spans="4:7">
      <c r="D890" s="93"/>
      <c r="E890" s="94"/>
      <c r="F890" s="95"/>
      <c r="G890" s="96"/>
    </row>
    <row r="891" ht="14.25" customHeight="1" spans="4:7">
      <c r="D891" s="93"/>
      <c r="E891" s="94"/>
      <c r="F891" s="95"/>
      <c r="G891" s="96"/>
    </row>
    <row r="892" ht="14.25" customHeight="1" spans="4:7">
      <c r="D892" s="93"/>
      <c r="E892" s="94"/>
      <c r="F892" s="95"/>
      <c r="G892" s="96"/>
    </row>
    <row r="893" ht="14.25" customHeight="1" spans="4:7">
      <c r="D893" s="93"/>
      <c r="E893" s="94"/>
      <c r="F893" s="95"/>
      <c r="G893" s="96"/>
    </row>
    <row r="894" ht="14.25" customHeight="1" spans="4:7">
      <c r="D894" s="93"/>
      <c r="E894" s="94"/>
      <c r="F894" s="95"/>
      <c r="G894" s="96"/>
    </row>
    <row r="895" ht="14.25" customHeight="1" spans="4:7">
      <c r="D895" s="93"/>
      <c r="E895" s="94"/>
      <c r="F895" s="95"/>
      <c r="G895" s="96"/>
    </row>
    <row r="896" ht="14.25" customHeight="1" spans="4:7">
      <c r="D896" s="93"/>
      <c r="E896" s="94"/>
      <c r="F896" s="95"/>
      <c r="G896" s="96"/>
    </row>
    <row r="897" ht="14.25" customHeight="1" spans="4:7">
      <c r="D897" s="93"/>
      <c r="E897" s="94"/>
      <c r="F897" s="95"/>
      <c r="G897" s="96"/>
    </row>
    <row r="898" ht="14.25" customHeight="1" spans="4:7">
      <c r="D898" s="93"/>
      <c r="E898" s="94"/>
      <c r="F898" s="95"/>
      <c r="G898" s="96"/>
    </row>
    <row r="899" ht="14.25" customHeight="1" spans="4:7">
      <c r="D899" s="93"/>
      <c r="E899" s="94"/>
      <c r="F899" s="95"/>
      <c r="G899" s="96"/>
    </row>
    <row r="900" ht="14.25" customHeight="1" spans="4:7">
      <c r="D900" s="93"/>
      <c r="E900" s="94"/>
      <c r="F900" s="95"/>
      <c r="G900" s="96"/>
    </row>
    <row r="901" ht="14.25" customHeight="1" spans="4:7">
      <c r="D901" s="93"/>
      <c r="E901" s="94"/>
      <c r="F901" s="95"/>
      <c r="G901" s="96"/>
    </row>
    <row r="902" ht="14.25" customHeight="1" spans="4:7">
      <c r="D902" s="93"/>
      <c r="E902" s="94"/>
      <c r="F902" s="95"/>
      <c r="G902" s="96"/>
    </row>
    <row r="903" ht="14.25" customHeight="1" spans="4:7">
      <c r="D903" s="93"/>
      <c r="E903" s="94"/>
      <c r="F903" s="95"/>
      <c r="G903" s="96"/>
    </row>
    <row r="904" ht="14.25" customHeight="1" spans="4:7">
      <c r="D904" s="93"/>
      <c r="E904" s="94"/>
      <c r="F904" s="95"/>
      <c r="G904" s="96"/>
    </row>
    <row r="905" ht="14.25" customHeight="1" spans="4:7">
      <c r="D905" s="93"/>
      <c r="E905" s="94"/>
      <c r="F905" s="95"/>
      <c r="G905" s="96"/>
    </row>
    <row r="906" ht="14.25" customHeight="1" spans="4:7">
      <c r="D906" s="93"/>
      <c r="E906" s="94"/>
      <c r="F906" s="95"/>
      <c r="G906" s="96"/>
    </row>
    <row r="907" ht="14.25" customHeight="1" spans="4:7">
      <c r="D907" s="93"/>
      <c r="E907" s="94"/>
      <c r="F907" s="95"/>
      <c r="G907" s="96"/>
    </row>
    <row r="908" ht="14.25" customHeight="1" spans="4:7">
      <c r="D908" s="93"/>
      <c r="E908" s="94"/>
      <c r="F908" s="95"/>
      <c r="G908" s="96"/>
    </row>
    <row r="909" ht="14.25" customHeight="1" spans="4:7">
      <c r="D909" s="93"/>
      <c r="E909" s="94"/>
      <c r="F909" s="95"/>
      <c r="G909" s="96"/>
    </row>
    <row r="910" ht="14.25" customHeight="1" spans="4:7">
      <c r="D910" s="93"/>
      <c r="E910" s="94"/>
      <c r="F910" s="95"/>
      <c r="G910" s="96"/>
    </row>
    <row r="911" ht="14.25" customHeight="1" spans="4:7">
      <c r="D911" s="93"/>
      <c r="E911" s="94"/>
      <c r="F911" s="95"/>
      <c r="G911" s="96"/>
    </row>
    <row r="912" ht="14.25" customHeight="1" spans="4:7">
      <c r="D912" s="93"/>
      <c r="E912" s="94"/>
      <c r="F912" s="95"/>
      <c r="G912" s="96"/>
    </row>
    <row r="913" ht="14.25" customHeight="1" spans="4:7">
      <c r="D913" s="93"/>
      <c r="E913" s="94"/>
      <c r="F913" s="95"/>
      <c r="G913" s="96"/>
    </row>
    <row r="914" ht="14.25" customHeight="1" spans="4:7">
      <c r="D914" s="93"/>
      <c r="E914" s="94"/>
      <c r="F914" s="95"/>
      <c r="G914" s="96"/>
    </row>
    <row r="915" ht="14.25" customHeight="1" spans="4:7">
      <c r="D915" s="93"/>
      <c r="E915" s="94"/>
      <c r="F915" s="95"/>
      <c r="G915" s="96"/>
    </row>
    <row r="916" ht="14.25" customHeight="1" spans="4:7">
      <c r="D916" s="93"/>
      <c r="E916" s="94"/>
      <c r="F916" s="95"/>
      <c r="G916" s="96"/>
    </row>
    <row r="917" ht="14.25" customHeight="1" spans="4:7">
      <c r="D917" s="93"/>
      <c r="E917" s="94"/>
      <c r="F917" s="95"/>
      <c r="G917" s="96"/>
    </row>
    <row r="918" ht="14.25" customHeight="1" spans="4:7">
      <c r="D918" s="93"/>
      <c r="E918" s="94"/>
      <c r="F918" s="95"/>
      <c r="G918" s="96"/>
    </row>
    <row r="919" ht="14.25" customHeight="1" spans="4:7">
      <c r="D919" s="93"/>
      <c r="E919" s="94"/>
      <c r="F919" s="95"/>
      <c r="G919" s="96"/>
    </row>
    <row r="920" ht="14.25" customHeight="1" spans="4:7">
      <c r="D920" s="93"/>
      <c r="E920" s="94"/>
      <c r="F920" s="95"/>
      <c r="G920" s="96"/>
    </row>
    <row r="921" ht="14.25" customHeight="1" spans="4:7">
      <c r="D921" s="93"/>
      <c r="E921" s="94"/>
      <c r="F921" s="95"/>
      <c r="G921" s="96"/>
    </row>
    <row r="922" ht="14.25" customHeight="1" spans="4:7">
      <c r="D922" s="93"/>
      <c r="E922" s="94"/>
      <c r="F922" s="95"/>
      <c r="G922" s="96"/>
    </row>
    <row r="923" ht="14.25" customHeight="1" spans="4:7">
      <c r="D923" s="93"/>
      <c r="E923" s="94"/>
      <c r="F923" s="95"/>
      <c r="G923" s="96"/>
    </row>
    <row r="924" ht="14.25" customHeight="1" spans="4:7">
      <c r="D924" s="93"/>
      <c r="E924" s="94"/>
      <c r="F924" s="95"/>
      <c r="G924" s="96"/>
    </row>
    <row r="925" ht="14.25" customHeight="1" spans="4:7">
      <c r="D925" s="93"/>
      <c r="E925" s="94"/>
      <c r="F925" s="95"/>
      <c r="G925" s="96"/>
    </row>
    <row r="926" ht="14.25" customHeight="1" spans="4:7">
      <c r="D926" s="93"/>
      <c r="E926" s="94"/>
      <c r="F926" s="95"/>
      <c r="G926" s="96"/>
    </row>
    <row r="927" ht="14.25" customHeight="1" spans="4:7">
      <c r="D927" s="93"/>
      <c r="E927" s="94"/>
      <c r="F927" s="95"/>
      <c r="G927" s="96"/>
    </row>
    <row r="928" ht="14.25" customHeight="1" spans="4:7">
      <c r="D928" s="93"/>
      <c r="E928" s="94"/>
      <c r="F928" s="95"/>
      <c r="G928" s="96"/>
    </row>
    <row r="929" ht="14.25" customHeight="1" spans="4:7">
      <c r="D929" s="93"/>
      <c r="E929" s="94"/>
      <c r="F929" s="95"/>
      <c r="G929" s="96"/>
    </row>
    <row r="930" ht="14.25" customHeight="1" spans="4:7">
      <c r="D930" s="93"/>
      <c r="E930" s="94"/>
      <c r="F930" s="95"/>
      <c r="G930" s="96"/>
    </row>
    <row r="931" ht="14.25" customHeight="1" spans="4:7">
      <c r="D931" s="93"/>
      <c r="E931" s="94"/>
      <c r="F931" s="95"/>
      <c r="G931" s="96"/>
    </row>
    <row r="932" ht="14.25" customHeight="1" spans="4:7">
      <c r="D932" s="93"/>
      <c r="E932" s="94"/>
      <c r="F932" s="95"/>
      <c r="G932" s="96"/>
    </row>
    <row r="933" ht="14.25" customHeight="1" spans="4:7">
      <c r="D933" s="93"/>
      <c r="E933" s="94"/>
      <c r="F933" s="95"/>
      <c r="G933" s="96"/>
    </row>
    <row r="934" ht="14.25" customHeight="1" spans="4:7">
      <c r="D934" s="93"/>
      <c r="E934" s="94"/>
      <c r="F934" s="95"/>
      <c r="G934" s="96"/>
    </row>
    <row r="935" ht="14.25" customHeight="1" spans="4:7">
      <c r="D935" s="93"/>
      <c r="E935" s="94"/>
      <c r="F935" s="95"/>
      <c r="G935" s="96"/>
    </row>
    <row r="936" ht="14.25" customHeight="1" spans="4:7">
      <c r="D936" s="93"/>
      <c r="E936" s="94"/>
      <c r="F936" s="95"/>
      <c r="G936" s="96"/>
    </row>
    <row r="937" ht="14.25" customHeight="1" spans="4:7">
      <c r="D937" s="93"/>
      <c r="E937" s="94"/>
      <c r="F937" s="95"/>
      <c r="G937" s="96"/>
    </row>
    <row r="938" ht="14.25" customHeight="1" spans="4:7">
      <c r="D938" s="93"/>
      <c r="E938" s="94"/>
      <c r="F938" s="95"/>
      <c r="G938" s="96"/>
    </row>
    <row r="939" ht="14.25" customHeight="1" spans="4:7">
      <c r="D939" s="93"/>
      <c r="E939" s="94"/>
      <c r="F939" s="95"/>
      <c r="G939" s="96"/>
    </row>
    <row r="940" ht="14.25" customHeight="1" spans="4:7">
      <c r="D940" s="93"/>
      <c r="E940" s="94"/>
      <c r="F940" s="95"/>
      <c r="G940" s="96"/>
    </row>
    <row r="941" ht="14.25" customHeight="1" spans="4:7">
      <c r="D941" s="93"/>
      <c r="E941" s="94"/>
      <c r="F941" s="95"/>
      <c r="G941" s="96"/>
    </row>
    <row r="942" ht="14.25" customHeight="1" spans="4:7">
      <c r="D942" s="93"/>
      <c r="E942" s="94"/>
      <c r="F942" s="95"/>
      <c r="G942" s="96"/>
    </row>
    <row r="943" ht="14.25" customHeight="1" spans="4:7">
      <c r="D943" s="93"/>
      <c r="E943" s="94"/>
      <c r="F943" s="95"/>
      <c r="G943" s="96"/>
    </row>
    <row r="944" ht="14.25" customHeight="1" spans="4:7">
      <c r="D944" s="93"/>
      <c r="E944" s="94"/>
      <c r="F944" s="95"/>
      <c r="G944" s="96"/>
    </row>
    <row r="945" ht="14.25" customHeight="1" spans="4:7">
      <c r="D945" s="93"/>
      <c r="E945" s="94"/>
      <c r="F945" s="95"/>
      <c r="G945" s="96"/>
    </row>
    <row r="946" ht="14.25" customHeight="1" spans="4:7">
      <c r="D946" s="93"/>
      <c r="E946" s="94"/>
      <c r="F946" s="95"/>
      <c r="G946" s="96"/>
    </row>
    <row r="947" ht="14.25" customHeight="1" spans="4:7">
      <c r="D947" s="93"/>
      <c r="E947" s="94"/>
      <c r="F947" s="95"/>
      <c r="G947" s="96"/>
    </row>
    <row r="948" ht="14.25" customHeight="1" spans="4:7">
      <c r="D948" s="93"/>
      <c r="E948" s="94"/>
      <c r="F948" s="95"/>
      <c r="G948" s="96"/>
    </row>
    <row r="949" ht="14.25" customHeight="1" spans="4:7">
      <c r="D949" s="93"/>
      <c r="E949" s="94"/>
      <c r="F949" s="95"/>
      <c r="G949" s="96"/>
    </row>
    <row r="950" ht="14.25" customHeight="1" spans="4:7">
      <c r="D950" s="93"/>
      <c r="E950" s="94"/>
      <c r="F950" s="95"/>
      <c r="G950" s="96"/>
    </row>
    <row r="951" ht="14.25" customHeight="1" spans="4:7">
      <c r="D951" s="93"/>
      <c r="E951" s="94"/>
      <c r="F951" s="95"/>
      <c r="G951" s="96"/>
    </row>
    <row r="952" ht="14.25" customHeight="1" spans="4:7">
      <c r="D952" s="93"/>
      <c r="E952" s="94"/>
      <c r="F952" s="95"/>
      <c r="G952" s="96"/>
    </row>
    <row r="953" ht="14.25" customHeight="1" spans="4:7">
      <c r="D953" s="93"/>
      <c r="E953" s="94"/>
      <c r="F953" s="95"/>
      <c r="G953" s="96"/>
    </row>
    <row r="954" ht="14.25" customHeight="1" spans="4:7">
      <c r="D954" s="93"/>
      <c r="E954" s="94"/>
      <c r="F954" s="95"/>
      <c r="G954" s="96"/>
    </row>
    <row r="955" ht="14.25" customHeight="1" spans="4:7">
      <c r="D955" s="93"/>
      <c r="E955" s="94"/>
      <c r="F955" s="95"/>
      <c r="G955" s="96"/>
    </row>
    <row r="956" ht="14.25" customHeight="1" spans="4:7">
      <c r="D956" s="93"/>
      <c r="E956" s="94"/>
      <c r="F956" s="95"/>
      <c r="G956" s="96"/>
    </row>
    <row r="957" ht="14.25" customHeight="1" spans="4:7">
      <c r="D957" s="93"/>
      <c r="E957" s="94"/>
      <c r="F957" s="95"/>
      <c r="G957" s="96"/>
    </row>
    <row r="958" ht="14.25" customHeight="1" spans="4:7">
      <c r="D958" s="93"/>
      <c r="E958" s="94"/>
      <c r="F958" s="95"/>
      <c r="G958" s="96"/>
    </row>
    <row r="959" ht="14.25" customHeight="1" spans="4:7">
      <c r="D959" s="93"/>
      <c r="E959" s="94"/>
      <c r="F959" s="95"/>
      <c r="G959" s="96"/>
    </row>
    <row r="960" ht="14.25" customHeight="1" spans="4:7">
      <c r="D960" s="93"/>
      <c r="E960" s="94"/>
      <c r="F960" s="95"/>
      <c r="G960" s="96"/>
    </row>
    <row r="961" ht="14.25" customHeight="1" spans="4:7">
      <c r="D961" s="93"/>
      <c r="E961" s="94"/>
      <c r="F961" s="95"/>
      <c r="G961" s="96"/>
    </row>
    <row r="962" ht="14.25" customHeight="1" spans="4:7">
      <c r="D962" s="93"/>
      <c r="E962" s="94"/>
      <c r="F962" s="95"/>
      <c r="G962" s="96"/>
    </row>
    <row r="963" ht="14.25" customHeight="1" spans="4:7">
      <c r="D963" s="93"/>
      <c r="E963" s="94"/>
      <c r="F963" s="95"/>
      <c r="G963" s="96"/>
    </row>
    <row r="964" ht="14.25" customHeight="1" spans="4:7">
      <c r="D964" s="93"/>
      <c r="E964" s="94"/>
      <c r="F964" s="95"/>
      <c r="G964" s="96"/>
    </row>
    <row r="965" ht="14.25" customHeight="1" spans="4:7">
      <c r="D965" s="93"/>
      <c r="E965" s="94"/>
      <c r="F965" s="95"/>
      <c r="G965" s="96"/>
    </row>
    <row r="966" ht="14.25" customHeight="1" spans="4:7">
      <c r="D966" s="93"/>
      <c r="E966" s="94"/>
      <c r="F966" s="95"/>
      <c r="G966" s="96"/>
    </row>
    <row r="967" ht="14.25" customHeight="1" spans="4:7">
      <c r="D967" s="93"/>
      <c r="E967" s="94"/>
      <c r="F967" s="95"/>
      <c r="G967" s="96"/>
    </row>
    <row r="968" ht="14.25" customHeight="1" spans="4:7">
      <c r="D968" s="93"/>
      <c r="E968" s="94"/>
      <c r="F968" s="95"/>
      <c r="G968" s="96"/>
    </row>
    <row r="969" ht="14.25" customHeight="1" spans="4:7">
      <c r="D969" s="93"/>
      <c r="E969" s="94"/>
      <c r="F969" s="95"/>
      <c r="G969" s="96"/>
    </row>
    <row r="970" ht="14.25" customHeight="1" spans="4:7">
      <c r="D970" s="93"/>
      <c r="E970" s="94"/>
      <c r="F970" s="95"/>
      <c r="G970" s="96"/>
    </row>
    <row r="971" ht="14.25" customHeight="1" spans="4:7">
      <c r="D971" s="93"/>
      <c r="E971" s="94"/>
      <c r="F971" s="95"/>
      <c r="G971" s="96"/>
    </row>
    <row r="972" ht="14.25" customHeight="1" spans="4:7">
      <c r="D972" s="93"/>
      <c r="E972" s="94"/>
      <c r="F972" s="95"/>
      <c r="G972" s="96"/>
    </row>
    <row r="973" ht="14.25" customHeight="1" spans="4:7">
      <c r="D973" s="93"/>
      <c r="E973" s="94"/>
      <c r="F973" s="95"/>
      <c r="G973" s="96"/>
    </row>
    <row r="974" ht="14.25" customHeight="1" spans="4:7">
      <c r="D974" s="93"/>
      <c r="E974" s="94"/>
      <c r="F974" s="95"/>
      <c r="G974" s="96"/>
    </row>
    <row r="975" ht="14.25" customHeight="1" spans="4:7">
      <c r="D975" s="93"/>
      <c r="E975" s="94"/>
      <c r="F975" s="95"/>
      <c r="G975" s="96"/>
    </row>
    <row r="976" ht="14.25" customHeight="1" spans="4:7">
      <c r="D976" s="93"/>
      <c r="E976" s="94"/>
      <c r="F976" s="95"/>
      <c r="G976" s="96"/>
    </row>
    <row r="977" ht="14.25" customHeight="1" spans="4:7">
      <c r="D977" s="93"/>
      <c r="E977" s="94"/>
      <c r="F977" s="95"/>
      <c r="G977" s="96"/>
    </row>
    <row r="978" ht="14.25" customHeight="1" spans="4:7">
      <c r="D978" s="93"/>
      <c r="E978" s="94"/>
      <c r="F978" s="95"/>
      <c r="G978" s="96"/>
    </row>
    <row r="979" ht="14.25" customHeight="1" spans="4:7">
      <c r="D979" s="93"/>
      <c r="E979" s="94"/>
      <c r="F979" s="95"/>
      <c r="G979" s="96"/>
    </row>
    <row r="980" ht="14.25" customHeight="1" spans="4:7">
      <c r="D980" s="93"/>
      <c r="E980" s="94"/>
      <c r="F980" s="95"/>
      <c r="G980" s="96"/>
    </row>
    <row r="981" ht="14.25" customHeight="1" spans="4:7">
      <c r="D981" s="93"/>
      <c r="E981" s="94"/>
      <c r="F981" s="95"/>
      <c r="G981" s="96"/>
    </row>
    <row r="982" ht="14.25" customHeight="1" spans="4:7">
      <c r="D982" s="93"/>
      <c r="E982" s="94"/>
      <c r="F982" s="95"/>
      <c r="G982" s="96"/>
    </row>
    <row r="983" ht="14.25" customHeight="1" spans="4:7">
      <c r="D983" s="93"/>
      <c r="E983" s="94"/>
      <c r="F983" s="95"/>
      <c r="G983" s="96"/>
    </row>
    <row r="984" ht="14.25" customHeight="1" spans="4:7">
      <c r="D984" s="93"/>
      <c r="E984" s="94"/>
      <c r="F984" s="95"/>
      <c r="G984" s="96"/>
    </row>
    <row r="985" ht="14.25" customHeight="1" spans="4:7">
      <c r="D985" s="93"/>
      <c r="E985" s="94"/>
      <c r="F985" s="95"/>
      <c r="G985" s="96"/>
    </row>
    <row r="986" ht="14.25" customHeight="1" spans="4:7">
      <c r="D986" s="93"/>
      <c r="E986" s="94"/>
      <c r="F986" s="95"/>
      <c r="G986" s="96"/>
    </row>
    <row r="987" ht="14.25" customHeight="1" spans="4:7">
      <c r="D987" s="93"/>
      <c r="E987" s="94"/>
      <c r="F987" s="95"/>
      <c r="G987" s="96"/>
    </row>
    <row r="988" ht="14.25" customHeight="1" spans="4:7">
      <c r="D988" s="93"/>
      <c r="E988" s="94"/>
      <c r="F988" s="95"/>
      <c r="G988" s="96"/>
    </row>
    <row r="989" ht="14.25" customHeight="1" spans="4:7">
      <c r="D989" s="93"/>
      <c r="E989" s="94"/>
      <c r="F989" s="95"/>
      <c r="G989" s="96"/>
    </row>
    <row r="990" ht="14.25" customHeight="1" spans="4:7">
      <c r="D990" s="93"/>
      <c r="E990" s="94"/>
      <c r="F990" s="95"/>
      <c r="G990" s="96"/>
    </row>
    <row r="991" ht="14.25" customHeight="1" spans="4:7">
      <c r="D991" s="93"/>
      <c r="E991" s="94"/>
      <c r="F991" s="95"/>
      <c r="G991" s="96"/>
    </row>
    <row r="992" ht="14.25" customHeight="1" spans="4:7">
      <c r="D992" s="93"/>
      <c r="E992" s="94"/>
      <c r="F992" s="95"/>
      <c r="G992" s="96"/>
    </row>
    <row r="993" ht="14.25" customHeight="1" spans="4:7">
      <c r="D993" s="93"/>
      <c r="E993" s="94"/>
      <c r="F993" s="95"/>
      <c r="G993" s="96"/>
    </row>
    <row r="994" ht="14.25" customHeight="1" spans="4:7">
      <c r="D994" s="93"/>
      <c r="E994" s="94"/>
      <c r="F994" s="95"/>
      <c r="G994" s="96"/>
    </row>
    <row r="995" ht="14.25" customHeight="1" spans="4:7">
      <c r="D995" s="93"/>
      <c r="E995" s="94"/>
      <c r="F995" s="95"/>
      <c r="G995" s="96"/>
    </row>
    <row r="996" ht="14.25" customHeight="1" spans="4:7">
      <c r="D996" s="93"/>
      <c r="E996" s="94"/>
      <c r="F996" s="95"/>
      <c r="G996" s="96"/>
    </row>
    <row r="997" ht="14.25" customHeight="1" spans="4:7">
      <c r="D997" s="93"/>
      <c r="E997" s="94"/>
      <c r="F997" s="95"/>
      <c r="G997" s="96"/>
    </row>
    <row r="998" ht="14.25" customHeight="1" spans="4:7">
      <c r="D998" s="93"/>
      <c r="E998" s="94"/>
      <c r="F998" s="95"/>
      <c r="G998" s="96"/>
    </row>
    <row r="999" ht="14.25" customHeight="1" spans="4:7">
      <c r="D999" s="93"/>
      <c r="E999" s="94"/>
      <c r="F999" s="95"/>
      <c r="G999" s="96"/>
    </row>
    <row r="1000" ht="14.25" customHeight="1" spans="4:7">
      <c r="D1000" s="93"/>
      <c r="E1000" s="94"/>
      <c r="F1000" s="95"/>
      <c r="G1000" s="96"/>
    </row>
    <row r="1001" ht="14.25" customHeight="1" spans="4:7">
      <c r="D1001" s="93"/>
      <c r="E1001" s="94"/>
      <c r="F1001" s="95"/>
      <c r="G1001" s="96"/>
    </row>
    <row r="1002" ht="14.25" customHeight="1" spans="4:7">
      <c r="D1002" s="93"/>
      <c r="E1002" s="94"/>
      <c r="F1002" s="95"/>
      <c r="G1002" s="96"/>
    </row>
    <row r="1003" ht="14.25" customHeight="1" spans="4:7">
      <c r="D1003" s="93"/>
      <c r="E1003" s="94"/>
      <c r="F1003" s="95"/>
      <c r="G1003" s="96"/>
    </row>
    <row r="1004" ht="14.25" customHeight="1" spans="4:7">
      <c r="D1004" s="93"/>
      <c r="E1004" s="94"/>
      <c r="F1004" s="95"/>
      <c r="G1004" s="96"/>
    </row>
    <row r="1005" ht="14.25" customHeight="1" spans="4:7">
      <c r="D1005" s="93"/>
      <c r="E1005" s="94"/>
      <c r="F1005" s="95"/>
      <c r="G1005" s="96"/>
    </row>
    <row r="1006" ht="14.25" customHeight="1" spans="4:7">
      <c r="D1006" s="93"/>
      <c r="E1006" s="94"/>
      <c r="F1006" s="95"/>
      <c r="G1006" s="96"/>
    </row>
    <row r="1007" ht="14.25" customHeight="1" spans="4:7">
      <c r="D1007" s="93"/>
      <c r="E1007" s="94"/>
      <c r="F1007" s="95"/>
      <c r="G1007" s="96"/>
    </row>
    <row r="1008" ht="14.25" customHeight="1" spans="4:7">
      <c r="D1008" s="93"/>
      <c r="E1008" s="94"/>
      <c r="F1008" s="95"/>
      <c r="G1008" s="96"/>
    </row>
    <row r="1009" ht="14.25" customHeight="1"/>
    <row r="1010" ht="14.25" customHeight="1"/>
  </sheetData>
  <mergeCells count="13">
    <mergeCell ref="D1:G1"/>
    <mergeCell ref="H1:K1"/>
    <mergeCell ref="L1:O1"/>
    <mergeCell ref="D4:O4"/>
    <mergeCell ref="A13:O13"/>
    <mergeCell ref="A22:O22"/>
    <mergeCell ref="D42:G42"/>
    <mergeCell ref="H42:K42"/>
    <mergeCell ref="L42:O42"/>
    <mergeCell ref="A5:A12"/>
    <mergeCell ref="A14:A21"/>
    <mergeCell ref="A23:A31"/>
    <mergeCell ref="A1:B3"/>
  </mergeCells>
  <pageMargins left="0.7" right="0.7" top="0.75" bottom="0.75" header="0" footer="0"/>
  <pageSetup paperSize="1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62"/>
  <sheetViews>
    <sheetView workbookViewId="0">
      <selection activeCell="A1" sqref="A1:A2"/>
    </sheetView>
  </sheetViews>
  <sheetFormatPr defaultColWidth="14.4285714285714" defaultRowHeight="15" customHeight="1"/>
  <cols>
    <col min="1" max="1" width="20.1428571428571" customWidth="1"/>
    <col min="2" max="2" width="15.4285714285714" customWidth="1"/>
    <col min="6" max="6" width="15.2857142857143" customWidth="1"/>
  </cols>
  <sheetData>
    <row r="1" spans="1:13">
      <c r="A1" s="1" t="s">
        <v>84</v>
      </c>
      <c r="B1" s="2">
        <v>2022</v>
      </c>
      <c r="C1" s="3"/>
      <c r="D1" s="3"/>
      <c r="E1" s="4"/>
      <c r="F1" s="2">
        <v>2023</v>
      </c>
      <c r="G1" s="3"/>
      <c r="H1" s="3"/>
      <c r="I1" s="4"/>
      <c r="J1" s="2">
        <v>2024</v>
      </c>
      <c r="K1" s="3"/>
      <c r="L1" s="3"/>
      <c r="M1" s="4"/>
    </row>
    <row r="2" ht="25.5" customHeight="1" spans="1:13">
      <c r="A2" s="5"/>
      <c r="B2" s="6" t="s">
        <v>85</v>
      </c>
      <c r="C2" s="7" t="s">
        <v>86</v>
      </c>
      <c r="D2" s="8" t="s">
        <v>87</v>
      </c>
      <c r="E2" s="9" t="s">
        <v>88</v>
      </c>
      <c r="F2" s="6" t="s">
        <v>89</v>
      </c>
      <c r="G2" s="7" t="s">
        <v>47</v>
      </c>
      <c r="H2" s="8" t="s">
        <v>48</v>
      </c>
      <c r="I2" s="9" t="s">
        <v>49</v>
      </c>
      <c r="J2" s="6" t="s">
        <v>2</v>
      </c>
      <c r="K2" s="7" t="s">
        <v>3</v>
      </c>
      <c r="L2" s="8" t="s">
        <v>4</v>
      </c>
      <c r="M2" s="9" t="s">
        <v>5</v>
      </c>
    </row>
    <row r="3" spans="1:13">
      <c r="A3" s="10" t="s">
        <v>90</v>
      </c>
      <c r="B3" s="11">
        <v>3320</v>
      </c>
      <c r="C3" s="11">
        <v>10320</v>
      </c>
      <c r="D3" s="11">
        <v>28360</v>
      </c>
      <c r="E3" s="10">
        <v>34240</v>
      </c>
      <c r="F3" s="10">
        <v>26800</v>
      </c>
      <c r="G3" s="10">
        <v>41840</v>
      </c>
      <c r="H3" s="10">
        <v>169640</v>
      </c>
      <c r="I3" s="10">
        <v>131880</v>
      </c>
      <c r="J3" s="10"/>
      <c r="K3" s="10"/>
      <c r="L3" s="10"/>
      <c r="M3" s="10"/>
    </row>
    <row r="4" spans="1:13">
      <c r="A4" s="10" t="s">
        <v>91</v>
      </c>
      <c r="B4" s="11">
        <v>1240</v>
      </c>
      <c r="C4" s="11">
        <v>400</v>
      </c>
      <c r="D4" s="11">
        <v>0</v>
      </c>
      <c r="E4" s="11">
        <v>2880</v>
      </c>
      <c r="F4" s="10">
        <v>3080</v>
      </c>
      <c r="G4" s="10">
        <v>2560</v>
      </c>
      <c r="H4" s="10">
        <v>7040</v>
      </c>
      <c r="I4" s="10">
        <v>600</v>
      </c>
      <c r="J4" s="10"/>
      <c r="K4" s="10"/>
      <c r="L4" s="10"/>
      <c r="M4" s="10"/>
    </row>
    <row r="5" spans="1:13">
      <c r="A5" s="10" t="s">
        <v>92</v>
      </c>
      <c r="B5" s="11">
        <v>40</v>
      </c>
      <c r="C5" s="11">
        <v>160</v>
      </c>
      <c r="D5" s="11">
        <v>480</v>
      </c>
      <c r="E5" s="10">
        <v>1000</v>
      </c>
      <c r="F5" s="10">
        <v>4680</v>
      </c>
      <c r="G5" s="10">
        <v>880</v>
      </c>
      <c r="H5" s="11">
        <v>19640</v>
      </c>
      <c r="I5" s="10">
        <v>4200</v>
      </c>
      <c r="J5" s="10"/>
      <c r="K5" s="10"/>
      <c r="L5" s="10"/>
      <c r="M5" s="10"/>
    </row>
    <row r="6" spans="1:13">
      <c r="A6" s="10" t="s">
        <v>93</v>
      </c>
      <c r="B6" s="11"/>
      <c r="C6" s="11"/>
      <c r="D6" s="11">
        <v>14160</v>
      </c>
      <c r="E6" s="10">
        <v>2720</v>
      </c>
      <c r="F6" s="10">
        <v>2160</v>
      </c>
      <c r="G6" s="10">
        <v>6840</v>
      </c>
      <c r="H6" s="10">
        <v>2960</v>
      </c>
      <c r="I6" s="10">
        <v>14560</v>
      </c>
      <c r="J6" s="10"/>
      <c r="K6" s="10"/>
      <c r="L6" s="10"/>
      <c r="M6" s="10"/>
    </row>
    <row r="7" spans="1:13">
      <c r="A7" s="10" t="s">
        <v>94</v>
      </c>
      <c r="B7" s="11"/>
      <c r="C7" s="11"/>
      <c r="D7" s="11">
        <v>840</v>
      </c>
      <c r="E7" s="10">
        <v>1480</v>
      </c>
      <c r="F7" s="10">
        <v>1320</v>
      </c>
      <c r="G7" s="10">
        <v>1200</v>
      </c>
      <c r="H7" s="10">
        <v>1040</v>
      </c>
      <c r="I7" s="10">
        <v>360</v>
      </c>
      <c r="J7" s="10"/>
      <c r="K7" s="10"/>
      <c r="L7" s="10"/>
      <c r="M7" s="10"/>
    </row>
    <row r="8" spans="1:13">
      <c r="A8" s="10" t="s">
        <v>95</v>
      </c>
      <c r="B8" s="11"/>
      <c r="C8" s="11"/>
      <c r="D8" s="11">
        <v>8320</v>
      </c>
      <c r="E8" s="10">
        <v>6920</v>
      </c>
      <c r="F8" s="10">
        <v>1760</v>
      </c>
      <c r="G8" s="10">
        <v>7720</v>
      </c>
      <c r="H8" s="10">
        <v>2920</v>
      </c>
      <c r="I8" s="11">
        <v>2360</v>
      </c>
      <c r="J8" s="10"/>
      <c r="K8" s="10"/>
      <c r="L8" s="10"/>
      <c r="M8" s="10"/>
    </row>
    <row r="9" spans="1:13">
      <c r="A9" s="10" t="s">
        <v>96</v>
      </c>
      <c r="B9" s="11"/>
      <c r="C9" s="11"/>
      <c r="D9" s="11">
        <f>D8*40</f>
        <v>332800</v>
      </c>
      <c r="E9" s="10">
        <v>5280</v>
      </c>
      <c r="F9" s="10">
        <v>6520</v>
      </c>
      <c r="G9" s="10">
        <v>15200</v>
      </c>
      <c r="H9" s="10">
        <v>65080</v>
      </c>
      <c r="I9" s="10">
        <v>19200</v>
      </c>
      <c r="J9" s="10">
        <v>50400</v>
      </c>
      <c r="K9" s="10"/>
      <c r="L9" s="10"/>
      <c r="M9" s="10"/>
    </row>
    <row r="10" ht="18" spans="1:13">
      <c r="A10" s="12"/>
      <c r="B10" s="12"/>
      <c r="C10" s="12"/>
      <c r="D10" s="12"/>
      <c r="E10" s="12"/>
      <c r="F10" s="12"/>
      <c r="H10" s="12"/>
      <c r="I10" s="12"/>
      <c r="J10" s="12"/>
      <c r="K10" s="15"/>
      <c r="L10" s="12"/>
      <c r="M10" s="12"/>
    </row>
    <row r="25" ht="22.5" spans="11:11">
      <c r="K25" s="16"/>
    </row>
    <row r="53" spans="1:3">
      <c r="A53" s="13" t="s">
        <v>97</v>
      </c>
      <c r="B53" s="14" t="s">
        <v>98</v>
      </c>
      <c r="C53" s="14" t="s">
        <v>99</v>
      </c>
    </row>
    <row r="54" spans="1:3">
      <c r="A54" s="5"/>
      <c r="B54" s="14"/>
      <c r="C54" s="14"/>
    </row>
    <row r="55" spans="1:3">
      <c r="A55" s="10" t="s">
        <v>90</v>
      </c>
      <c r="B55" s="11">
        <v>1560</v>
      </c>
      <c r="C55" s="14">
        <f t="shared" ref="C55:C61" si="0">B55*40</f>
        <v>62400</v>
      </c>
    </row>
    <row r="56" spans="1:3">
      <c r="A56" s="10" t="s">
        <v>91</v>
      </c>
      <c r="B56" s="14">
        <v>327</v>
      </c>
      <c r="C56" s="14">
        <f t="shared" si="0"/>
        <v>13080</v>
      </c>
    </row>
    <row r="57" spans="1:3">
      <c r="A57" s="10" t="s">
        <v>92</v>
      </c>
      <c r="B57" s="14">
        <v>177</v>
      </c>
      <c r="C57" s="14">
        <f t="shared" si="0"/>
        <v>7080</v>
      </c>
    </row>
    <row r="58" spans="1:3">
      <c r="A58" s="10" t="s">
        <v>93</v>
      </c>
      <c r="B58" s="14">
        <v>33</v>
      </c>
      <c r="C58" s="14">
        <f t="shared" si="0"/>
        <v>1320</v>
      </c>
    </row>
    <row r="59" spans="1:3">
      <c r="A59" s="10" t="s">
        <v>94</v>
      </c>
      <c r="B59" s="14">
        <v>13</v>
      </c>
      <c r="C59" s="14">
        <f t="shared" si="0"/>
        <v>520</v>
      </c>
    </row>
    <row r="60" spans="1:3">
      <c r="A60" s="10" t="s">
        <v>95</v>
      </c>
      <c r="B60" s="14">
        <v>56</v>
      </c>
      <c r="C60" s="14">
        <f t="shared" si="0"/>
        <v>2240</v>
      </c>
    </row>
    <row r="61" spans="1:3">
      <c r="A61" s="10" t="s">
        <v>96</v>
      </c>
      <c r="B61" s="14">
        <v>1448</v>
      </c>
      <c r="C61" s="14">
        <f t="shared" si="0"/>
        <v>57920</v>
      </c>
    </row>
    <row r="62" spans="1:3">
      <c r="A62" s="14"/>
      <c r="B62" s="14"/>
      <c r="C62" s="14"/>
    </row>
  </sheetData>
  <mergeCells count="5">
    <mergeCell ref="B1:E1"/>
    <mergeCell ref="F1:I1"/>
    <mergeCell ref="J1:M1"/>
    <mergeCell ref="A1:A2"/>
    <mergeCell ref="A53:A5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Modèle</vt:lpstr>
      <vt:lpstr>Ferringule</vt:lpstr>
      <vt:lpstr>Barcaghju</vt:lpstr>
      <vt:lpstr>Saleccia</vt:lpstr>
      <vt:lpstr>La Roya</vt:lpstr>
      <vt:lpstr>Petracurbara</vt:lpstr>
      <vt:lpstr>Macinaghju</vt:lpstr>
      <vt:lpstr>Lozari</vt:lpstr>
      <vt:lpstr>Ostriconi</vt:lpstr>
      <vt:lpstr>TOTAL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aubin</cp:lastModifiedBy>
  <dcterms:created xsi:type="dcterms:W3CDTF">2024-06-02T11:43:00Z</dcterms:created>
  <dcterms:modified xsi:type="dcterms:W3CDTF">2024-06-02T13:54:03Z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8F7D9999CF4D4AD58AA1F6D24FCB5D0D_12</vt:lpwstr>
  </property>
  <property fmtid="{D5CDD505-2E9C-101B-9397-08002B2CF9AE}" pid="3" name="KSOProductBuildVer">
    <vt:lpwstr>1033-12.2.0.16909</vt:lpwstr>
  </property>
</Properties>
</file>